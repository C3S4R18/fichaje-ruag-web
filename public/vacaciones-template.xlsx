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ssa\RUAG S.R.L\GRUPO DEGRAN - 06RRHH\01 REPORTE GERENCIALES RRHH RUAG\02 VACACIONES\"/>
    </mc:Choice>
  </mc:AlternateContent>
  <bookViews>
    <workbookView xWindow="-120" yWindow="-120" windowWidth="24240" windowHeight="13140" tabRatio="858" firstSheet="3" activeTab="3"/>
  </bookViews>
  <sheets>
    <sheet name="Reporte de vacaciones 1" sheetId="18" state="hidden" r:id="rId1"/>
    <sheet name="control de vacaciones" sheetId="19" state="hidden" r:id="rId2"/>
    <sheet name="Reporte de vacaciones  (2)" sheetId="21" state="hidden" r:id="rId3"/>
    <sheet name="vacaciones 2026" sheetId="31" r:id="rId4"/>
    <sheet name="vacaciones 2025" sheetId="30" r:id="rId5"/>
    <sheet name="vacaciones 2024" sheetId="29" r:id="rId6"/>
    <sheet name="vacaciones 2023 " sheetId="27" r:id="rId7"/>
    <sheet name="vacaciones 2022" sheetId="26" r:id="rId8"/>
    <sheet name="vacaciones 2021" sheetId="24" state="hidden" r:id="rId9"/>
    <sheet name="Deuda por vacaciones" sheetId="17" state="hidden" r:id="rId10"/>
    <sheet name="CRONOGRAMA" sheetId="25" state="hidden" r:id="rId11"/>
    <sheet name="vacaciones 2020" sheetId="23" state="hidden" r:id="rId12"/>
    <sheet name="vacaciones" sheetId="20" state="hidden" r:id="rId13"/>
    <sheet name="Control de dias gozados 2019" sheetId="1" state="hidden" r:id="rId14"/>
    <sheet name="Determ días de vacaciones" sheetId="14" state="hidden" r:id="rId15"/>
    <sheet name="Licencia sin goce de haber" sheetId="16" state="hidden" r:id="rId16"/>
    <sheet name="PARA DECLARAR EN SUNAT" sheetId="3" state="hidden" r:id="rId17"/>
    <sheet name="PARA DECLARAR EN SUNAT (2)" sheetId="7" state="hidden" r:id="rId18"/>
    <sheet name="solicitud de vacaciones" sheetId="2" state="hidden" r:id="rId19"/>
  </sheets>
  <definedNames>
    <definedName name="_xlnm._FilterDatabase" localSheetId="13" hidden="1">'Control de dias gozados 2019'!$B$4:$CS$48</definedName>
    <definedName name="_xlnm._FilterDatabase" localSheetId="14" hidden="1">'Determ días de vacaciones'!$A$9:$R$47</definedName>
    <definedName name="_xlnm._FilterDatabase" localSheetId="9" hidden="1">'Deuda por vacaciones'!$A$9:$C$44</definedName>
    <definedName name="_xlnm._FilterDatabase" localSheetId="15" hidden="1">'Licencia sin goce de haber'!$A$8:$B$43</definedName>
    <definedName name="_xlnm._FilterDatabase" localSheetId="11" hidden="1">'vacaciones 2020'!$B$1:$T$45</definedName>
    <definedName name="_xlnm._FilterDatabase" localSheetId="8" hidden="1">'vacaciones 2021'!$A$2:$W$61</definedName>
    <definedName name="_xlnm._FilterDatabase" localSheetId="7" hidden="1">'vacaciones 2022'!$B$1:$U$53</definedName>
    <definedName name="_xlnm._FilterDatabase" localSheetId="6" hidden="1">'vacaciones 2023 '!$B$1:$U$61</definedName>
    <definedName name="_xlnm._FilterDatabase" localSheetId="5" hidden="1">'vacaciones 2024'!$A$3:$W$52</definedName>
    <definedName name="_xlnm._FilterDatabase" localSheetId="4" hidden="1">'vacaciones 2025'!$A$3:$W$63</definedName>
    <definedName name="_xlnm._FilterDatabase" localSheetId="3" hidden="1">'vacaciones 2026'!$A$3:$W$64</definedName>
    <definedName name="_xlnm.Print_Area" localSheetId="13">'Control de dias gozados 2019'!$A$1:$CS$47</definedName>
    <definedName name="_xlnm.Print_Area" localSheetId="14">'Determ días de vacaciones'!$A$1:$S$50</definedName>
    <definedName name="_xlnm.Print_Area" localSheetId="9">'Deuda por vacaciones'!$A$1:$I$50</definedName>
    <definedName name="_xlnm.Print_Area" localSheetId="15">'Licencia sin goce de haber'!$A$1:$C$43</definedName>
    <definedName name="_xlnm.Print_Area" localSheetId="16">'PARA DECLARAR EN SUNAT'!$A$1:$S$49</definedName>
    <definedName name="_xlnm.Print_Area" localSheetId="17">'PARA DECLARAR EN SUNAT (2)'!$A$1:$T$61</definedName>
    <definedName name="_xlnm.Print_Area" localSheetId="2">'Reporte de vacaciones  (2)'!$A$1:$EN$80</definedName>
    <definedName name="_xlnm.Print_Area" localSheetId="0">'Reporte de vacaciones 1'!$B$1:$DK$234</definedName>
    <definedName name="_xlnm.Print_Area" localSheetId="12">vacaciones!$A$1:$R$43</definedName>
    <definedName name="_xlnm.Print_Area" localSheetId="11">'vacaciones 2020'!$A$1:$T$44</definedName>
    <definedName name="_xlnm.Print_Area" localSheetId="8">'vacaciones 2021'!$A$1:$U$61</definedName>
    <definedName name="_xlnm.Print_Area" localSheetId="7">'vacaciones 2022'!$A$1:$U$52</definedName>
    <definedName name="_xlnm.Print_Area" localSheetId="5">'vacaciones 2024'!$A$1:$V$52</definedName>
    <definedName name="_xlnm.Print_Area" localSheetId="4">'vacaciones 2025'!$B$1:$Y$63</definedName>
    <definedName name="_xlnm.Print_Area" localSheetId="3">'vacaciones 2026'!$B$1:$Y$64</definedName>
    <definedName name="_xlnm.Print_Titles" localSheetId="13">'Control de dias gozados 2019'!$1:$4</definedName>
    <definedName name="_xlnm.Print_Titles" localSheetId="2">'Reporte de vacaciones  (2)'!$1:$4</definedName>
    <definedName name="_xlnm.Print_Titles" localSheetId="0">'Reporte de vacaciones 1'!$1:$4</definedName>
    <definedName name="_xlnm.Print_Titles" localSheetId="12">vacaciones!$2:$3</definedName>
    <definedName name="_xlnm.Print_Titles" localSheetId="11">'vacaciones 2020'!$1:$1</definedName>
    <definedName name="_xlnm.Print_Titles" localSheetId="8">'vacaciones 2021'!$1:$1</definedName>
    <definedName name="_xlnm.Print_Titles" localSheetId="7">'vacaciones 2022'!$1:$2</definedName>
    <definedName name="_xlnm.Print_Titles" localSheetId="6">'vacaciones 2023 '!$1:$2</definedName>
    <definedName name="_xlnm.Print_Titles" localSheetId="5">'vacaciones 2024'!$1:$2</definedName>
    <definedName name="_xlnm.Print_Titles" localSheetId="4">'vacaciones 2025'!$1:$2</definedName>
    <definedName name="_xlnm.Print_Titles" localSheetId="3">'vacaciones 2026'!$1:$2</definedName>
  </definedNames>
  <calcPr calcId="162913"/>
</workbook>
</file>

<file path=xl/calcChain.xml><?xml version="1.0" encoding="utf-8"?>
<calcChain xmlns="http://schemas.openxmlformats.org/spreadsheetml/2006/main">
  <c r="U36" i="31" l="1"/>
  <c r="Q21" i="31"/>
  <c r="R21" i="31" s="1"/>
  <c r="U21" i="31" s="1"/>
  <c r="Q19" i="31"/>
  <c r="R19" i="31" s="1"/>
  <c r="U19" i="31" s="1"/>
  <c r="Q30" i="31"/>
  <c r="R30" i="31" s="1"/>
  <c r="U30" i="31" s="1"/>
  <c r="Q36" i="31"/>
  <c r="R36" i="31" s="1"/>
  <c r="Q40" i="31"/>
  <c r="R40" i="31" s="1"/>
  <c r="U40" i="31" s="1"/>
  <c r="Q37" i="31"/>
  <c r="R37" i="31"/>
  <c r="U37" i="31" s="1"/>
  <c r="Q18" i="31"/>
  <c r="R18" i="31" s="1"/>
  <c r="U18" i="31" s="1"/>
  <c r="R32" i="31"/>
  <c r="U32" i="31" s="1"/>
  <c r="Q32" i="31"/>
  <c r="U4" i="31"/>
  <c r="F54" i="31" l="1"/>
  <c r="AA41" i="30"/>
  <c r="AC61" i="31"/>
  <c r="AD59" i="30"/>
  <c r="G47" i="31"/>
  <c r="Q64" i="31" l="1"/>
  <c r="R64" i="31" s="1"/>
  <c r="U64" i="31" s="1"/>
  <c r="Q62" i="31"/>
  <c r="R62" i="31" s="1"/>
  <c r="U62" i="31" s="1"/>
  <c r="Q61" i="31"/>
  <c r="R61" i="31" s="1"/>
  <c r="U61" i="31" s="1"/>
  <c r="Q60" i="31"/>
  <c r="R60" i="31" s="1"/>
  <c r="U60" i="31" s="1"/>
  <c r="Q59" i="31"/>
  <c r="R59" i="31" s="1"/>
  <c r="U59" i="31" s="1"/>
  <c r="Q57" i="31"/>
  <c r="R57" i="31" s="1"/>
  <c r="U57" i="31" s="1"/>
  <c r="Q56" i="31"/>
  <c r="R56" i="31" s="1"/>
  <c r="U56" i="31" s="1"/>
  <c r="Q54" i="31"/>
  <c r="R54" i="31" s="1"/>
  <c r="U54" i="31" s="1"/>
  <c r="Q53" i="31"/>
  <c r="R53" i="31" s="1"/>
  <c r="U53" i="31" s="1"/>
  <c r="Q52" i="31"/>
  <c r="R52" i="31" s="1"/>
  <c r="U52" i="31" s="1"/>
  <c r="Q51" i="31"/>
  <c r="R51" i="31" s="1"/>
  <c r="U51" i="31" s="1"/>
  <c r="X50" i="31"/>
  <c r="Q50" i="31"/>
  <c r="R50" i="31" s="1"/>
  <c r="U50" i="31" s="1"/>
  <c r="Q48" i="31"/>
  <c r="D48" i="31"/>
  <c r="Q47" i="31"/>
  <c r="R47" i="31" s="1"/>
  <c r="U47" i="31" s="1"/>
  <c r="Q46" i="31"/>
  <c r="R46" i="31" s="1"/>
  <c r="U46" i="31" s="1"/>
  <c r="Q44" i="31"/>
  <c r="R44" i="31" s="1"/>
  <c r="U44" i="31" s="1"/>
  <c r="Q43" i="31"/>
  <c r="Q42" i="31"/>
  <c r="R42" i="31" s="1"/>
  <c r="U42" i="31" s="1"/>
  <c r="Q15" i="31"/>
  <c r="R15" i="31" s="1"/>
  <c r="U15" i="31" s="1"/>
  <c r="Q39" i="31"/>
  <c r="R39" i="31" s="1"/>
  <c r="U39" i="31" s="1"/>
  <c r="Q34" i="31"/>
  <c r="R34" i="31" s="1"/>
  <c r="U34" i="31" s="1"/>
  <c r="Q27" i="31"/>
  <c r="R27" i="31" s="1"/>
  <c r="U27" i="31" s="1"/>
  <c r="Q23" i="31"/>
  <c r="R23" i="31" s="1"/>
  <c r="U23" i="31" s="1"/>
  <c r="Q26" i="31"/>
  <c r="R26" i="31" s="1"/>
  <c r="U26" i="31" s="1"/>
  <c r="Q20" i="31"/>
  <c r="R20" i="31" s="1"/>
  <c r="U20" i="31" s="1"/>
  <c r="Q16" i="31"/>
  <c r="R16" i="31" s="1"/>
  <c r="U16" i="31" s="1"/>
  <c r="W13" i="31"/>
  <c r="Q13" i="31"/>
  <c r="R13" i="31" s="1"/>
  <c r="U13" i="31" s="1"/>
  <c r="Q22" i="31"/>
  <c r="R22" i="31" s="1"/>
  <c r="U22" i="31" s="1"/>
  <c r="Q17" i="31"/>
  <c r="R17" i="31" s="1"/>
  <c r="U17" i="31" s="1"/>
  <c r="Q38" i="31"/>
  <c r="R38" i="31" s="1"/>
  <c r="U38" i="31" s="1"/>
  <c r="Q29" i="31"/>
  <c r="R29" i="31" s="1"/>
  <c r="U29" i="31" s="1"/>
  <c r="Y31" i="31"/>
  <c r="Q31" i="31"/>
  <c r="R31" i="31" s="1"/>
  <c r="U31" i="31" s="1"/>
  <c r="Q28" i="31"/>
  <c r="R28" i="31" s="1"/>
  <c r="U28" i="31" s="1"/>
  <c r="Q24" i="31"/>
  <c r="R24" i="31" s="1"/>
  <c r="U24" i="31" s="1"/>
  <c r="Q33" i="31"/>
  <c r="R33" i="31" s="1"/>
  <c r="U33" i="31" s="1"/>
  <c r="Q25" i="31"/>
  <c r="R25" i="31" s="1"/>
  <c r="U25" i="31" s="1"/>
  <c r="Q14" i="31"/>
  <c r="R14" i="31" s="1"/>
  <c r="U14" i="31" s="1"/>
  <c r="AL35" i="31"/>
  <c r="Q35" i="31"/>
  <c r="R35" i="31" s="1"/>
  <c r="U35" i="31" s="1"/>
  <c r="Q11" i="31"/>
  <c r="R11" i="31" s="1"/>
  <c r="U11" i="31" s="1"/>
  <c r="Q9" i="31"/>
  <c r="R9" i="31" s="1"/>
  <c r="U9" i="31" s="1"/>
  <c r="Q8" i="31"/>
  <c r="R8" i="31" s="1"/>
  <c r="U8" i="31" s="1"/>
  <c r="Q6" i="31"/>
  <c r="D6" i="31"/>
  <c r="Q5" i="31"/>
  <c r="R5" i="31" s="1"/>
  <c r="U5" i="31" s="1"/>
  <c r="Q4" i="31"/>
  <c r="R4" i="31" s="1"/>
  <c r="R6" i="31" l="1"/>
  <c r="U6" i="31" s="1"/>
  <c r="R48" i="31"/>
  <c r="U48" i="31" s="1"/>
  <c r="R43" i="31"/>
  <c r="U43" i="31" s="1"/>
  <c r="Y18" i="30"/>
  <c r="W24" i="30"/>
  <c r="X47" i="30"/>
  <c r="Q59" i="30"/>
  <c r="R59" i="30" s="1"/>
  <c r="U59" i="30" s="1"/>
  <c r="Q60" i="30"/>
  <c r="R60" i="30" s="1"/>
  <c r="U60" i="30" s="1"/>
  <c r="Q18" i="30"/>
  <c r="R18" i="30" s="1"/>
  <c r="Q29" i="30"/>
  <c r="R29" i="30" s="1"/>
  <c r="U29" i="30" s="1"/>
  <c r="Q30" i="30"/>
  <c r="R30" i="30" s="1"/>
  <c r="U30" i="30" s="1"/>
  <c r="Q31" i="30"/>
  <c r="R31" i="30" s="1"/>
  <c r="U31" i="30" s="1"/>
  <c r="Q27" i="30"/>
  <c r="R27" i="30" s="1"/>
  <c r="U27" i="30" s="1"/>
  <c r="Q32" i="30"/>
  <c r="R32" i="30" s="1"/>
  <c r="U32" i="30" s="1"/>
  <c r="Q33" i="30"/>
  <c r="R33" i="30" s="1"/>
  <c r="U33" i="30" s="1"/>
  <c r="Q34" i="30"/>
  <c r="R34" i="30" s="1"/>
  <c r="U34" i="30" s="1"/>
  <c r="Q35" i="30"/>
  <c r="R35" i="30" s="1"/>
  <c r="U35" i="30" s="1"/>
  <c r="Q19" i="30"/>
  <c r="R19" i="30" s="1"/>
  <c r="Q20" i="30"/>
  <c r="R20" i="30" s="1"/>
  <c r="Q21" i="30"/>
  <c r="R21" i="30" s="1"/>
  <c r="Q36" i="30"/>
  <c r="R36" i="30" s="1"/>
  <c r="I57" i="30"/>
  <c r="J53" i="30" l="1"/>
  <c r="I4" i="30"/>
  <c r="Q39" i="30" l="1"/>
  <c r="AL12" i="30" l="1"/>
  <c r="K44" i="30" l="1"/>
  <c r="H44" i="30"/>
  <c r="F40" i="30"/>
  <c r="K40" i="30"/>
  <c r="Q40" i="30" l="1"/>
  <c r="F44" i="30" l="1"/>
  <c r="F14" i="30"/>
  <c r="U36" i="30" l="1"/>
  <c r="F26" i="30" l="1"/>
  <c r="V30" i="29" l="1"/>
  <c r="Q54" i="30" l="1"/>
  <c r="Q53" i="30"/>
  <c r="Q9" i="30"/>
  <c r="R9" i="30" s="1"/>
  <c r="U9" i="30" s="1"/>
  <c r="U18" i="30"/>
  <c r="U19" i="30"/>
  <c r="U20" i="30"/>
  <c r="U21" i="30"/>
  <c r="Q17" i="30"/>
  <c r="Q50" i="30"/>
  <c r="D63" i="30"/>
  <c r="D61" i="30"/>
  <c r="D58" i="30"/>
  <c r="D57" i="30"/>
  <c r="D56" i="30"/>
  <c r="D54" i="30"/>
  <c r="D53" i="30"/>
  <c r="D50" i="30"/>
  <c r="D17" i="30"/>
  <c r="D49" i="30"/>
  <c r="D51" i="30"/>
  <c r="D48" i="30"/>
  <c r="D44" i="30"/>
  <c r="D43" i="30"/>
  <c r="D40" i="30"/>
  <c r="D41" i="30"/>
  <c r="D39" i="30"/>
  <c r="R39" i="30" s="1"/>
  <c r="D22" i="30"/>
  <c r="D24" i="30"/>
  <c r="D25" i="30"/>
  <c r="D26" i="30"/>
  <c r="D23" i="30"/>
  <c r="D13" i="30"/>
  <c r="D28" i="30"/>
  <c r="D15" i="30"/>
  <c r="D16" i="30"/>
  <c r="D14" i="30"/>
  <c r="D12" i="30"/>
  <c r="D10" i="30"/>
  <c r="D8" i="30"/>
  <c r="D5" i="30"/>
  <c r="D4" i="30"/>
  <c r="U23" i="29"/>
  <c r="U24" i="29"/>
  <c r="Q63" i="30"/>
  <c r="Q61" i="30"/>
  <c r="Q58" i="30"/>
  <c r="Q57" i="30"/>
  <c r="Q56" i="30"/>
  <c r="Q49" i="30"/>
  <c r="Q51" i="30"/>
  <c r="Q48" i="30"/>
  <c r="Q47" i="30"/>
  <c r="Q45" i="30"/>
  <c r="D45" i="30"/>
  <c r="Q44" i="30"/>
  <c r="Q43" i="30"/>
  <c r="Q41" i="30"/>
  <c r="Q22" i="30"/>
  <c r="Q24" i="30"/>
  <c r="Q25" i="30"/>
  <c r="Q26" i="30"/>
  <c r="Q23" i="30"/>
  <c r="Q13" i="30"/>
  <c r="Q28" i="30"/>
  <c r="Q15" i="30"/>
  <c r="Q16" i="30"/>
  <c r="Q14" i="30"/>
  <c r="Q12" i="30"/>
  <c r="Q10" i="30"/>
  <c r="Q8" i="30"/>
  <c r="Q6" i="30"/>
  <c r="D6" i="30"/>
  <c r="Q5" i="30"/>
  <c r="Q4" i="30"/>
  <c r="P9" i="29"/>
  <c r="R49" i="29"/>
  <c r="U49" i="29" s="1"/>
  <c r="Q49" i="29"/>
  <c r="Q21" i="29"/>
  <c r="R41" i="30" l="1"/>
  <c r="R17" i="30"/>
  <c r="U17" i="30" s="1"/>
  <c r="R13" i="30"/>
  <c r="U13" i="30" s="1"/>
  <c r="R50" i="30"/>
  <c r="U50" i="30" s="1"/>
  <c r="R14" i="30"/>
  <c r="U14" i="30" s="1"/>
  <c r="R24" i="30"/>
  <c r="U24" i="30" s="1"/>
  <c r="R4" i="30"/>
  <c r="U4" i="30" s="1"/>
  <c r="R22" i="30"/>
  <c r="U22" i="30" s="1"/>
  <c r="R54" i="30"/>
  <c r="U54" i="30" s="1"/>
  <c r="R15" i="30"/>
  <c r="U15" i="30" s="1"/>
  <c r="R26" i="30"/>
  <c r="U26" i="30" s="1"/>
  <c r="R6" i="30"/>
  <c r="U6" i="30" s="1"/>
  <c r="R43" i="30"/>
  <c r="U43" i="30" s="1"/>
  <c r="R57" i="30"/>
  <c r="U57" i="30" s="1"/>
  <c r="R44" i="30"/>
  <c r="U44" i="30" s="1"/>
  <c r="R51" i="30"/>
  <c r="U51" i="30" s="1"/>
  <c r="R56" i="30"/>
  <c r="U56" i="30" s="1"/>
  <c r="R61" i="30"/>
  <c r="U61" i="30" s="1"/>
  <c r="R63" i="30"/>
  <c r="U63" i="30" s="1"/>
  <c r="R5" i="30"/>
  <c r="U5" i="30" s="1"/>
  <c r="R40" i="30"/>
  <c r="U40" i="30" s="1"/>
  <c r="R45" i="30"/>
  <c r="U45" i="30" s="1"/>
  <c r="R49" i="30"/>
  <c r="U49" i="30" s="1"/>
  <c r="U39" i="30"/>
  <c r="R12" i="30"/>
  <c r="U12" i="30" s="1"/>
  <c r="R28" i="30"/>
  <c r="U28" i="30" s="1"/>
  <c r="R25" i="30"/>
  <c r="U25" i="30" s="1"/>
  <c r="R8" i="30"/>
  <c r="U8" i="30" s="1"/>
  <c r="R48" i="30"/>
  <c r="U48" i="30" s="1"/>
  <c r="R10" i="30"/>
  <c r="U10" i="30" s="1"/>
  <c r="R16" i="30"/>
  <c r="U16" i="30" s="1"/>
  <c r="R23" i="30"/>
  <c r="U23" i="30" s="1"/>
  <c r="U41" i="30"/>
  <c r="R53" i="30"/>
  <c r="U53" i="30" s="1"/>
  <c r="R58" i="30"/>
  <c r="U58" i="30" s="1"/>
  <c r="U40" i="29" l="1"/>
  <c r="U41" i="29"/>
  <c r="M28" i="29"/>
  <c r="N28" i="29" l="1"/>
  <c r="N30" i="29"/>
  <c r="Q22" i="29" l="1"/>
  <c r="Q25" i="29"/>
  <c r="F33" i="29" l="1"/>
  <c r="Q48" i="29" l="1"/>
  <c r="Q50" i="29"/>
  <c r="D12" i="29"/>
  <c r="D13" i="29"/>
  <c r="D14" i="29"/>
  <c r="D15" i="29"/>
  <c r="D16" i="29"/>
  <c r="D17" i="29"/>
  <c r="D18" i="29"/>
  <c r="D19" i="29"/>
  <c r="D20" i="29"/>
  <c r="D21" i="29"/>
  <c r="D22" i="29"/>
  <c r="R22" i="29" s="1"/>
  <c r="U22" i="29" s="1"/>
  <c r="D25" i="29"/>
  <c r="R25" i="29" s="1"/>
  <c r="U25" i="29" s="1"/>
  <c r="D27" i="29"/>
  <c r="D28" i="29"/>
  <c r="D29" i="29"/>
  <c r="D30" i="29"/>
  <c r="D32" i="29"/>
  <c r="D33" i="29"/>
  <c r="D34" i="29"/>
  <c r="D36" i="29"/>
  <c r="D37" i="29"/>
  <c r="D38" i="29"/>
  <c r="D39" i="29"/>
  <c r="D40" i="29"/>
  <c r="D41" i="29"/>
  <c r="D43" i="29"/>
  <c r="D44" i="29"/>
  <c r="D46" i="29"/>
  <c r="D47" i="29"/>
  <c r="D48" i="29"/>
  <c r="D50" i="29"/>
  <c r="D52" i="29"/>
  <c r="D11" i="29"/>
  <c r="D8" i="29"/>
  <c r="D9" i="29"/>
  <c r="D5" i="29"/>
  <c r="D6" i="29"/>
  <c r="D4" i="29"/>
  <c r="Q52" i="29"/>
  <c r="Q47" i="29"/>
  <c r="Q46" i="29"/>
  <c r="Q44" i="29"/>
  <c r="Q43" i="29"/>
  <c r="Q39" i="29"/>
  <c r="Q38" i="29"/>
  <c r="R38" i="29" s="1"/>
  <c r="U38" i="29" s="1"/>
  <c r="Q37" i="29"/>
  <c r="Q36" i="29"/>
  <c r="Q34" i="29"/>
  <c r="Q33" i="29"/>
  <c r="Q32" i="29"/>
  <c r="Q30" i="29"/>
  <c r="Q29" i="29"/>
  <c r="Q28" i="29"/>
  <c r="R28" i="29" s="1"/>
  <c r="U28" i="29" s="1"/>
  <c r="Q27" i="29"/>
  <c r="Q20" i="29"/>
  <c r="Q19" i="29"/>
  <c r="Q18" i="29"/>
  <c r="Q17" i="29"/>
  <c r="Q16" i="29"/>
  <c r="Q15" i="29"/>
  <c r="Q14" i="29"/>
  <c r="Q13" i="29"/>
  <c r="Q12" i="29"/>
  <c r="Q11" i="29"/>
  <c r="Q9" i="29"/>
  <c r="Q8" i="29"/>
  <c r="Q6" i="29"/>
  <c r="Q5" i="29"/>
  <c r="Q4" i="29"/>
  <c r="R6" i="29" l="1"/>
  <c r="U6" i="29" s="1"/>
  <c r="R20" i="29"/>
  <c r="U20" i="29" s="1"/>
  <c r="R48" i="29"/>
  <c r="U48" i="29" s="1"/>
  <c r="R13" i="29"/>
  <c r="U13" i="29" s="1"/>
  <c r="R9" i="29"/>
  <c r="U9" i="29" s="1"/>
  <c r="R15" i="29"/>
  <c r="U15" i="29" s="1"/>
  <c r="R37" i="29"/>
  <c r="U37" i="29" s="1"/>
  <c r="R50" i="29"/>
  <c r="U50" i="29" s="1"/>
  <c r="R12" i="29"/>
  <c r="U12" i="29" s="1"/>
  <c r="R16" i="29"/>
  <c r="U16" i="29" s="1"/>
  <c r="R34" i="29"/>
  <c r="U34" i="29" s="1"/>
  <c r="R39" i="29"/>
  <c r="U39" i="29" s="1"/>
  <c r="R8" i="29"/>
  <c r="U8" i="29" s="1"/>
  <c r="R46" i="29"/>
  <c r="U46" i="29" s="1"/>
  <c r="R17" i="29"/>
  <c r="U17" i="29" s="1"/>
  <c r="R14" i="29"/>
  <c r="U14" i="29" s="1"/>
  <c r="R18" i="29"/>
  <c r="U18" i="29" s="1"/>
  <c r="R30" i="29"/>
  <c r="U30" i="29" s="1"/>
  <c r="R32" i="29"/>
  <c r="U32" i="29" s="1"/>
  <c r="R52" i="29"/>
  <c r="U52" i="29" s="1"/>
  <c r="R44" i="29"/>
  <c r="U44" i="29" s="1"/>
  <c r="R5" i="29"/>
  <c r="U5" i="29" s="1"/>
  <c r="R21" i="29"/>
  <c r="U21" i="29" s="1"/>
  <c r="R36" i="29"/>
  <c r="U36" i="29" s="1"/>
  <c r="D47" i="30" s="1"/>
  <c r="R47" i="30" s="1"/>
  <c r="U47" i="30" s="1"/>
  <c r="R27" i="29"/>
  <c r="U27" i="29" s="1"/>
  <c r="R47" i="29"/>
  <c r="U47" i="29" s="1"/>
  <c r="R19" i="29"/>
  <c r="U19" i="29" s="1"/>
  <c r="R11" i="29"/>
  <c r="U11" i="29" s="1"/>
  <c r="R4" i="29"/>
  <c r="U4" i="29" s="1"/>
  <c r="R33" i="29"/>
  <c r="U33" i="29" s="1"/>
  <c r="R29" i="29"/>
  <c r="U29" i="29" s="1"/>
  <c r="R43" i="29"/>
  <c r="U43" i="29" s="1"/>
  <c r="P37" i="27"/>
  <c r="R38" i="27"/>
  <c r="Y19" i="27" l="1"/>
  <c r="X59" i="27"/>
  <c r="L52" i="27" l="1"/>
  <c r="U23" i="27" l="1"/>
  <c r="U33" i="27"/>
  <c r="K41" i="27"/>
  <c r="J46" i="27" l="1"/>
  <c r="J41" i="27" l="1"/>
  <c r="C33" i="17" l="1"/>
  <c r="C14" i="17"/>
  <c r="F33" i="17"/>
  <c r="I33" i="17" s="1"/>
  <c r="H12" i="27" l="1"/>
  <c r="G41" i="27" l="1"/>
  <c r="F41" i="27" l="1"/>
  <c r="X50" i="27" l="1"/>
  <c r="P17" i="26" l="1"/>
  <c r="P35" i="26" l="1"/>
  <c r="X43" i="26" l="1"/>
  <c r="P49" i="26" l="1"/>
  <c r="P25" i="26" l="1"/>
  <c r="D23" i="27" l="1"/>
  <c r="Q60" i="27"/>
  <c r="Q56" i="27"/>
  <c r="Q55" i="27"/>
  <c r="Q53" i="27"/>
  <c r="Q52" i="27"/>
  <c r="Q50" i="27"/>
  <c r="Q47" i="27"/>
  <c r="Q46" i="27"/>
  <c r="Q45" i="27"/>
  <c r="Q44" i="27"/>
  <c r="Q42" i="27"/>
  <c r="Q40" i="27"/>
  <c r="Q38" i="27"/>
  <c r="Q37" i="27"/>
  <c r="Q36" i="27"/>
  <c r="Q35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9" i="27"/>
  <c r="Q8" i="27"/>
  <c r="Q6" i="27"/>
  <c r="Q5" i="27"/>
  <c r="Q4" i="27"/>
  <c r="Q58" i="27" l="1"/>
  <c r="Q41" i="27"/>
  <c r="O36" i="26" l="1"/>
  <c r="O35" i="26"/>
  <c r="O13" i="26"/>
  <c r="N35" i="26" l="1"/>
  <c r="N49" i="26" l="1"/>
  <c r="N50" i="26"/>
  <c r="N9" i="26" l="1"/>
  <c r="Q9" i="26" s="1"/>
  <c r="M35" i="26" l="1"/>
  <c r="M36" i="26" l="1"/>
  <c r="M4" i="26"/>
  <c r="L50" i="26" l="1"/>
  <c r="L35" i="26" l="1"/>
  <c r="Q22" i="26" l="1"/>
  <c r="Q46" i="26" l="1"/>
  <c r="D46" i="26"/>
  <c r="R46" i="26" l="1"/>
  <c r="U46" i="26" s="1"/>
  <c r="D53" i="27" l="1"/>
  <c r="R53" i="27" s="1"/>
  <c r="U53" i="27" s="1"/>
  <c r="C13" i="17" s="1"/>
  <c r="Q30" i="26"/>
  <c r="R30" i="26" s="1"/>
  <c r="U30" i="26" s="1"/>
  <c r="Q31" i="26"/>
  <c r="R31" i="26" s="1"/>
  <c r="U31" i="26" s="1"/>
  <c r="Q26" i="26"/>
  <c r="R26" i="26" s="1"/>
  <c r="U26" i="26" s="1"/>
  <c r="D22" i="27" s="1"/>
  <c r="R22" i="27" s="1"/>
  <c r="U22" i="27" s="1"/>
  <c r="C21" i="17" s="1"/>
  <c r="Q10" i="26"/>
  <c r="R10" i="26" s="1"/>
  <c r="U10" i="26" s="1"/>
  <c r="D37" i="27" l="1"/>
  <c r="R37" i="27" s="1"/>
  <c r="U37" i="27" s="1"/>
  <c r="C47" i="17" s="1"/>
  <c r="F47" i="17" s="1"/>
  <c r="I47" i="17" s="1"/>
  <c r="D9" i="27"/>
  <c r="R9" i="27" s="1"/>
  <c r="U9" i="27" s="1"/>
  <c r="C37" i="17" s="1"/>
  <c r="D36" i="27"/>
  <c r="R36" i="27" s="1"/>
  <c r="U36" i="27" s="1"/>
  <c r="C45" i="17" s="1"/>
  <c r="F45" i="17" s="1"/>
  <c r="I45" i="17" s="1"/>
  <c r="I35" i="26"/>
  <c r="H35" i="26" l="1"/>
  <c r="G8" i="26" l="1"/>
  <c r="G13" i="26" l="1"/>
  <c r="G50" i="26"/>
  <c r="F35" i="26" l="1"/>
  <c r="Q35" i="26" s="1"/>
  <c r="Q14" i="26" l="1"/>
  <c r="Q12" i="26" l="1"/>
  <c r="Q37" i="26"/>
  <c r="Q45" i="26"/>
  <c r="S29" i="26"/>
  <c r="Q20" i="26"/>
  <c r="Q21" i="26"/>
  <c r="S19" i="26"/>
  <c r="Q52" i="26" l="1"/>
  <c r="Q50" i="26"/>
  <c r="Q49" i="26"/>
  <c r="Q48" i="26"/>
  <c r="Q43" i="26"/>
  <c r="Q41" i="26"/>
  <c r="Q42" i="26"/>
  <c r="Q40" i="26"/>
  <c r="Q39" i="26"/>
  <c r="Q36" i="26"/>
  <c r="Q34" i="26"/>
  <c r="Q32" i="26"/>
  <c r="Q29" i="26"/>
  <c r="Q24" i="26"/>
  <c r="Q25" i="26"/>
  <c r="Q19" i="26"/>
  <c r="Q18" i="26"/>
  <c r="Q23" i="26"/>
  <c r="Q17" i="26"/>
  <c r="Q16" i="26"/>
  <c r="Q15" i="26"/>
  <c r="Q13" i="26"/>
  <c r="Q8" i="26"/>
  <c r="Q5" i="26"/>
  <c r="Q4" i="26"/>
  <c r="S6" i="26"/>
  <c r="Q6" i="26"/>
  <c r="Q15" i="24" l="1"/>
  <c r="P17" i="24"/>
  <c r="R28" i="24" l="1"/>
  <c r="U28" i="24" s="1"/>
  <c r="R29" i="24"/>
  <c r="U29" i="24" s="1"/>
  <c r="R31" i="24"/>
  <c r="U31" i="24" s="1"/>
  <c r="D22" i="26" s="1"/>
  <c r="R32" i="24"/>
  <c r="U32" i="24" s="1"/>
  <c r="R33" i="24"/>
  <c r="U33" i="24" s="1"/>
  <c r="R34" i="24"/>
  <c r="U34" i="24" s="1"/>
  <c r="R35" i="24"/>
  <c r="U35" i="24" s="1"/>
  <c r="R36" i="24"/>
  <c r="U36" i="24" s="1"/>
  <c r="R37" i="24"/>
  <c r="U37" i="24" s="1"/>
  <c r="R27" i="24"/>
  <c r="U27" i="24" s="1"/>
  <c r="D20" i="26" s="1"/>
  <c r="R20" i="26" s="1"/>
  <c r="U20" i="26" s="1"/>
  <c r="C11" i="17" s="1"/>
  <c r="R22" i="26" l="1"/>
  <c r="U22" i="26" s="1"/>
  <c r="N45" i="24"/>
  <c r="Q53" i="24"/>
  <c r="R53" i="24" s="1"/>
  <c r="U53" i="24" s="1"/>
  <c r="D43" i="26" s="1"/>
  <c r="R43" i="26" s="1"/>
  <c r="U43" i="26" s="1"/>
  <c r="O55" i="24"/>
  <c r="O42" i="24"/>
  <c r="O25" i="24"/>
  <c r="O26" i="24"/>
  <c r="D50" i="27" l="1"/>
  <c r="R50" i="27" s="1"/>
  <c r="U50" i="27" s="1"/>
  <c r="C43" i="17" s="1"/>
  <c r="Q46" i="24"/>
  <c r="R46" i="24" s="1"/>
  <c r="U46" i="24" s="1"/>
  <c r="D36" i="26" s="1"/>
  <c r="R36" i="26" s="1"/>
  <c r="U36" i="26" s="1"/>
  <c r="Q12" i="24"/>
  <c r="R12" i="24" s="1"/>
  <c r="U12" i="24" s="1"/>
  <c r="Q59" i="24"/>
  <c r="R59" i="24" s="1"/>
  <c r="U59" i="24" s="1"/>
  <c r="D50" i="26" s="1"/>
  <c r="R50" i="26" s="1"/>
  <c r="U50" i="26" s="1"/>
  <c r="BS5" i="25"/>
  <c r="BS6" i="25"/>
  <c r="BS4" i="25"/>
  <c r="AM17" i="25"/>
  <c r="AM29" i="25"/>
  <c r="L45" i="24"/>
  <c r="K58" i="24"/>
  <c r="Q58" i="24" s="1"/>
  <c r="L41" i="24"/>
  <c r="L40" i="24"/>
  <c r="K39" i="24"/>
  <c r="Q39" i="24" s="1"/>
  <c r="K23" i="24"/>
  <c r="Q23" i="24" s="1"/>
  <c r="K41" i="24"/>
  <c r="I40" i="24"/>
  <c r="J45" i="24"/>
  <c r="J41" i="24"/>
  <c r="J55" i="24"/>
  <c r="Q55" i="24" s="1"/>
  <c r="HV53" i="25"/>
  <c r="AM52" i="25"/>
  <c r="AM31" i="25"/>
  <c r="J24" i="24"/>
  <c r="Q24" i="24" s="1"/>
  <c r="AM16" i="25"/>
  <c r="AM18" i="25"/>
  <c r="AM19" i="25"/>
  <c r="AM20" i="25"/>
  <c r="AM21" i="25"/>
  <c r="AM22" i="25"/>
  <c r="AM23" i="25"/>
  <c r="AM24" i="25"/>
  <c r="AM25" i="25"/>
  <c r="AM26" i="25"/>
  <c r="AM27" i="25"/>
  <c r="AM28" i="25"/>
  <c r="AM30" i="25"/>
  <c r="AM33" i="25"/>
  <c r="AM5" i="25"/>
  <c r="AM6" i="25"/>
  <c r="AM8" i="25"/>
  <c r="AM9" i="25"/>
  <c r="AM11" i="25"/>
  <c r="AM12" i="25"/>
  <c r="AM13" i="25"/>
  <c r="AM14" i="25"/>
  <c r="AM34" i="25"/>
  <c r="AM35" i="25"/>
  <c r="AM36" i="25"/>
  <c r="AM37" i="25"/>
  <c r="AM38" i="25"/>
  <c r="AM39" i="25"/>
  <c r="AM41" i="25"/>
  <c r="AM42" i="25"/>
  <c r="AM43" i="25"/>
  <c r="AM44" i="25"/>
  <c r="AM46" i="25"/>
  <c r="AM48" i="25"/>
  <c r="AM49" i="25"/>
  <c r="AM50" i="25"/>
  <c r="AM4" i="25"/>
  <c r="I41" i="24"/>
  <c r="F17" i="16"/>
  <c r="F16" i="16"/>
  <c r="Q57" i="24"/>
  <c r="S56" i="23"/>
  <c r="R56" i="23"/>
  <c r="R57" i="23"/>
  <c r="Q52" i="23"/>
  <c r="Q49" i="23"/>
  <c r="V35" i="23"/>
  <c r="V37" i="23" s="1"/>
  <c r="I46" i="20"/>
  <c r="F15" i="16"/>
  <c r="S39" i="24"/>
  <c r="S23" i="24"/>
  <c r="S41" i="24"/>
  <c r="Q9" i="24"/>
  <c r="Q10" i="24"/>
  <c r="Q61" i="24"/>
  <c r="Q18" i="24"/>
  <c r="Q8" i="24"/>
  <c r="Q17" i="24"/>
  <c r="Q21" i="24"/>
  <c r="Q42" i="24"/>
  <c r="Q6" i="24"/>
  <c r="S4" i="24"/>
  <c r="Q4" i="24"/>
  <c r="Q51" i="24"/>
  <c r="Q19" i="24"/>
  <c r="Q44" i="24"/>
  <c r="Q14" i="24"/>
  <c r="Q16" i="24"/>
  <c r="Q25" i="24"/>
  <c r="Q30" i="24"/>
  <c r="Q26" i="24"/>
  <c r="Q22" i="24"/>
  <c r="Q49" i="24"/>
  <c r="Q50" i="24"/>
  <c r="Q5" i="24"/>
  <c r="Q20" i="24"/>
  <c r="Q52" i="24"/>
  <c r="R28" i="23"/>
  <c r="R22" i="23"/>
  <c r="R8" i="23"/>
  <c r="R10" i="23"/>
  <c r="R12" i="23"/>
  <c r="A43" i="23"/>
  <c r="A44" i="23" s="1"/>
  <c r="A40" i="23"/>
  <c r="A41" i="23" s="1"/>
  <c r="A37" i="23"/>
  <c r="A38" i="23" s="1"/>
  <c r="A34" i="23"/>
  <c r="A35" i="23"/>
  <c r="A31" i="23"/>
  <c r="A32" i="23" s="1"/>
  <c r="A28" i="23"/>
  <c r="A29" i="23" s="1"/>
  <c r="A25" i="23"/>
  <c r="A26" i="23" s="1"/>
  <c r="A22" i="23"/>
  <c r="A23" i="23" s="1"/>
  <c r="A19" i="23"/>
  <c r="A20" i="23" s="1"/>
  <c r="A16" i="23"/>
  <c r="A17" i="23" s="1"/>
  <c r="A13" i="23"/>
  <c r="A14" i="23"/>
  <c r="A10" i="23"/>
  <c r="A11" i="23" s="1"/>
  <c r="A7" i="23"/>
  <c r="A8" i="23" s="1"/>
  <c r="A4" i="23"/>
  <c r="A5" i="23" s="1"/>
  <c r="A19" i="1"/>
  <c r="A20" i="1" s="1"/>
  <c r="A13" i="1"/>
  <c r="A14" i="1"/>
  <c r="A16" i="1"/>
  <c r="A17" i="1" s="1"/>
  <c r="A22" i="1"/>
  <c r="A23" i="1" s="1"/>
  <c r="A25" i="1"/>
  <c r="A26" i="1" s="1"/>
  <c r="A28" i="1"/>
  <c r="A29" i="1" s="1"/>
  <c r="A31" i="1"/>
  <c r="A32" i="1" s="1"/>
  <c r="A34" i="1"/>
  <c r="A35" i="1" s="1"/>
  <c r="A37" i="1"/>
  <c r="A38" i="1"/>
  <c r="A40" i="1"/>
  <c r="A41" i="1" s="1"/>
  <c r="A43" i="1"/>
  <c r="A44" i="1" s="1"/>
  <c r="A46" i="1"/>
  <c r="A47" i="1" s="1"/>
  <c r="A10" i="1"/>
  <c r="A11" i="1" s="1"/>
  <c r="P27" i="23"/>
  <c r="S27" i="23"/>
  <c r="P13" i="23"/>
  <c r="P14" i="23"/>
  <c r="S13" i="23"/>
  <c r="CQ30" i="1"/>
  <c r="CS30" i="1" s="1"/>
  <c r="C27" i="23" s="1"/>
  <c r="Q27" i="23" s="1"/>
  <c r="CR30" i="1"/>
  <c r="CR16" i="1"/>
  <c r="CQ16" i="1"/>
  <c r="L14" i="20"/>
  <c r="L26" i="20"/>
  <c r="S35" i="23"/>
  <c r="S36" i="23"/>
  <c r="S37" i="23"/>
  <c r="S38" i="23"/>
  <c r="S39" i="23"/>
  <c r="S40" i="23"/>
  <c r="S41" i="23"/>
  <c r="S42" i="23"/>
  <c r="S43" i="23"/>
  <c r="S44" i="23"/>
  <c r="S31" i="23"/>
  <c r="S32" i="23"/>
  <c r="S30" i="23"/>
  <c r="S28" i="23"/>
  <c r="S26" i="23"/>
  <c r="S20" i="23"/>
  <c r="S21" i="23"/>
  <c r="S22" i="23"/>
  <c r="S23" i="23"/>
  <c r="S19" i="23"/>
  <c r="S16" i="23"/>
  <c r="S17" i="23"/>
  <c r="S14" i="23"/>
  <c r="S5" i="23"/>
  <c r="S6" i="23"/>
  <c r="S7" i="23"/>
  <c r="S8" i="23"/>
  <c r="S9" i="23"/>
  <c r="S10" i="23"/>
  <c r="S11" i="23"/>
  <c r="S12" i="23"/>
  <c r="S3" i="23"/>
  <c r="P44" i="23"/>
  <c r="P43" i="23"/>
  <c r="P42" i="23"/>
  <c r="P41" i="23"/>
  <c r="P40" i="23"/>
  <c r="P39" i="23"/>
  <c r="P38" i="23"/>
  <c r="N37" i="20" s="1"/>
  <c r="P37" i="23"/>
  <c r="P36" i="23"/>
  <c r="P35" i="23"/>
  <c r="P34" i="23"/>
  <c r="P33" i="23"/>
  <c r="P32" i="23"/>
  <c r="P31" i="23"/>
  <c r="P30" i="23"/>
  <c r="P29" i="23"/>
  <c r="P28" i="23"/>
  <c r="P26" i="23"/>
  <c r="P25" i="23"/>
  <c r="P24" i="23"/>
  <c r="P23" i="23"/>
  <c r="P22" i="23"/>
  <c r="P21" i="23"/>
  <c r="P20" i="23"/>
  <c r="P19" i="23"/>
  <c r="P17" i="23"/>
  <c r="P16" i="23"/>
  <c r="P15" i="23"/>
  <c r="P12" i="23"/>
  <c r="P11" i="23"/>
  <c r="P10" i="23"/>
  <c r="P9" i="23"/>
  <c r="P8" i="23"/>
  <c r="P7" i="23"/>
  <c r="P6" i="23"/>
  <c r="P5" i="23"/>
  <c r="P4" i="23"/>
  <c r="P3" i="23"/>
  <c r="CQ39" i="1"/>
  <c r="CQ40" i="1"/>
  <c r="CQ41" i="1"/>
  <c r="CS41" i="1" s="1"/>
  <c r="C38" i="23" s="1"/>
  <c r="CQ42" i="1"/>
  <c r="CQ43" i="1"/>
  <c r="CQ44" i="1"/>
  <c r="CQ45" i="1"/>
  <c r="CQ46" i="1"/>
  <c r="CQ47" i="1"/>
  <c r="CQ38" i="1"/>
  <c r="CQ35" i="1"/>
  <c r="CQ36" i="1"/>
  <c r="CQ37" i="1"/>
  <c r="CQ34" i="1"/>
  <c r="CQ31" i="1"/>
  <c r="CQ32" i="1"/>
  <c r="CQ29" i="1"/>
  <c r="CQ23" i="1"/>
  <c r="CQ24" i="1"/>
  <c r="CQ25" i="1"/>
  <c r="CQ26" i="1"/>
  <c r="CQ27" i="1"/>
  <c r="CQ22" i="1"/>
  <c r="CQ18" i="1"/>
  <c r="CQ19" i="1"/>
  <c r="CQ20" i="1"/>
  <c r="CQ17" i="1"/>
  <c r="CQ7" i="1"/>
  <c r="CQ8" i="1"/>
  <c r="CQ9" i="1"/>
  <c r="CQ10" i="1"/>
  <c r="CQ11" i="1"/>
  <c r="CQ12" i="1"/>
  <c r="CQ13" i="1"/>
  <c r="CQ14" i="1"/>
  <c r="CQ15" i="1"/>
  <c r="CQ6" i="1"/>
  <c r="P42" i="1"/>
  <c r="AC42" i="1"/>
  <c r="AP42" i="1"/>
  <c r="BC42" i="1"/>
  <c r="BP42" i="1"/>
  <c r="BZ42" i="1"/>
  <c r="CC42" i="1"/>
  <c r="CL42" i="1"/>
  <c r="CM42" i="1"/>
  <c r="CN42" i="1"/>
  <c r="CO42" i="1"/>
  <c r="D40" i="20"/>
  <c r="F40" i="20" s="1"/>
  <c r="F30" i="20"/>
  <c r="F21" i="20"/>
  <c r="F19" i="20"/>
  <c r="I19" i="20" s="1"/>
  <c r="F8" i="20"/>
  <c r="I8" i="20" s="1"/>
  <c r="O24" i="14"/>
  <c r="O31" i="14"/>
  <c r="F14" i="16"/>
  <c r="F13" i="16"/>
  <c r="F12" i="16"/>
  <c r="F11" i="16"/>
  <c r="F10" i="16"/>
  <c r="F9" i="16"/>
  <c r="D28" i="20"/>
  <c r="F28" i="20" s="1"/>
  <c r="I28" i="20" s="1"/>
  <c r="R29" i="23" s="1"/>
  <c r="K6" i="20"/>
  <c r="L31" i="20"/>
  <c r="K5" i="20"/>
  <c r="K4" i="20"/>
  <c r="L29" i="20"/>
  <c r="R30" i="23" s="1"/>
  <c r="L37" i="20"/>
  <c r="R38" i="23" s="1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5" i="20"/>
  <c r="K24" i="20"/>
  <c r="K23" i="20"/>
  <c r="K22" i="20"/>
  <c r="K21" i="20"/>
  <c r="K20" i="20"/>
  <c r="K19" i="20"/>
  <c r="K17" i="20"/>
  <c r="K16" i="20"/>
  <c r="K15" i="20"/>
  <c r="O15" i="20" s="1"/>
  <c r="K13" i="20"/>
  <c r="K12" i="20"/>
  <c r="K11" i="20"/>
  <c r="K10" i="20"/>
  <c r="K9" i="20"/>
  <c r="K8" i="20"/>
  <c r="K7" i="20"/>
  <c r="EN79" i="21"/>
  <c r="DW79" i="21"/>
  <c r="DQ79" i="21"/>
  <c r="DD79" i="21"/>
  <c r="CQ79" i="21"/>
  <c r="CD79" i="21"/>
  <c r="BQ79" i="21"/>
  <c r="BD79" i="21"/>
  <c r="AQ79" i="21"/>
  <c r="AD79" i="21"/>
  <c r="P79" i="21"/>
  <c r="I79" i="21"/>
  <c r="K79" i="21" s="1"/>
  <c r="G79" i="21"/>
  <c r="EN77" i="21"/>
  <c r="DW77" i="21"/>
  <c r="DQ77" i="21"/>
  <c r="DD77" i="21"/>
  <c r="CQ77" i="21"/>
  <c r="CD77" i="21"/>
  <c r="AD77" i="21"/>
  <c r="P77" i="21"/>
  <c r="I77" i="21"/>
  <c r="K77" i="21" s="1"/>
  <c r="G77" i="21"/>
  <c r="EN75" i="21"/>
  <c r="DW75" i="21"/>
  <c r="DQ75" i="21"/>
  <c r="DD75" i="21"/>
  <c r="CQ75" i="21"/>
  <c r="CD75" i="21"/>
  <c r="AD75" i="21"/>
  <c r="P75" i="21"/>
  <c r="I75" i="21"/>
  <c r="K75" i="21" s="1"/>
  <c r="G75" i="21"/>
  <c r="EN73" i="21"/>
  <c r="DW73" i="21"/>
  <c r="DQ73" i="21"/>
  <c r="DX73" i="21" s="1"/>
  <c r="P73" i="21"/>
  <c r="G73" i="21"/>
  <c r="EN71" i="21"/>
  <c r="DW71" i="21"/>
  <c r="DQ71" i="21"/>
  <c r="DD71" i="21"/>
  <c r="CQ71" i="21"/>
  <c r="CD71" i="21"/>
  <c r="BQ71" i="21"/>
  <c r="BD71" i="21"/>
  <c r="AQ71" i="21"/>
  <c r="AD71" i="21"/>
  <c r="P71" i="21"/>
  <c r="I71" i="21"/>
  <c r="K71" i="21" s="1"/>
  <c r="G71" i="21"/>
  <c r="EN69" i="21"/>
  <c r="DW69" i="21"/>
  <c r="DQ69" i="21"/>
  <c r="DC69" i="21"/>
  <c r="DB69" i="21"/>
  <c r="DA69" i="21"/>
  <c r="CZ69" i="21"/>
  <c r="CN69" i="21"/>
  <c r="CQ69" i="21" s="1"/>
  <c r="CD69" i="21"/>
  <c r="BQ69" i="21"/>
  <c r="BD69" i="21"/>
  <c r="AQ69" i="21"/>
  <c r="AD69" i="21"/>
  <c r="P69" i="21"/>
  <c r="I69" i="21"/>
  <c r="K69" i="21" s="1"/>
  <c r="G69" i="21"/>
  <c r="EN67" i="21"/>
  <c r="DQ67" i="21"/>
  <c r="DX67" i="21" s="1"/>
  <c r="P67" i="21"/>
  <c r="N67" i="21"/>
  <c r="G67" i="21"/>
  <c r="EN65" i="21"/>
  <c r="DW65" i="21"/>
  <c r="DQ65" i="21"/>
  <c r="DD65" i="21"/>
  <c r="CQ65" i="21"/>
  <c r="CD65" i="21"/>
  <c r="AD65" i="21"/>
  <c r="P65" i="21"/>
  <c r="I65" i="21"/>
  <c r="K65" i="21" s="1"/>
  <c r="G65" i="21"/>
  <c r="EN63" i="21"/>
  <c r="DW63" i="21"/>
  <c r="DQ63" i="21"/>
  <c r="DD63" i="21"/>
  <c r="CQ63" i="21"/>
  <c r="CD63" i="21"/>
  <c r="BQ63" i="21"/>
  <c r="BD63" i="21"/>
  <c r="AQ63" i="21"/>
  <c r="AD63" i="21"/>
  <c r="P63" i="21"/>
  <c r="I63" i="21"/>
  <c r="K63" i="21" s="1"/>
  <c r="G63" i="21"/>
  <c r="EN61" i="21"/>
  <c r="DW61" i="21"/>
  <c r="DQ61" i="21"/>
  <c r="DD61" i="21"/>
  <c r="CQ61" i="21"/>
  <c r="P61" i="21"/>
  <c r="I61" i="21"/>
  <c r="K61" i="21" s="1"/>
  <c r="G61" i="21"/>
  <c r="EN59" i="21"/>
  <c r="DW59" i="21"/>
  <c r="DQ59" i="21"/>
  <c r="DD59" i="21"/>
  <c r="CQ59" i="21"/>
  <c r="CD59" i="21"/>
  <c r="BQ59" i="21"/>
  <c r="BD59" i="21"/>
  <c r="AQ59" i="21"/>
  <c r="AD59" i="21"/>
  <c r="P59" i="21"/>
  <c r="I59" i="21"/>
  <c r="K59" i="21" s="1"/>
  <c r="G59" i="21"/>
  <c r="EN57" i="21"/>
  <c r="DW57" i="21"/>
  <c r="DQ57" i="21"/>
  <c r="DX57" i="21" s="1"/>
  <c r="P57" i="21"/>
  <c r="I57" i="21"/>
  <c r="K57" i="21" s="1"/>
  <c r="G57" i="21"/>
  <c r="EN55" i="21"/>
  <c r="DQ55" i="21"/>
  <c r="DX55" i="21" s="1"/>
  <c r="P55" i="21"/>
  <c r="N55" i="21"/>
  <c r="G55" i="21"/>
  <c r="EN53" i="21"/>
  <c r="DW53" i="21"/>
  <c r="DQ53" i="21"/>
  <c r="DX53" i="21" s="1"/>
  <c r="P53" i="21"/>
  <c r="G53" i="21"/>
  <c r="EN51" i="21"/>
  <c r="DQ51" i="21"/>
  <c r="DX51" i="21" s="1"/>
  <c r="P51" i="21"/>
  <c r="N51" i="21"/>
  <c r="G51" i="21"/>
  <c r="EN49" i="21"/>
  <c r="DW49" i="21"/>
  <c r="DQ49" i="21"/>
  <c r="DD49" i="21"/>
  <c r="CQ49" i="21"/>
  <c r="P49" i="21"/>
  <c r="G49" i="21"/>
  <c r="EN47" i="21"/>
  <c r="DW47" i="21"/>
  <c r="DQ47" i="21"/>
  <c r="DD47" i="21"/>
  <c r="CQ47" i="21"/>
  <c r="CD47" i="21"/>
  <c r="BQ47" i="21"/>
  <c r="BD47" i="21"/>
  <c r="AQ47" i="21"/>
  <c r="AD47" i="21"/>
  <c r="P47" i="21"/>
  <c r="I47" i="21"/>
  <c r="K47" i="21" s="1"/>
  <c r="G47" i="21"/>
  <c r="EN45" i="21"/>
  <c r="DW45" i="21"/>
  <c r="DQ45" i="21"/>
  <c r="DD45" i="21"/>
  <c r="CQ45" i="21"/>
  <c r="P45" i="21"/>
  <c r="I45" i="21"/>
  <c r="K45" i="21" s="1"/>
  <c r="G45" i="21"/>
  <c r="EN43" i="21"/>
  <c r="DW43" i="21"/>
  <c r="DQ43" i="21"/>
  <c r="DD43" i="21"/>
  <c r="CQ43" i="21"/>
  <c r="CD43" i="21"/>
  <c r="BQ43" i="21"/>
  <c r="BD43" i="21"/>
  <c r="AQ43" i="21"/>
  <c r="AD43" i="21"/>
  <c r="P43" i="21"/>
  <c r="I43" i="21"/>
  <c r="K43" i="21" s="1"/>
  <c r="G43" i="21"/>
  <c r="EN41" i="21"/>
  <c r="DW41" i="21"/>
  <c r="DQ41" i="21"/>
  <c r="DD41" i="21"/>
  <c r="CQ41" i="21"/>
  <c r="CD41" i="21"/>
  <c r="BQ41" i="21"/>
  <c r="BD41" i="21"/>
  <c r="AQ41" i="21"/>
  <c r="AD41" i="21"/>
  <c r="P41" i="21"/>
  <c r="I41" i="21"/>
  <c r="K41" i="21" s="1"/>
  <c r="G41" i="21"/>
  <c r="EN39" i="21"/>
  <c r="DW39" i="21"/>
  <c r="DQ39" i="21"/>
  <c r="DD39" i="21"/>
  <c r="DX39" i="21" s="1"/>
  <c r="DY39" i="21" s="1"/>
  <c r="CQ39" i="21"/>
  <c r="CD39" i="21"/>
  <c r="BQ39" i="21"/>
  <c r="BD39" i="21"/>
  <c r="AQ39" i="21"/>
  <c r="AD39" i="21"/>
  <c r="P39" i="21"/>
  <c r="I39" i="21"/>
  <c r="K39" i="21" s="1"/>
  <c r="G39" i="21"/>
  <c r="EN37" i="21"/>
  <c r="DW37" i="21"/>
  <c r="DQ37" i="21"/>
  <c r="DX37" i="21" s="1"/>
  <c r="P37" i="21"/>
  <c r="G37" i="21"/>
  <c r="EN35" i="21"/>
  <c r="DW35" i="21"/>
  <c r="DQ35" i="21"/>
  <c r="DD35" i="21"/>
  <c r="CQ35" i="21"/>
  <c r="CD35" i="21"/>
  <c r="BQ35" i="21"/>
  <c r="BD35" i="21"/>
  <c r="AQ35" i="21"/>
  <c r="AD35" i="21"/>
  <c r="P35" i="21"/>
  <c r="I35" i="21"/>
  <c r="K35" i="21" s="1"/>
  <c r="G35" i="21"/>
  <c r="EN33" i="21"/>
  <c r="DT33" i="21"/>
  <c r="DQ33" i="21"/>
  <c r="DX33" i="21" s="1"/>
  <c r="P33" i="21"/>
  <c r="L33" i="21"/>
  <c r="G33" i="21"/>
  <c r="EN31" i="21"/>
  <c r="DW31" i="21"/>
  <c r="DT31" i="21"/>
  <c r="DQ31" i="21"/>
  <c r="DD31" i="21"/>
  <c r="CQ31" i="21"/>
  <c r="CD31" i="21"/>
  <c r="BQ31" i="21"/>
  <c r="BD31" i="21"/>
  <c r="AD31" i="21"/>
  <c r="P31" i="21"/>
  <c r="N31" i="21"/>
  <c r="I31" i="21"/>
  <c r="G31" i="21"/>
  <c r="EN29" i="21"/>
  <c r="DX29" i="21"/>
  <c r="P29" i="21"/>
  <c r="G29" i="21"/>
  <c r="EN27" i="21"/>
  <c r="DW27" i="21"/>
  <c r="DQ27" i="21"/>
  <c r="DD27" i="21"/>
  <c r="CQ27" i="21"/>
  <c r="CD27" i="21"/>
  <c r="BQ27" i="21"/>
  <c r="BD27" i="21"/>
  <c r="AQ27" i="21"/>
  <c r="AD27" i="21"/>
  <c r="P27" i="21"/>
  <c r="I27" i="21"/>
  <c r="K27" i="21" s="1"/>
  <c r="G27" i="21"/>
  <c r="EN25" i="21"/>
  <c r="DX25" i="21"/>
  <c r="P25" i="21"/>
  <c r="G25" i="21"/>
  <c r="EN23" i="21"/>
  <c r="DW23" i="21"/>
  <c r="DQ23" i="21"/>
  <c r="DD23" i="21"/>
  <c r="CQ23" i="21"/>
  <c r="CD23" i="21"/>
  <c r="BQ23" i="21"/>
  <c r="BD23" i="21"/>
  <c r="AQ23" i="21"/>
  <c r="AD23" i="21"/>
  <c r="P23" i="21"/>
  <c r="I23" i="21"/>
  <c r="K23" i="21" s="1"/>
  <c r="G23" i="21"/>
  <c r="EN21" i="21"/>
  <c r="DW21" i="21"/>
  <c r="DQ21" i="21"/>
  <c r="DD21" i="21"/>
  <c r="CQ21" i="21"/>
  <c r="CD21" i="21"/>
  <c r="BQ21" i="21"/>
  <c r="BD21" i="21"/>
  <c r="AQ21" i="21"/>
  <c r="AD21" i="21"/>
  <c r="P21" i="21"/>
  <c r="I21" i="21"/>
  <c r="K21" i="21" s="1"/>
  <c r="G21" i="21"/>
  <c r="EN19" i="21"/>
  <c r="DW19" i="21"/>
  <c r="DQ19" i="21"/>
  <c r="DD19" i="21"/>
  <c r="CQ19" i="21"/>
  <c r="CD19" i="21"/>
  <c r="BQ19" i="21"/>
  <c r="BD19" i="21"/>
  <c r="AQ19" i="21"/>
  <c r="AD19" i="21"/>
  <c r="P19" i="21"/>
  <c r="I19" i="21"/>
  <c r="K19" i="21" s="1"/>
  <c r="G19" i="21"/>
  <c r="EN17" i="21"/>
  <c r="DW17" i="21"/>
  <c r="DQ17" i="21"/>
  <c r="DD17" i="21"/>
  <c r="CQ17" i="21"/>
  <c r="CD17" i="21"/>
  <c r="BQ17" i="21"/>
  <c r="BD17" i="21"/>
  <c r="AQ17" i="21"/>
  <c r="AD17" i="21"/>
  <c r="P17" i="21"/>
  <c r="I17" i="21"/>
  <c r="K17" i="21" s="1"/>
  <c r="G17" i="21"/>
  <c r="EN15" i="21"/>
  <c r="DW15" i="21"/>
  <c r="DQ15" i="21"/>
  <c r="DD15" i="21"/>
  <c r="CQ15" i="21"/>
  <c r="CD15" i="21"/>
  <c r="BQ15" i="21"/>
  <c r="BD15" i="21"/>
  <c r="AQ15" i="21"/>
  <c r="AD15" i="21"/>
  <c r="P15" i="21"/>
  <c r="I15" i="21"/>
  <c r="K15" i="21" s="1"/>
  <c r="G15" i="21"/>
  <c r="EN13" i="21"/>
  <c r="DW13" i="21"/>
  <c r="DQ13" i="21"/>
  <c r="DD13" i="21"/>
  <c r="BD13" i="21"/>
  <c r="AQ13" i="21"/>
  <c r="AD13" i="21"/>
  <c r="P13" i="21"/>
  <c r="K13" i="21"/>
  <c r="L13" i="21" s="1"/>
  <c r="N13" i="21" s="1"/>
  <c r="G13" i="21"/>
  <c r="EN11" i="21"/>
  <c r="DW11" i="21"/>
  <c r="DQ11" i="21"/>
  <c r="DD11" i="21"/>
  <c r="DX11" i="21" s="1"/>
  <c r="BD11" i="21"/>
  <c r="AQ11" i="21"/>
  <c r="AD11" i="21"/>
  <c r="P11" i="21"/>
  <c r="I11" i="21"/>
  <c r="K11" i="21" s="1"/>
  <c r="G11" i="21"/>
  <c r="EN9" i="21"/>
  <c r="DW9" i="21"/>
  <c r="DQ9" i="21"/>
  <c r="DD9" i="21"/>
  <c r="CQ9" i="21"/>
  <c r="CD9" i="21"/>
  <c r="BQ9" i="21"/>
  <c r="BD9" i="21"/>
  <c r="AQ9" i="21"/>
  <c r="AD9" i="21"/>
  <c r="P9" i="21"/>
  <c r="I9" i="21"/>
  <c r="K9" i="21" s="1"/>
  <c r="G9" i="21"/>
  <c r="EN7" i="21"/>
  <c r="DW7" i="21"/>
  <c r="DQ7" i="21"/>
  <c r="DD7" i="21"/>
  <c r="CQ7" i="21"/>
  <c r="CD7" i="21"/>
  <c r="P7" i="21"/>
  <c r="I7" i="21"/>
  <c r="K7" i="21" s="1"/>
  <c r="G7" i="21"/>
  <c r="EN5" i="21"/>
  <c r="DW5" i="21"/>
  <c r="DQ5" i="21"/>
  <c r="DD5" i="21"/>
  <c r="CN5" i="21"/>
  <c r="CQ5" i="21" s="1"/>
  <c r="CD5" i="21"/>
  <c r="P5" i="21"/>
  <c r="I5" i="21"/>
  <c r="K5" i="21" s="1"/>
  <c r="G5" i="21"/>
  <c r="D39" i="20"/>
  <c r="F39" i="20" s="1"/>
  <c r="D43" i="20"/>
  <c r="F43" i="20" s="1"/>
  <c r="D42" i="20"/>
  <c r="F42" i="20" s="1"/>
  <c r="D41" i="20"/>
  <c r="F41" i="20" s="1"/>
  <c r="D38" i="20"/>
  <c r="F38" i="20" s="1"/>
  <c r="D36" i="20"/>
  <c r="F36" i="20" s="1"/>
  <c r="D35" i="20"/>
  <c r="F35" i="20" s="1"/>
  <c r="D34" i="20"/>
  <c r="F34" i="20" s="1"/>
  <c r="D33" i="20"/>
  <c r="F33" i="20" s="1"/>
  <c r="D32" i="20"/>
  <c r="F32" i="20" s="1"/>
  <c r="D27" i="20"/>
  <c r="F27" i="20" s="1"/>
  <c r="D25" i="20"/>
  <c r="F25" i="20" s="1"/>
  <c r="D24" i="20"/>
  <c r="F24" i="20" s="1"/>
  <c r="D5" i="20"/>
  <c r="F5" i="20" s="1"/>
  <c r="D23" i="20"/>
  <c r="F23" i="20" s="1"/>
  <c r="D22" i="20"/>
  <c r="F22" i="20" s="1"/>
  <c r="D20" i="20"/>
  <c r="F20" i="20" s="1"/>
  <c r="D18" i="20"/>
  <c r="F18" i="20" s="1"/>
  <c r="I18" i="20" s="1"/>
  <c r="R17" i="23" s="1"/>
  <c r="D16" i="20"/>
  <c r="F16" i="20" s="1"/>
  <c r="D13" i="20"/>
  <c r="F13" i="20" s="1"/>
  <c r="D12" i="20"/>
  <c r="F12" i="20" s="1"/>
  <c r="D11" i="20"/>
  <c r="F11" i="20" s="1"/>
  <c r="D4" i="20"/>
  <c r="F4" i="20" s="1"/>
  <c r="D10" i="20"/>
  <c r="F10" i="20" s="1"/>
  <c r="D9" i="20"/>
  <c r="F9" i="20" s="1"/>
  <c r="D7" i="20"/>
  <c r="F7" i="20" s="1"/>
  <c r="D6" i="20"/>
  <c r="F6" i="20" s="1"/>
  <c r="CR33" i="1"/>
  <c r="N29" i="20" s="1"/>
  <c r="W10" i="14"/>
  <c r="H6" i="18"/>
  <c r="CR35" i="1"/>
  <c r="CR21" i="1"/>
  <c r="CS21" i="1" s="1"/>
  <c r="C18" i="23" s="1"/>
  <c r="Q18" i="23" s="1"/>
  <c r="T18" i="23" s="1"/>
  <c r="D47" i="24" s="1"/>
  <c r="R47" i="24" s="1"/>
  <c r="U47" i="24" s="1"/>
  <c r="D37" i="26" s="1"/>
  <c r="R37" i="26" s="1"/>
  <c r="U37" i="26" s="1"/>
  <c r="CR28" i="1"/>
  <c r="CS28" i="1" s="1"/>
  <c r="C25" i="23" s="1"/>
  <c r="Q25" i="23" s="1"/>
  <c r="T25" i="23" s="1"/>
  <c r="D4" i="24" s="1"/>
  <c r="H200" i="18"/>
  <c r="H231" i="18"/>
  <c r="H227" i="18"/>
  <c r="H224" i="18"/>
  <c r="H220" i="18"/>
  <c r="H214" i="18"/>
  <c r="H206" i="18"/>
  <c r="H197" i="18"/>
  <c r="H191" i="18"/>
  <c r="H185" i="18"/>
  <c r="H179" i="18"/>
  <c r="H173" i="18"/>
  <c r="H167" i="18"/>
  <c r="H160" i="18"/>
  <c r="H156" i="18"/>
  <c r="H150" i="18"/>
  <c r="H143" i="18"/>
  <c r="G133" i="18"/>
  <c r="H137" i="18"/>
  <c r="H132" i="18"/>
  <c r="H123" i="18"/>
  <c r="H115" i="18"/>
  <c r="H109" i="18"/>
  <c r="H103" i="18"/>
  <c r="H98" i="18"/>
  <c r="H91" i="18"/>
  <c r="H82" i="18"/>
  <c r="H73" i="18"/>
  <c r="H63" i="18"/>
  <c r="H55" i="18"/>
  <c r="H46" i="18"/>
  <c r="H37" i="18"/>
  <c r="H29" i="18"/>
  <c r="H24" i="18"/>
  <c r="H20" i="18"/>
  <c r="H14" i="18"/>
  <c r="H10" i="18"/>
  <c r="DI229" i="18"/>
  <c r="CV229" i="18"/>
  <c r="CI229" i="18"/>
  <c r="BV229" i="18"/>
  <c r="BI229" i="18"/>
  <c r="AV229" i="18"/>
  <c r="AI229" i="18"/>
  <c r="V229" i="18"/>
  <c r="G229" i="18"/>
  <c r="DI226" i="18"/>
  <c r="CV226" i="18"/>
  <c r="CI226" i="18"/>
  <c r="BV226" i="18"/>
  <c r="V226" i="18"/>
  <c r="G226" i="18"/>
  <c r="DI223" i="18"/>
  <c r="CV223" i="18"/>
  <c r="CI223" i="18"/>
  <c r="BV223" i="18"/>
  <c r="V223" i="18"/>
  <c r="G223" i="18"/>
  <c r="DI217" i="18"/>
  <c r="DJ217" i="18" s="1"/>
  <c r="G217" i="18"/>
  <c r="DI211" i="18"/>
  <c r="CV211" i="18"/>
  <c r="CI211" i="18"/>
  <c r="BV211" i="18"/>
  <c r="BI211" i="18"/>
  <c r="AV211" i="18"/>
  <c r="DJ211" i="18" s="1"/>
  <c r="DK211" i="18" s="1"/>
  <c r="D37" i="19" s="1"/>
  <c r="AI211" i="18"/>
  <c r="V211" i="18"/>
  <c r="G211" i="18"/>
  <c r="DI202" i="18"/>
  <c r="CU202" i="18"/>
  <c r="CT202" i="18"/>
  <c r="CS202" i="18"/>
  <c r="CR202" i="18"/>
  <c r="CF202" i="18"/>
  <c r="CI202" i="18" s="1"/>
  <c r="BV202" i="18"/>
  <c r="BI202" i="18"/>
  <c r="AV202" i="18"/>
  <c r="AI202" i="18"/>
  <c r="V202" i="18"/>
  <c r="G202" i="18"/>
  <c r="DI199" i="18"/>
  <c r="DJ199" i="18" s="1"/>
  <c r="DK199" i="18" s="1"/>
  <c r="D35" i="19" s="1"/>
  <c r="G199" i="18"/>
  <c r="DI196" i="18"/>
  <c r="CV196" i="18"/>
  <c r="CI196" i="18"/>
  <c r="BV196" i="18"/>
  <c r="V196" i="18"/>
  <c r="G196" i="18"/>
  <c r="DI187" i="18"/>
  <c r="CV187" i="18"/>
  <c r="CI187" i="18"/>
  <c r="BV187" i="18"/>
  <c r="BI187" i="18"/>
  <c r="AV187" i="18"/>
  <c r="AI187" i="18"/>
  <c r="V187" i="18"/>
  <c r="G187" i="18"/>
  <c r="DI184" i="18"/>
  <c r="CV184" i="18"/>
  <c r="CI184" i="18"/>
  <c r="G184" i="18"/>
  <c r="DI176" i="18"/>
  <c r="CV176" i="18"/>
  <c r="CI176" i="18"/>
  <c r="BV176" i="18"/>
  <c r="BI176" i="18"/>
  <c r="AV176" i="18"/>
  <c r="AI176" i="18"/>
  <c r="V176" i="18"/>
  <c r="G176" i="18"/>
  <c r="DI170" i="18"/>
  <c r="DJ170" i="18" s="1"/>
  <c r="DK170" i="18" s="1"/>
  <c r="D30" i="19" s="1"/>
  <c r="G170" i="18"/>
  <c r="DI164" i="18"/>
  <c r="DJ164" i="18" s="1"/>
  <c r="DK164" i="18" s="1"/>
  <c r="D29" i="19" s="1"/>
  <c r="G164" i="18"/>
  <c r="DI158" i="18"/>
  <c r="DJ158" i="18" s="1"/>
  <c r="G158" i="18"/>
  <c r="DI155" i="18"/>
  <c r="CV155" i="18"/>
  <c r="CI155" i="18"/>
  <c r="G155" i="18"/>
  <c r="DI146" i="18"/>
  <c r="CV146" i="18"/>
  <c r="CI146" i="18"/>
  <c r="BV146" i="18"/>
  <c r="BI146" i="18"/>
  <c r="AV146" i="18"/>
  <c r="AI146" i="18"/>
  <c r="V146" i="18"/>
  <c r="G146" i="18"/>
  <c r="DI142" i="18"/>
  <c r="CV142" i="18"/>
  <c r="CI142" i="18"/>
  <c r="G142" i="18"/>
  <c r="DI133" i="18"/>
  <c r="CV133" i="18"/>
  <c r="CI133" i="18"/>
  <c r="BV133" i="18"/>
  <c r="BI133" i="18"/>
  <c r="AV133" i="18"/>
  <c r="AI133" i="18"/>
  <c r="V133" i="18"/>
  <c r="DI128" i="18"/>
  <c r="CV128" i="18"/>
  <c r="CI128" i="18"/>
  <c r="BV128" i="18"/>
  <c r="BI128" i="18"/>
  <c r="AV128" i="18"/>
  <c r="AI128" i="18"/>
  <c r="V128" i="18"/>
  <c r="G128" i="18"/>
  <c r="DI119" i="18"/>
  <c r="CV119" i="18"/>
  <c r="CI119" i="18"/>
  <c r="BV119" i="18"/>
  <c r="BI119" i="18"/>
  <c r="AV119" i="18"/>
  <c r="AI119" i="18"/>
  <c r="V119" i="18"/>
  <c r="G119" i="18"/>
  <c r="DI113" i="18"/>
  <c r="DJ113" i="18" s="1"/>
  <c r="G113" i="18"/>
  <c r="DI107" i="18"/>
  <c r="CV107" i="18"/>
  <c r="CI107" i="18"/>
  <c r="BV107" i="18"/>
  <c r="BI107" i="18"/>
  <c r="AV107" i="18"/>
  <c r="AI107" i="18"/>
  <c r="V107" i="18"/>
  <c r="G107" i="18"/>
  <c r="DI101" i="18"/>
  <c r="DJ101" i="18" s="1"/>
  <c r="G101" i="18"/>
  <c r="DI96" i="18"/>
  <c r="CV96" i="18"/>
  <c r="CI96" i="18"/>
  <c r="BV96" i="18"/>
  <c r="BI96" i="18"/>
  <c r="AV96" i="18"/>
  <c r="V96" i="18"/>
  <c r="G96" i="18"/>
  <c r="DJ87" i="18"/>
  <c r="G87" i="18"/>
  <c r="DI78" i="18"/>
  <c r="CV78" i="18"/>
  <c r="CI78" i="18"/>
  <c r="BV78" i="18"/>
  <c r="BI78" i="18"/>
  <c r="AV78" i="18"/>
  <c r="AI78" i="18"/>
  <c r="V78" i="18"/>
  <c r="G78" i="18"/>
  <c r="DJ69" i="18"/>
  <c r="DK69" i="18" s="1"/>
  <c r="D13" i="19"/>
  <c r="G69" i="18"/>
  <c r="DI60" i="18"/>
  <c r="CV60" i="18"/>
  <c r="CI60" i="18"/>
  <c r="BV60" i="18"/>
  <c r="BI60" i="18"/>
  <c r="AV60" i="18"/>
  <c r="AI60" i="18"/>
  <c r="V60" i="18"/>
  <c r="G60" i="18"/>
  <c r="DI51" i="18"/>
  <c r="CV51" i="18"/>
  <c r="CI51" i="18"/>
  <c r="BV51" i="18"/>
  <c r="BI51" i="18"/>
  <c r="AV51" i="18"/>
  <c r="AI51" i="18"/>
  <c r="V51" i="18"/>
  <c r="G51" i="18"/>
  <c r="DI42" i="18"/>
  <c r="CV42" i="18"/>
  <c r="CI42" i="18"/>
  <c r="BV42" i="18"/>
  <c r="BI42" i="18"/>
  <c r="AV42" i="18"/>
  <c r="AI42" i="18"/>
  <c r="V42" i="18"/>
  <c r="G42" i="18"/>
  <c r="DI32" i="18"/>
  <c r="CV32" i="18"/>
  <c r="CI32" i="18"/>
  <c r="BV32" i="18"/>
  <c r="BI32" i="18"/>
  <c r="AV32" i="18"/>
  <c r="AI32" i="18"/>
  <c r="V32" i="18"/>
  <c r="G32" i="18"/>
  <c r="DI26" i="18"/>
  <c r="CV26" i="18"/>
  <c r="CI26" i="18"/>
  <c r="BV26" i="18"/>
  <c r="BI26" i="18"/>
  <c r="AV26" i="18"/>
  <c r="AI26" i="18"/>
  <c r="V26" i="18"/>
  <c r="G26" i="18"/>
  <c r="DI22" i="18"/>
  <c r="CV22" i="18"/>
  <c r="DJ22" i="18" s="1"/>
  <c r="AV22" i="18"/>
  <c r="AI22" i="18"/>
  <c r="V22" i="18"/>
  <c r="G22" i="18"/>
  <c r="DI18" i="18"/>
  <c r="CV18" i="18"/>
  <c r="DJ18" i="18" s="1"/>
  <c r="AV18" i="18"/>
  <c r="AI18" i="18"/>
  <c r="V18" i="18"/>
  <c r="G18" i="18"/>
  <c r="DI12" i="18"/>
  <c r="CV12" i="18"/>
  <c r="CI12" i="18"/>
  <c r="BV12" i="18"/>
  <c r="BI12" i="18"/>
  <c r="AV12" i="18"/>
  <c r="AI12" i="18"/>
  <c r="V12" i="18"/>
  <c r="G12" i="18"/>
  <c r="DI9" i="18"/>
  <c r="CV9" i="18"/>
  <c r="CI9" i="18"/>
  <c r="BV9" i="18"/>
  <c r="G9" i="18"/>
  <c r="DI5" i="18"/>
  <c r="CV5" i="18"/>
  <c r="CF5" i="18"/>
  <c r="CI5" i="18" s="1"/>
  <c r="BV5" i="18"/>
  <c r="DJ5" i="18" s="1"/>
  <c r="DK6" i="18" s="1"/>
  <c r="D3" i="19" s="1"/>
  <c r="G5" i="18"/>
  <c r="A6" i="14"/>
  <c r="I46" i="14"/>
  <c r="E46" i="14"/>
  <c r="G46" i="14" s="1"/>
  <c r="O46" i="14" s="1"/>
  <c r="P46" i="14" s="1"/>
  <c r="I45" i="14"/>
  <c r="E45" i="14"/>
  <c r="G45" i="14" s="1"/>
  <c r="I44" i="14"/>
  <c r="E44" i="14"/>
  <c r="G44" i="14" s="1"/>
  <c r="O44" i="14" s="1"/>
  <c r="P44" i="14" s="1"/>
  <c r="R44" i="14" s="1"/>
  <c r="I43" i="14"/>
  <c r="E43" i="14"/>
  <c r="G43" i="14" s="1"/>
  <c r="I42" i="14"/>
  <c r="E42" i="14"/>
  <c r="G42" i="14" s="1"/>
  <c r="I41" i="14"/>
  <c r="S41" i="14" s="1"/>
  <c r="G38" i="20" s="1"/>
  <c r="G41" i="14"/>
  <c r="I40" i="14"/>
  <c r="S40" i="14" s="1"/>
  <c r="E40" i="14"/>
  <c r="G40" i="14" s="1"/>
  <c r="I39" i="14"/>
  <c r="G39" i="14"/>
  <c r="I38" i="14"/>
  <c r="S38" i="14" s="1"/>
  <c r="G34" i="20" s="1"/>
  <c r="E38" i="14"/>
  <c r="G38" i="14" s="1"/>
  <c r="I37" i="14"/>
  <c r="S37" i="14" s="1"/>
  <c r="E37" i="14"/>
  <c r="G37" i="14" s="1"/>
  <c r="I36" i="14"/>
  <c r="E36" i="14"/>
  <c r="G36" i="14" s="1"/>
  <c r="O36" i="14" s="1"/>
  <c r="P36" i="14" s="1"/>
  <c r="I35" i="14"/>
  <c r="S35" i="14" s="1"/>
  <c r="DS53" i="21" s="1"/>
  <c r="L53" i="21" s="1"/>
  <c r="N53" i="21" s="1"/>
  <c r="E35" i="14"/>
  <c r="G35" i="14" s="1"/>
  <c r="I34" i="14"/>
  <c r="E34" i="14"/>
  <c r="G34" i="14" s="1"/>
  <c r="I33" i="14"/>
  <c r="S33" i="14" s="1"/>
  <c r="E33" i="14"/>
  <c r="G33" i="14" s="1"/>
  <c r="I32" i="14"/>
  <c r="E32" i="14"/>
  <c r="G32" i="14" s="1"/>
  <c r="O32" i="14" s="1"/>
  <c r="P32" i="14" s="1"/>
  <c r="E31" i="14"/>
  <c r="I30" i="14"/>
  <c r="S30" i="14" s="1"/>
  <c r="DS43" i="21" s="1"/>
  <c r="E30" i="14"/>
  <c r="G30" i="14" s="1"/>
  <c r="I29" i="14"/>
  <c r="S29" i="14" s="1"/>
  <c r="G29" i="14"/>
  <c r="O29" i="14" s="1"/>
  <c r="P29" i="14" s="1"/>
  <c r="R29" i="14" s="1"/>
  <c r="I28" i="14"/>
  <c r="G28" i="14"/>
  <c r="I27" i="14"/>
  <c r="S27" i="14" s="1"/>
  <c r="E27" i="14"/>
  <c r="G27" i="14" s="1"/>
  <c r="I26" i="14"/>
  <c r="S26" i="14" s="1"/>
  <c r="E26" i="14"/>
  <c r="G26" i="14" s="1"/>
  <c r="I25" i="14"/>
  <c r="S25" i="14" s="1"/>
  <c r="E25" i="14"/>
  <c r="G25" i="14" s="1"/>
  <c r="E24" i="14"/>
  <c r="I23" i="14"/>
  <c r="S23" i="14" s="1"/>
  <c r="E23" i="14"/>
  <c r="G23" i="14" s="1"/>
  <c r="I22" i="14"/>
  <c r="S22" i="14" s="1"/>
  <c r="G17" i="20" s="1"/>
  <c r="L17" i="20" s="1"/>
  <c r="E22" i="14"/>
  <c r="G22" i="14" s="1"/>
  <c r="I21" i="14"/>
  <c r="S21" i="14" s="1"/>
  <c r="G16" i="20" s="1"/>
  <c r="I16" i="20" s="1"/>
  <c r="L16" i="20" s="1"/>
  <c r="G21" i="14"/>
  <c r="I20" i="14"/>
  <c r="E20" i="14"/>
  <c r="G20" i="14" s="1"/>
  <c r="I19" i="14"/>
  <c r="S19" i="14" s="1"/>
  <c r="DS23" i="21" s="1"/>
  <c r="G19" i="14"/>
  <c r="I18" i="14"/>
  <c r="S18" i="14" s="1"/>
  <c r="G18" i="14"/>
  <c r="I17" i="14"/>
  <c r="E17" i="14"/>
  <c r="G17" i="14" s="1"/>
  <c r="I16" i="14"/>
  <c r="S16" i="14" s="1"/>
  <c r="E16" i="14"/>
  <c r="G16" i="14" s="1"/>
  <c r="I15" i="14"/>
  <c r="S15" i="14" s="1"/>
  <c r="E15" i="14"/>
  <c r="G15" i="14" s="1"/>
  <c r="O15" i="14" s="1"/>
  <c r="P15" i="14" s="1"/>
  <c r="I14" i="14"/>
  <c r="S14" i="14" s="1"/>
  <c r="E14" i="14"/>
  <c r="G14" i="14" s="1"/>
  <c r="I13" i="14"/>
  <c r="S13" i="14" s="1"/>
  <c r="E13" i="14"/>
  <c r="G13" i="14" s="1"/>
  <c r="I12" i="14"/>
  <c r="S12" i="14" s="1"/>
  <c r="DS9" i="21" s="1"/>
  <c r="L9" i="21" s="1"/>
  <c r="N9" i="21" s="1"/>
  <c r="E12" i="14"/>
  <c r="G12" i="14" s="1"/>
  <c r="O12" i="14" s="1"/>
  <c r="P12" i="14" s="1"/>
  <c r="R12" i="14" s="1"/>
  <c r="I11" i="14"/>
  <c r="E11" i="14"/>
  <c r="G11" i="14" s="1"/>
  <c r="A11" i="14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I10" i="14"/>
  <c r="S10" i="14" s="1"/>
  <c r="G4" i="20" s="1"/>
  <c r="I4" i="20" s="1"/>
  <c r="R3" i="23" s="1"/>
  <c r="E10" i="14"/>
  <c r="G10" i="14" s="1"/>
  <c r="A7" i="1"/>
  <c r="A8" i="1" s="1"/>
  <c r="CP25" i="1"/>
  <c r="CP15" i="1"/>
  <c r="CC25" i="1"/>
  <c r="CC15" i="1"/>
  <c r="BP25" i="1"/>
  <c r="BP15" i="1"/>
  <c r="BC25" i="1"/>
  <c r="BC15" i="1"/>
  <c r="AP25" i="1"/>
  <c r="AP15" i="1"/>
  <c r="AC25" i="1"/>
  <c r="AC15" i="1"/>
  <c r="P25" i="1"/>
  <c r="P15" i="1"/>
  <c r="CP39" i="1"/>
  <c r="CP26" i="1"/>
  <c r="CP14" i="1"/>
  <c r="CC39" i="1"/>
  <c r="CC26" i="1"/>
  <c r="CC14" i="1"/>
  <c r="BP39" i="1"/>
  <c r="BP26" i="1"/>
  <c r="BP14" i="1"/>
  <c r="BC39" i="1"/>
  <c r="BC26" i="1"/>
  <c r="BC14" i="1"/>
  <c r="AP39" i="1"/>
  <c r="AP26" i="1"/>
  <c r="AP14" i="1"/>
  <c r="AC39" i="1"/>
  <c r="AC26" i="1"/>
  <c r="AC14" i="1"/>
  <c r="CP18" i="1"/>
  <c r="CC18" i="1"/>
  <c r="BP18" i="1"/>
  <c r="BC18" i="1"/>
  <c r="AP18" i="1"/>
  <c r="AC18" i="1"/>
  <c r="P18" i="1"/>
  <c r="CP13" i="1"/>
  <c r="CP12" i="1"/>
  <c r="CC13" i="1"/>
  <c r="CC12" i="1"/>
  <c r="BP13" i="1"/>
  <c r="BP12" i="1"/>
  <c r="BC13" i="1"/>
  <c r="BC12" i="1"/>
  <c r="AP13" i="1"/>
  <c r="AP12" i="1"/>
  <c r="AC13" i="1"/>
  <c r="AC12" i="1"/>
  <c r="CP31" i="1"/>
  <c r="CP27" i="1"/>
  <c r="CC31" i="1"/>
  <c r="CC27" i="1"/>
  <c r="BP31" i="1"/>
  <c r="BP27" i="1"/>
  <c r="BC31" i="1"/>
  <c r="BC27" i="1"/>
  <c r="AP31" i="1"/>
  <c r="AP27" i="1"/>
  <c r="AC31" i="1"/>
  <c r="AC27" i="1"/>
  <c r="CP37" i="1"/>
  <c r="CP11" i="1"/>
  <c r="CC37" i="1"/>
  <c r="CC11" i="1"/>
  <c r="BP37" i="1"/>
  <c r="BP11" i="1"/>
  <c r="BC37" i="1"/>
  <c r="BC11" i="1"/>
  <c r="AP37" i="1"/>
  <c r="AP11" i="1"/>
  <c r="AC37" i="1"/>
  <c r="AC11" i="1"/>
  <c r="CP47" i="1"/>
  <c r="CP43" i="1"/>
  <c r="CP23" i="1"/>
  <c r="CP8" i="1"/>
  <c r="CC47" i="1"/>
  <c r="CC43" i="1"/>
  <c r="CC23" i="1"/>
  <c r="CC8" i="1"/>
  <c r="BP47" i="1"/>
  <c r="BP43" i="1"/>
  <c r="BP23" i="1"/>
  <c r="BP8" i="1"/>
  <c r="BC47" i="1"/>
  <c r="BC43" i="1"/>
  <c r="BC23" i="1"/>
  <c r="BC8" i="1"/>
  <c r="AP47" i="1"/>
  <c r="AP43" i="1"/>
  <c r="AP23" i="1"/>
  <c r="AP8" i="1"/>
  <c r="AC47" i="1"/>
  <c r="AC43" i="1"/>
  <c r="AC23" i="1"/>
  <c r="AC8" i="1"/>
  <c r="CP40" i="1"/>
  <c r="CP38" i="1"/>
  <c r="CP7" i="1"/>
  <c r="CP6" i="1"/>
  <c r="CC40" i="1"/>
  <c r="CC38" i="1"/>
  <c r="CC7" i="1"/>
  <c r="BP40" i="1"/>
  <c r="BP38" i="1"/>
  <c r="BP7" i="1"/>
  <c r="BP6" i="1"/>
  <c r="BC40" i="1"/>
  <c r="BC38" i="1"/>
  <c r="BC7" i="1"/>
  <c r="BC6" i="1"/>
  <c r="AP40" i="1"/>
  <c r="AP38" i="1"/>
  <c r="AP7" i="1"/>
  <c r="AP6" i="1"/>
  <c r="AC40" i="1"/>
  <c r="AC38" i="1"/>
  <c r="AC7" i="1"/>
  <c r="CP46" i="1"/>
  <c r="CP45" i="1"/>
  <c r="CP29" i="1"/>
  <c r="CP9" i="1"/>
  <c r="CC46" i="1"/>
  <c r="CC45" i="1"/>
  <c r="CC29" i="1"/>
  <c r="CC9" i="1"/>
  <c r="BP46" i="1"/>
  <c r="BP45" i="1"/>
  <c r="BP29" i="1"/>
  <c r="BP9" i="1"/>
  <c r="BC46" i="1"/>
  <c r="BC45" i="1"/>
  <c r="BC29" i="1"/>
  <c r="BC9" i="1"/>
  <c r="AP46" i="1"/>
  <c r="AP45" i="1"/>
  <c r="AP29" i="1"/>
  <c r="AP9" i="1"/>
  <c r="AC46" i="1"/>
  <c r="AC45" i="1"/>
  <c r="AC29" i="1"/>
  <c r="AC9" i="1"/>
  <c r="CP44" i="1"/>
  <c r="CP36" i="1"/>
  <c r="CP34" i="1"/>
  <c r="CP32" i="1"/>
  <c r="CP24" i="1"/>
  <c r="CP22" i="1"/>
  <c r="CP20" i="1"/>
  <c r="CP10" i="1"/>
  <c r="CC44" i="1"/>
  <c r="CC36" i="1"/>
  <c r="CC34" i="1"/>
  <c r="CC32" i="1"/>
  <c r="CC24" i="1"/>
  <c r="CC22" i="1"/>
  <c r="CC20" i="1"/>
  <c r="CC10" i="1"/>
  <c r="BP44" i="1"/>
  <c r="BP36" i="1"/>
  <c r="BP34" i="1"/>
  <c r="BP32" i="1"/>
  <c r="BP24" i="1"/>
  <c r="BP22" i="1"/>
  <c r="BP20" i="1"/>
  <c r="BP10" i="1"/>
  <c r="BC44" i="1"/>
  <c r="BC36" i="1"/>
  <c r="BC34" i="1"/>
  <c r="BC32" i="1"/>
  <c r="BC24" i="1"/>
  <c r="BC22" i="1"/>
  <c r="BC20" i="1"/>
  <c r="BC10" i="1"/>
  <c r="AP44" i="1"/>
  <c r="AP36" i="1"/>
  <c r="AP34" i="1"/>
  <c r="AP32" i="1"/>
  <c r="AP24" i="1"/>
  <c r="AP22" i="1"/>
  <c r="AP20" i="1"/>
  <c r="AP10" i="1"/>
  <c r="AC44" i="1"/>
  <c r="AC36" i="1"/>
  <c r="AC34" i="1"/>
  <c r="AC32" i="1"/>
  <c r="AC24" i="1"/>
  <c r="CR24" i="1" s="1"/>
  <c r="AC22" i="1"/>
  <c r="AC20" i="1"/>
  <c r="AC10" i="1"/>
  <c r="CP19" i="1"/>
  <c r="CP17" i="1"/>
  <c r="CC19" i="1"/>
  <c r="CC17" i="1"/>
  <c r="BP19" i="1"/>
  <c r="BP17" i="1"/>
  <c r="BC19" i="1"/>
  <c r="BC17" i="1"/>
  <c r="AP19" i="1"/>
  <c r="AP17" i="1"/>
  <c r="AC19" i="1"/>
  <c r="AC17" i="1"/>
  <c r="AC6" i="1"/>
  <c r="P47" i="1"/>
  <c r="P46" i="1"/>
  <c r="P45" i="1"/>
  <c r="P44" i="1"/>
  <c r="P43" i="1"/>
  <c r="CR43" i="1" s="1"/>
  <c r="P40" i="1"/>
  <c r="P39" i="1"/>
  <c r="P38" i="1"/>
  <c r="CR38" i="1" s="1"/>
  <c r="P37" i="1"/>
  <c r="P36" i="1"/>
  <c r="CR36" i="1" s="1"/>
  <c r="N32" i="20" s="1"/>
  <c r="O32" i="20" s="1"/>
  <c r="P34" i="1"/>
  <c r="CR34" i="1" s="1"/>
  <c r="CS34" i="1" s="1"/>
  <c r="C31" i="23" s="1"/>
  <c r="P32" i="1"/>
  <c r="P31" i="1"/>
  <c r="P29" i="1"/>
  <c r="CR29" i="1" s="1"/>
  <c r="N25" i="20" s="1"/>
  <c r="P27" i="1"/>
  <c r="P26" i="1"/>
  <c r="P24" i="1"/>
  <c r="P23" i="1"/>
  <c r="P22" i="1"/>
  <c r="Q25" i="14"/>
  <c r="P20" i="1"/>
  <c r="P19" i="1"/>
  <c r="CR19" i="1" s="1"/>
  <c r="CS19" i="1" s="1"/>
  <c r="C16" i="23" s="1"/>
  <c r="Q16" i="23" s="1"/>
  <c r="T16" i="23" s="1"/>
  <c r="P17" i="1"/>
  <c r="P14" i="1"/>
  <c r="P13" i="1"/>
  <c r="P12" i="1"/>
  <c r="P10" i="1"/>
  <c r="P9" i="1"/>
  <c r="P8" i="1"/>
  <c r="P7" i="1"/>
  <c r="P6" i="1"/>
  <c r="BZ6" i="1"/>
  <c r="CC6" i="1" s="1"/>
  <c r="P11" i="1"/>
  <c r="S31" i="14"/>
  <c r="S45" i="14"/>
  <c r="DS77" i="21" s="1"/>
  <c r="S17" i="14"/>
  <c r="G11" i="20" s="1"/>
  <c r="S36" i="14"/>
  <c r="DS57" i="21" s="1"/>
  <c r="S24" i="14"/>
  <c r="S44" i="14"/>
  <c r="Q15" i="14"/>
  <c r="Q46" i="14"/>
  <c r="Q38" i="14"/>
  <c r="Q12" i="14"/>
  <c r="Q30" i="14"/>
  <c r="Q14" i="14"/>
  <c r="Q28" i="14"/>
  <c r="Q44" i="14"/>
  <c r="Q33" i="14"/>
  <c r="CS16" i="1"/>
  <c r="C13" i="23" s="1"/>
  <c r="Q13" i="23" s="1"/>
  <c r="T13" i="23" s="1"/>
  <c r="D22" i="24" s="1"/>
  <c r="Q27" i="14"/>
  <c r="Q42" i="14"/>
  <c r="Q36" i="14"/>
  <c r="R36" i="14" s="1"/>
  <c r="Q39" i="14"/>
  <c r="Q13" i="14"/>
  <c r="Q16" i="14"/>
  <c r="Q29" i="14"/>
  <c r="Q32" i="14"/>
  <c r="Q45" i="14"/>
  <c r="Q26" i="14"/>
  <c r="Q22" i="14"/>
  <c r="Q10" i="14"/>
  <c r="Q47" i="14" s="1"/>
  <c r="Q34" i="14"/>
  <c r="Q11" i="14"/>
  <c r="Q18" i="14"/>
  <c r="Q37" i="14"/>
  <c r="Q40" i="14"/>
  <c r="Q41" i="14"/>
  <c r="Q20" i="14"/>
  <c r="Q17" i="14"/>
  <c r="Q21" i="14"/>
  <c r="Q19" i="14"/>
  <c r="Q35" i="14"/>
  <c r="Q23" i="14"/>
  <c r="Q43" i="14"/>
  <c r="O41" i="14"/>
  <c r="P41" i="14" s="1"/>
  <c r="S34" i="14"/>
  <c r="S46" i="14"/>
  <c r="G43" i="20" s="1"/>
  <c r="I43" i="20" s="1"/>
  <c r="G24" i="20"/>
  <c r="O39" i="14"/>
  <c r="P39" i="14" s="1"/>
  <c r="R39" i="14" s="1"/>
  <c r="S39" i="14"/>
  <c r="DS63" i="21" s="1"/>
  <c r="L63" i="21" s="1"/>
  <c r="N63" i="21" s="1"/>
  <c r="R32" i="23"/>
  <c r="R27" i="23"/>
  <c r="N26" i="20"/>
  <c r="G12" i="20"/>
  <c r="DS21" i="21"/>
  <c r="S11" i="14"/>
  <c r="CR13" i="1"/>
  <c r="N11" i="20" s="1"/>
  <c r="O11" i="20" s="1"/>
  <c r="CR46" i="1"/>
  <c r="DK158" i="18"/>
  <c r="D28" i="19" s="1"/>
  <c r="S43" i="14"/>
  <c r="DS73" i="21" s="1"/>
  <c r="HV28" i="25"/>
  <c r="G32" i="20"/>
  <c r="I32" i="20" s="1"/>
  <c r="G42" i="20"/>
  <c r="I42" i="20" s="1"/>
  <c r="W11" i="14"/>
  <c r="W12" i="14" s="1"/>
  <c r="DS17" i="21"/>
  <c r="G10" i="20"/>
  <c r="I10" i="20" s="1"/>
  <c r="R9" i="23" s="1"/>
  <c r="S20" i="14"/>
  <c r="DS25" i="21" s="1"/>
  <c r="N25" i="21" s="1"/>
  <c r="S42" i="14"/>
  <c r="DS71" i="21" s="1"/>
  <c r="S22" i="24"/>
  <c r="CR44" i="1"/>
  <c r="CS44" i="1" s="1"/>
  <c r="C41" i="23" s="1"/>
  <c r="Q41" i="23" s="1"/>
  <c r="T41" i="23" s="1"/>
  <c r="D10" i="24" s="1"/>
  <c r="CR12" i="1"/>
  <c r="N10" i="20" s="1"/>
  <c r="O10" i="20" s="1"/>
  <c r="DT65" i="21"/>
  <c r="L65" i="21"/>
  <c r="L8" i="20"/>
  <c r="R7" i="23"/>
  <c r="DS5" i="21"/>
  <c r="DS19" i="21"/>
  <c r="N19" i="21" s="1"/>
  <c r="DK101" i="18"/>
  <c r="D18" i="19" s="1"/>
  <c r="I24" i="20"/>
  <c r="R24" i="23" s="1"/>
  <c r="DJ142" i="18"/>
  <c r="DK142" i="18" s="1"/>
  <c r="D25" i="19" s="1"/>
  <c r="DT19" i="21"/>
  <c r="DS79" i="21"/>
  <c r="L19" i="20"/>
  <c r="R19" i="23"/>
  <c r="L24" i="20"/>
  <c r="S32" i="14"/>
  <c r="DS45" i="21" s="1"/>
  <c r="CR15" i="1"/>
  <c r="CS15" i="1" s="1"/>
  <c r="C12" i="23" s="1"/>
  <c r="Q12" i="23" s="1"/>
  <c r="T12" i="23" s="1"/>
  <c r="D49" i="24" s="1"/>
  <c r="O30" i="14"/>
  <c r="P30" i="14" s="1"/>
  <c r="N31" i="20"/>
  <c r="O31" i="20" s="1"/>
  <c r="CS35" i="1"/>
  <c r="C32" i="23" s="1"/>
  <c r="Q32" i="23" s="1"/>
  <c r="T32" i="23" s="1"/>
  <c r="D8" i="24" s="1"/>
  <c r="DD69" i="21"/>
  <c r="L79" i="21"/>
  <c r="N79" i="21" s="1"/>
  <c r="CR20" i="1"/>
  <c r="N18" i="20" s="1"/>
  <c r="O18" i="20" s="1"/>
  <c r="O40" i="14"/>
  <c r="P40" i="14" s="1"/>
  <c r="R40" i="14" s="1"/>
  <c r="CV202" i="18"/>
  <c r="S28" i="14"/>
  <c r="O28" i="14"/>
  <c r="P28" i="14" s="1"/>
  <c r="G25" i="20"/>
  <c r="I25" i="20" s="1"/>
  <c r="R26" i="23" s="1"/>
  <c r="N13" i="20"/>
  <c r="O13" i="20" s="1"/>
  <c r="HV24" i="25"/>
  <c r="CS24" i="1" l="1"/>
  <c r="C21" i="23" s="1"/>
  <c r="Q21" i="23" s="1"/>
  <c r="T21" i="23" s="1"/>
  <c r="D14" i="24" s="1"/>
  <c r="N21" i="20"/>
  <c r="O21" i="20" s="1"/>
  <c r="G21" i="20"/>
  <c r="I21" i="20" s="1"/>
  <c r="DS37" i="21"/>
  <c r="L37" i="21" s="1"/>
  <c r="N37" i="21" s="1"/>
  <c r="CS43" i="1"/>
  <c r="C40" i="23" s="1"/>
  <c r="Q40" i="23" s="1"/>
  <c r="T40" i="23" s="1"/>
  <c r="D55" i="24" s="1"/>
  <c r="N39" i="20"/>
  <c r="O39" i="20" s="1"/>
  <c r="G30" i="20"/>
  <c r="I30" i="20" s="1"/>
  <c r="L30" i="20" s="1"/>
  <c r="S17" i="24" s="1"/>
  <c r="CS29" i="1"/>
  <c r="C26" i="23" s="1"/>
  <c r="Q26" i="23" s="1"/>
  <c r="T26" i="23" s="1"/>
  <c r="D6" i="24" s="1"/>
  <c r="G13" i="20"/>
  <c r="CR9" i="1"/>
  <c r="CS9" i="1" s="1"/>
  <c r="C6" i="23" s="1"/>
  <c r="Q6" i="23" s="1"/>
  <c r="T6" i="23" s="1"/>
  <c r="D20" i="24" s="1"/>
  <c r="R20" i="24" s="1"/>
  <c r="U20" i="24" s="1"/>
  <c r="D17" i="26" s="1"/>
  <c r="R17" i="26" s="1"/>
  <c r="U17" i="26" s="1"/>
  <c r="CR14" i="1"/>
  <c r="CS14" i="1" s="1"/>
  <c r="C11" i="23" s="1"/>
  <c r="Q11" i="23" s="1"/>
  <c r="T11" i="23" s="1"/>
  <c r="D50" i="24" s="1"/>
  <c r="R50" i="24" s="1"/>
  <c r="U50" i="24" s="1"/>
  <c r="D40" i="26" s="1"/>
  <c r="R40" i="26" s="1"/>
  <c r="U40" i="26" s="1"/>
  <c r="CR26" i="1"/>
  <c r="CR32" i="1"/>
  <c r="CR17" i="1"/>
  <c r="CS17" i="1" s="1"/>
  <c r="C14" i="23" s="1"/>
  <c r="Q14" i="23" s="1"/>
  <c r="T14" i="23" s="1"/>
  <c r="CR22" i="1"/>
  <c r="CR11" i="1"/>
  <c r="CR27" i="1"/>
  <c r="N24" i="20" s="1"/>
  <c r="O24" i="20" s="1"/>
  <c r="CR18" i="1"/>
  <c r="CS18" i="1" s="1"/>
  <c r="C15" i="23" s="1"/>
  <c r="Q15" i="23" s="1"/>
  <c r="T15" i="23" s="1"/>
  <c r="D30" i="24" s="1"/>
  <c r="R30" i="24" s="1"/>
  <c r="U30" i="24" s="1"/>
  <c r="D21" i="26" s="1"/>
  <c r="R21" i="26" s="1"/>
  <c r="U21" i="26" s="1"/>
  <c r="CR39" i="1"/>
  <c r="CR25" i="1"/>
  <c r="N22" i="20" s="1"/>
  <c r="O22" i="20" s="1"/>
  <c r="O25" i="14"/>
  <c r="P25" i="14" s="1"/>
  <c r="O27" i="14"/>
  <c r="P27" i="14" s="1"/>
  <c r="O35" i="14"/>
  <c r="P35" i="14" s="1"/>
  <c r="O43" i="14"/>
  <c r="P43" i="14" s="1"/>
  <c r="O45" i="14"/>
  <c r="P45" i="14" s="1"/>
  <c r="DK18" i="18"/>
  <c r="D6" i="19" s="1"/>
  <c r="DJ96" i="18"/>
  <c r="DK96" i="18" s="1"/>
  <c r="D16" i="19" s="1"/>
  <c r="DY29" i="21"/>
  <c r="DX75" i="21"/>
  <c r="DY75" i="21" s="1"/>
  <c r="O19" i="14"/>
  <c r="P19" i="14" s="1"/>
  <c r="O21" i="14"/>
  <c r="P21" i="14" s="1"/>
  <c r="O23" i="14"/>
  <c r="P23" i="14" s="1"/>
  <c r="R23" i="14" s="1"/>
  <c r="DJ9" i="18"/>
  <c r="DK9" i="18" s="1"/>
  <c r="D4" i="19" s="1"/>
  <c r="DJ12" i="18"/>
  <c r="DK12" i="18" s="1"/>
  <c r="D5" i="19" s="1"/>
  <c r="DJ32" i="18"/>
  <c r="DK32" i="18" s="1"/>
  <c r="D9" i="19" s="1"/>
  <c r="DJ42" i="18"/>
  <c r="DK42" i="18" s="1"/>
  <c r="D10" i="19" s="1"/>
  <c r="DJ51" i="18"/>
  <c r="DK51" i="18" s="1"/>
  <c r="D11" i="19" s="1"/>
  <c r="O29" i="20"/>
  <c r="R32" i="14"/>
  <c r="N23" i="21"/>
  <c r="R28" i="14"/>
  <c r="O20" i="14"/>
  <c r="P20" i="14" s="1"/>
  <c r="DK113" i="18"/>
  <c r="D20" i="19" s="1"/>
  <c r="DJ146" i="18"/>
  <c r="DK146" i="18" s="1"/>
  <c r="D26" i="19" s="1"/>
  <c r="DJ176" i="18"/>
  <c r="DK176" i="18" s="1"/>
  <c r="D31" i="19" s="1"/>
  <c r="DX9" i="21"/>
  <c r="DY9" i="21" s="1"/>
  <c r="DX17" i="21"/>
  <c r="DY17" i="21" s="1"/>
  <c r="DX79" i="21"/>
  <c r="DY79" i="21" s="1"/>
  <c r="D42" i="27"/>
  <c r="R42" i="27" s="1"/>
  <c r="U42" i="27" s="1"/>
  <c r="C24" i="17" s="1"/>
  <c r="C35" i="17"/>
  <c r="D45" i="27"/>
  <c r="R45" i="27" s="1"/>
  <c r="U45" i="27" s="1"/>
  <c r="C17" i="17" s="1"/>
  <c r="D58" i="27"/>
  <c r="R58" i="27" s="1"/>
  <c r="U58" i="27" s="1"/>
  <c r="C40" i="17" s="1"/>
  <c r="DT73" i="21"/>
  <c r="N73" i="21"/>
  <c r="N35" i="20"/>
  <c r="O35" i="20" s="1"/>
  <c r="CS39" i="1"/>
  <c r="C36" i="23" s="1"/>
  <c r="Q36" i="23" s="1"/>
  <c r="T36" i="23" s="1"/>
  <c r="D15" i="24" s="1"/>
  <c r="R15" i="24" s="1"/>
  <c r="U15" i="24" s="1"/>
  <c r="G27" i="20"/>
  <c r="DS47" i="21"/>
  <c r="DT47" i="21" s="1"/>
  <c r="DS59" i="21"/>
  <c r="G33" i="20"/>
  <c r="I33" i="20" s="1"/>
  <c r="CS26" i="1"/>
  <c r="C23" i="23" s="1"/>
  <c r="Q23" i="23" s="1"/>
  <c r="T23" i="23" s="1"/>
  <c r="D19" i="24" s="1"/>
  <c r="N23" i="20"/>
  <c r="O23" i="20" s="1"/>
  <c r="DS15" i="21"/>
  <c r="N15" i="21" s="1"/>
  <c r="G9" i="20"/>
  <c r="L9" i="20" s="1"/>
  <c r="G6" i="20"/>
  <c r="CS12" i="1"/>
  <c r="C9" i="23" s="1"/>
  <c r="Q9" i="23" s="1"/>
  <c r="T9" i="23" s="1"/>
  <c r="D39" i="24" s="1"/>
  <c r="R39" i="24" s="1"/>
  <c r="U39" i="24" s="1"/>
  <c r="DS29" i="21"/>
  <c r="N29" i="21" s="1"/>
  <c r="CS13" i="1"/>
  <c r="C10" i="23" s="1"/>
  <c r="Q10" i="23" s="1"/>
  <c r="T10" i="23" s="1"/>
  <c r="DS69" i="21"/>
  <c r="L69" i="21" s="1"/>
  <c r="N69" i="21" s="1"/>
  <c r="O11" i="14"/>
  <c r="P11" i="14" s="1"/>
  <c r="O17" i="14"/>
  <c r="P17" i="14" s="1"/>
  <c r="DJ128" i="18"/>
  <c r="DK128" i="18" s="1"/>
  <c r="D22" i="19" s="1"/>
  <c r="DJ184" i="18"/>
  <c r="DK184" i="18" s="1"/>
  <c r="D32" i="19" s="1"/>
  <c r="DJ223" i="18"/>
  <c r="DK223" i="18" s="1"/>
  <c r="D39" i="19" s="1"/>
  <c r="DX65" i="21"/>
  <c r="DY65" i="21" s="1"/>
  <c r="S42" i="24"/>
  <c r="S32" i="26"/>
  <c r="S51" i="24"/>
  <c r="S42" i="26"/>
  <c r="N12" i="20"/>
  <c r="O12" i="20" s="1"/>
  <c r="R21" i="14"/>
  <c r="DK22" i="18"/>
  <c r="D7" i="19" s="1"/>
  <c r="R13" i="23"/>
  <c r="S18" i="26"/>
  <c r="R30" i="14"/>
  <c r="CR23" i="1"/>
  <c r="CR45" i="1"/>
  <c r="O18" i="14"/>
  <c r="P18" i="14" s="1"/>
  <c r="R18" i="14" s="1"/>
  <c r="S8" i="24"/>
  <c r="S9" i="26"/>
  <c r="DX69" i="21"/>
  <c r="DY69" i="21" s="1"/>
  <c r="O25" i="20"/>
  <c r="G40" i="20"/>
  <c r="CS33" i="1"/>
  <c r="C30" i="23" s="1"/>
  <c r="Q30" i="23" s="1"/>
  <c r="T30" i="23" s="1"/>
  <c r="CR37" i="1"/>
  <c r="O22" i="14"/>
  <c r="P22" i="14" s="1"/>
  <c r="R22" i="14" s="1"/>
  <c r="O26" i="14"/>
  <c r="P26" i="14" s="1"/>
  <c r="O33" i="14"/>
  <c r="P33" i="14" s="1"/>
  <c r="R33" i="14" s="1"/>
  <c r="O37" i="14"/>
  <c r="P37" i="14" s="1"/>
  <c r="R37" i="14" s="1"/>
  <c r="DK217" i="18"/>
  <c r="D38" i="19" s="1"/>
  <c r="DJ202" i="18"/>
  <c r="DK202" i="18" s="1"/>
  <c r="D36" i="19" s="1"/>
  <c r="CS20" i="1"/>
  <c r="C17" i="23" s="1"/>
  <c r="Q17" i="23" s="1"/>
  <c r="T17" i="23" s="1"/>
  <c r="D23" i="24" s="1"/>
  <c r="G35" i="20"/>
  <c r="O34" i="14"/>
  <c r="P34" i="14" s="1"/>
  <c r="DJ196" i="18"/>
  <c r="DK196" i="18" s="1"/>
  <c r="D34" i="19" s="1"/>
  <c r="T27" i="23"/>
  <c r="D42" i="24" s="1"/>
  <c r="R42" i="24" s="1"/>
  <c r="S24" i="24"/>
  <c r="S25" i="26"/>
  <c r="O42" i="14"/>
  <c r="P42" i="14" s="1"/>
  <c r="DK87" i="18"/>
  <c r="D15" i="19" s="1"/>
  <c r="L43" i="21"/>
  <c r="N43" i="21" s="1"/>
  <c r="CR8" i="1"/>
  <c r="O37" i="20"/>
  <c r="Q31" i="23"/>
  <c r="T31" i="23" s="1"/>
  <c r="R8" i="24"/>
  <c r="U8" i="24" s="1"/>
  <c r="D9" i="26" s="1"/>
  <c r="HV13" i="25"/>
  <c r="R25" i="24"/>
  <c r="U25" i="24" s="1"/>
  <c r="R19" i="24"/>
  <c r="U19" i="24" s="1"/>
  <c r="Q45" i="24"/>
  <c r="R49" i="24"/>
  <c r="U49" i="24" s="1"/>
  <c r="D39" i="26" s="1"/>
  <c r="R39" i="26" s="1"/>
  <c r="U39" i="26" s="1"/>
  <c r="R6" i="24"/>
  <c r="U6" i="24" s="1"/>
  <c r="R22" i="24"/>
  <c r="U22" i="24" s="1"/>
  <c r="D18" i="26" s="1"/>
  <c r="R18" i="26" s="1"/>
  <c r="U18" i="26" s="1"/>
  <c r="Q41" i="24"/>
  <c r="R23" i="24"/>
  <c r="U23" i="24" s="1"/>
  <c r="D19" i="26" s="1"/>
  <c r="R19" i="26" s="1"/>
  <c r="U19" i="26" s="1"/>
  <c r="R26" i="24"/>
  <c r="U26" i="24" s="1"/>
  <c r="D24" i="26" s="1"/>
  <c r="R24" i="26" s="1"/>
  <c r="U24" i="26" s="1"/>
  <c r="D20" i="27" s="1"/>
  <c r="R20" i="27" s="1"/>
  <c r="U20" i="27" s="1"/>
  <c r="C20" i="17" s="1"/>
  <c r="R10" i="24"/>
  <c r="U10" i="24" s="1"/>
  <c r="R4" i="24"/>
  <c r="U4" i="24" s="1"/>
  <c r="Q40" i="24"/>
  <c r="R14" i="24"/>
  <c r="U14" i="24" s="1"/>
  <c r="R55" i="24"/>
  <c r="U55" i="24" s="1"/>
  <c r="DS11" i="21"/>
  <c r="L11" i="21" s="1"/>
  <c r="N11" i="21" s="1"/>
  <c r="G7" i="20"/>
  <c r="I7" i="20"/>
  <c r="DS41" i="21"/>
  <c r="L41" i="21" s="1"/>
  <c r="N41" i="21" s="1"/>
  <c r="G23" i="20"/>
  <c r="I23" i="20" s="1"/>
  <c r="L23" i="20" s="1"/>
  <c r="L45" i="21"/>
  <c r="N45" i="21" s="1"/>
  <c r="HV11" i="25"/>
  <c r="CS45" i="1"/>
  <c r="C42" i="23" s="1"/>
  <c r="Q42" i="23" s="1"/>
  <c r="T42" i="23" s="1"/>
  <c r="N41" i="20"/>
  <c r="O41" i="20" s="1"/>
  <c r="CS25" i="1"/>
  <c r="C22" i="23" s="1"/>
  <c r="Q22" i="23" s="1"/>
  <c r="T22" i="23" s="1"/>
  <c r="D44" i="24" s="1"/>
  <c r="R44" i="24" s="1"/>
  <c r="U44" i="24" s="1"/>
  <c r="L27" i="20"/>
  <c r="N7" i="20"/>
  <c r="O7" i="20" s="1"/>
  <c r="R17" i="14"/>
  <c r="O13" i="14"/>
  <c r="P13" i="14" s="1"/>
  <c r="O16" i="14"/>
  <c r="P16" i="14" s="1"/>
  <c r="R16" i="14" s="1"/>
  <c r="R19" i="14"/>
  <c r="R26" i="14"/>
  <c r="DT43" i="21"/>
  <c r="R34" i="14"/>
  <c r="O38" i="14"/>
  <c r="P38" i="14" s="1"/>
  <c r="R38" i="14" s="1"/>
  <c r="DJ107" i="18"/>
  <c r="DK107" i="18" s="1"/>
  <c r="D19" i="19" s="1"/>
  <c r="DJ119" i="18"/>
  <c r="DK119" i="18" s="1"/>
  <c r="D21" i="19" s="1"/>
  <c r="DJ133" i="18"/>
  <c r="DK133" i="18" s="1"/>
  <c r="D23" i="19" s="1"/>
  <c r="I12" i="20"/>
  <c r="I35" i="20"/>
  <c r="DX27" i="21"/>
  <c r="DY27" i="21" s="1"/>
  <c r="DX49" i="21"/>
  <c r="DY49" i="21" s="1"/>
  <c r="DY55" i="21"/>
  <c r="DX71" i="21"/>
  <c r="DY71" i="21" s="1"/>
  <c r="DY73" i="21"/>
  <c r="CS36" i="1"/>
  <c r="C33" i="23" s="1"/>
  <c r="Q33" i="23" s="1"/>
  <c r="T33" i="23" s="1"/>
  <c r="D18" i="24" s="1"/>
  <c r="CS27" i="1"/>
  <c r="C24" i="23" s="1"/>
  <c r="Q24" i="23" s="1"/>
  <c r="T24" i="23" s="1"/>
  <c r="D51" i="24" s="1"/>
  <c r="R51" i="24" s="1"/>
  <c r="U51" i="24" s="1"/>
  <c r="R15" i="14"/>
  <c r="R41" i="14"/>
  <c r="R20" i="14"/>
  <c r="CR40" i="1"/>
  <c r="CR31" i="1"/>
  <c r="O10" i="14"/>
  <c r="P10" i="14" s="1"/>
  <c r="R10" i="14" s="1"/>
  <c r="R47" i="14" s="1"/>
  <c r="DJ26" i="18"/>
  <c r="DK26" i="18" s="1"/>
  <c r="D8" i="19" s="1"/>
  <c r="DJ78" i="18"/>
  <c r="DK78" i="18" s="1"/>
  <c r="D14" i="19" s="1"/>
  <c r="DJ187" i="18"/>
  <c r="DK187" i="18" s="1"/>
  <c r="D33" i="19" s="1"/>
  <c r="DJ226" i="18"/>
  <c r="DK226" i="18" s="1"/>
  <c r="D40" i="19" s="1"/>
  <c r="DX7" i="21"/>
  <c r="DY7" i="21" s="1"/>
  <c r="DX13" i="21"/>
  <c r="DY13" i="21" s="1"/>
  <c r="DY25" i="21"/>
  <c r="DY37" i="21"/>
  <c r="DY53" i="21"/>
  <c r="DY67" i="21"/>
  <c r="DX77" i="21"/>
  <c r="DY77" i="21" s="1"/>
  <c r="R25" i="14"/>
  <c r="R27" i="14"/>
  <c r="R35" i="14"/>
  <c r="R42" i="14"/>
  <c r="R46" i="14"/>
  <c r="DX41" i="21"/>
  <c r="DY41" i="21" s="1"/>
  <c r="DX43" i="21"/>
  <c r="DY43" i="21" s="1"/>
  <c r="DX47" i="21"/>
  <c r="DY47" i="21" s="1"/>
  <c r="DX59" i="21"/>
  <c r="DY59" i="21" s="1"/>
  <c r="DX61" i="21"/>
  <c r="DY61" i="21" s="1"/>
  <c r="CP42" i="1"/>
  <c r="CR42" i="1" s="1"/>
  <c r="Q38" i="23"/>
  <c r="L25" i="20"/>
  <c r="N17" i="20"/>
  <c r="O17" i="20" s="1"/>
  <c r="L17" i="21"/>
  <c r="CR10" i="1"/>
  <c r="N30" i="20"/>
  <c r="O30" i="20" s="1"/>
  <c r="O14" i="14"/>
  <c r="P14" i="14" s="1"/>
  <c r="R14" i="14" s="1"/>
  <c r="R43" i="14"/>
  <c r="R45" i="14"/>
  <c r="DJ60" i="18"/>
  <c r="DK60" i="18" s="1"/>
  <c r="D12" i="19" s="1"/>
  <c r="DJ155" i="18"/>
  <c r="DK155" i="18" s="1"/>
  <c r="D27" i="19" s="1"/>
  <c r="I34" i="20"/>
  <c r="DX5" i="21"/>
  <c r="DY5" i="21" s="1"/>
  <c r="DY11" i="21"/>
  <c r="DX21" i="21"/>
  <c r="DY21" i="21" s="1"/>
  <c r="DX35" i="21"/>
  <c r="DY35" i="21" s="1"/>
  <c r="F14" i="17"/>
  <c r="I14" i="17" s="1"/>
  <c r="HV41" i="25"/>
  <c r="I40" i="20"/>
  <c r="R41" i="23" s="1"/>
  <c r="L40" i="20"/>
  <c r="CS38" i="1"/>
  <c r="C35" i="23" s="1"/>
  <c r="Q35" i="23" s="1"/>
  <c r="T35" i="23" s="1"/>
  <c r="D61" i="24" s="1"/>
  <c r="R61" i="24" s="1"/>
  <c r="U61" i="24" s="1"/>
  <c r="D52" i="26" s="1"/>
  <c r="R52" i="26" s="1"/>
  <c r="U52" i="26" s="1"/>
  <c r="N34" i="20"/>
  <c r="O34" i="20" s="1"/>
  <c r="S25" i="24"/>
  <c r="R16" i="23"/>
  <c r="CS8" i="1"/>
  <c r="C5" i="23" s="1"/>
  <c r="Q5" i="23" s="1"/>
  <c r="T5" i="23" s="1"/>
  <c r="D52" i="24" s="1"/>
  <c r="R52" i="24" s="1"/>
  <c r="U52" i="24" s="1"/>
  <c r="D41" i="26" s="1"/>
  <c r="R41" i="26" s="1"/>
  <c r="U41" i="26" s="1"/>
  <c r="D46" i="27" s="1"/>
  <c r="R46" i="27" s="1"/>
  <c r="U46" i="27" s="1"/>
  <c r="C10" i="17" s="1"/>
  <c r="N6" i="20"/>
  <c r="O6" i="20" s="1"/>
  <c r="DT5" i="21"/>
  <c r="L5" i="21"/>
  <c r="HV42" i="25"/>
  <c r="R15" i="23"/>
  <c r="R43" i="23"/>
  <c r="L42" i="20"/>
  <c r="N71" i="21"/>
  <c r="DS7" i="21"/>
  <c r="L7" i="21" s="1"/>
  <c r="N7" i="21" s="1"/>
  <c r="G5" i="20"/>
  <c r="I5" i="20" s="1"/>
  <c r="L34" i="20"/>
  <c r="R35" i="23"/>
  <c r="R33" i="23"/>
  <c r="L32" i="20"/>
  <c r="DS75" i="21"/>
  <c r="G41" i="20"/>
  <c r="I41" i="20" s="1"/>
  <c r="R42" i="23" s="1"/>
  <c r="CS11" i="1"/>
  <c r="C8" i="23" s="1"/>
  <c r="Q8" i="23" s="1"/>
  <c r="T8" i="23" s="1"/>
  <c r="D5" i="24" s="1"/>
  <c r="R5" i="24" s="1"/>
  <c r="U5" i="24" s="1"/>
  <c r="D4" i="26" s="1"/>
  <c r="N9" i="20"/>
  <c r="O9" i="20" s="1"/>
  <c r="N20" i="20"/>
  <c r="O20" i="20" s="1"/>
  <c r="CS23" i="1"/>
  <c r="C20" i="23" s="1"/>
  <c r="Q20" i="23" s="1"/>
  <c r="T20" i="23" s="1"/>
  <c r="D16" i="24" s="1"/>
  <c r="I6" i="20"/>
  <c r="R11" i="23"/>
  <c r="L12" i="20"/>
  <c r="G22" i="20"/>
  <c r="L22" i="20" s="1"/>
  <c r="DS39" i="21"/>
  <c r="N39" i="21" s="1"/>
  <c r="R23" i="23"/>
  <c r="R11" i="14"/>
  <c r="DT59" i="21"/>
  <c r="L59" i="21"/>
  <c r="N59" i="21" s="1"/>
  <c r="R31" i="23"/>
  <c r="G39" i="20"/>
  <c r="L39" i="20" s="1"/>
  <c r="F13" i="17"/>
  <c r="I13" i="17" s="1"/>
  <c r="R44" i="23"/>
  <c r="L43" i="20"/>
  <c r="DT71" i="21"/>
  <c r="N40" i="20"/>
  <c r="O40" i="20" s="1"/>
  <c r="G15" i="20"/>
  <c r="L15" i="20" s="1"/>
  <c r="S24" i="26" s="1"/>
  <c r="DS61" i="21"/>
  <c r="L61" i="21" s="1"/>
  <c r="N61" i="21" s="1"/>
  <c r="CS32" i="1"/>
  <c r="C29" i="23" s="1"/>
  <c r="Q29" i="23" s="1"/>
  <c r="T29" i="23" s="1"/>
  <c r="D21" i="24" s="1"/>
  <c r="R21" i="24" s="1"/>
  <c r="U21" i="24" s="1"/>
  <c r="D23" i="26" s="1"/>
  <c r="R23" i="26" s="1"/>
  <c r="U23" i="26" s="1"/>
  <c r="D19" i="27" s="1"/>
  <c r="R19" i="27" s="1"/>
  <c r="U19" i="27" s="1"/>
  <c r="C36" i="17" s="1"/>
  <c r="N28" i="20"/>
  <c r="O28" i="20" s="1"/>
  <c r="L11" i="20"/>
  <c r="DY51" i="21"/>
  <c r="L57" i="21"/>
  <c r="N57" i="21" s="1"/>
  <c r="CS46" i="1"/>
  <c r="C43" i="23" s="1"/>
  <c r="Q43" i="23" s="1"/>
  <c r="T43" i="23" s="1"/>
  <c r="D9" i="24" s="1"/>
  <c r="R9" i="24" s="1"/>
  <c r="U9" i="24" s="1"/>
  <c r="D8" i="26" s="1"/>
  <c r="R8" i="26" s="1"/>
  <c r="U8" i="26" s="1"/>
  <c r="D8" i="27" s="1"/>
  <c r="R8" i="27" s="1"/>
  <c r="U8" i="27" s="1"/>
  <c r="C48" i="17" s="1"/>
  <c r="N42" i="20"/>
  <c r="O42" i="20" s="1"/>
  <c r="DS35" i="21"/>
  <c r="L35" i="21" s="1"/>
  <c r="N35" i="21" s="1"/>
  <c r="G20" i="20"/>
  <c r="I20" i="20" s="1"/>
  <c r="L21" i="21"/>
  <c r="N21" i="21" s="1"/>
  <c r="DY33" i="21"/>
  <c r="DY57" i="21"/>
  <c r="L13" i="20"/>
  <c r="DX23" i="21"/>
  <c r="DY23" i="21" s="1"/>
  <c r="I36" i="20"/>
  <c r="R37" i="23" s="1"/>
  <c r="L36" i="20"/>
  <c r="DX15" i="21"/>
  <c r="DY15" i="21" s="1"/>
  <c r="DT17" i="21"/>
  <c r="DS27" i="21"/>
  <c r="L27" i="21" s="1"/>
  <c r="N27" i="21" s="1"/>
  <c r="DS49" i="21"/>
  <c r="N49" i="21" s="1"/>
  <c r="G28" i="20"/>
  <c r="L28" i="20" s="1"/>
  <c r="CR6" i="1"/>
  <c r="I38" i="20"/>
  <c r="DX63" i="21"/>
  <c r="DY63" i="21" s="1"/>
  <c r="CR7" i="1"/>
  <c r="CR47" i="1"/>
  <c r="DJ229" i="18"/>
  <c r="DK229" i="18" s="1"/>
  <c r="D41" i="19" s="1"/>
  <c r="DX19" i="21"/>
  <c r="DY19" i="21" s="1"/>
  <c r="DX31" i="21"/>
  <c r="DY31" i="21" s="1"/>
  <c r="DX45" i="21"/>
  <c r="DY45" i="21" s="1"/>
  <c r="L77" i="21"/>
  <c r="N77" i="21" s="1"/>
  <c r="P47" i="14" l="1"/>
  <c r="N16" i="20"/>
  <c r="O16" i="20" s="1"/>
  <c r="CS22" i="1"/>
  <c r="C19" i="23" s="1"/>
  <c r="Q19" i="23" s="1"/>
  <c r="T19" i="23" s="1"/>
  <c r="N19" i="20"/>
  <c r="O19" i="20" s="1"/>
  <c r="L21" i="20"/>
  <c r="R21" i="23"/>
  <c r="D60" i="27"/>
  <c r="R60" i="27" s="1"/>
  <c r="U60" i="27" s="1"/>
  <c r="C42" i="17" s="1"/>
  <c r="F42" i="17" s="1"/>
  <c r="I42" i="17" s="1"/>
  <c r="D16" i="27"/>
  <c r="R16" i="27" s="1"/>
  <c r="U16" i="27" s="1"/>
  <c r="C19" i="17" s="1"/>
  <c r="F19" i="17" s="1"/>
  <c r="I19" i="17" s="1"/>
  <c r="D17" i="27"/>
  <c r="R17" i="27" s="1"/>
  <c r="U17" i="27" s="1"/>
  <c r="C23" i="17" s="1"/>
  <c r="D44" i="27"/>
  <c r="R44" i="27" s="1"/>
  <c r="U44" i="27" s="1"/>
  <c r="C18" i="17" s="1"/>
  <c r="F18" i="17" s="1"/>
  <c r="I18" i="17" s="1"/>
  <c r="D18" i="27"/>
  <c r="R18" i="27" s="1"/>
  <c r="U18" i="27" s="1"/>
  <c r="C22" i="17" s="1"/>
  <c r="F22" i="17" s="1"/>
  <c r="I22" i="17" s="1"/>
  <c r="U42" i="24"/>
  <c r="D32" i="26" s="1"/>
  <c r="R32" i="26" s="1"/>
  <c r="U32" i="26" s="1"/>
  <c r="D38" i="27" s="1"/>
  <c r="S49" i="24"/>
  <c r="S39" i="26"/>
  <c r="S50" i="24"/>
  <c r="S40" i="26"/>
  <c r="S57" i="24"/>
  <c r="S48" i="26"/>
  <c r="S18" i="24"/>
  <c r="S15" i="26"/>
  <c r="S5" i="24"/>
  <c r="S4" i="26"/>
  <c r="S9" i="24"/>
  <c r="S8" i="26"/>
  <c r="R13" i="14"/>
  <c r="S45" i="24"/>
  <c r="S35" i="26"/>
  <c r="CS37" i="1"/>
  <c r="C34" i="23" s="1"/>
  <c r="Q34" i="23" s="1"/>
  <c r="T34" i="23" s="1"/>
  <c r="D58" i="24" s="1"/>
  <c r="R58" i="24" s="1"/>
  <c r="U58" i="24" s="1"/>
  <c r="D49" i="26" s="1"/>
  <c r="R49" i="26" s="1"/>
  <c r="U49" i="26" s="1"/>
  <c r="N33" i="20"/>
  <c r="O33" i="20" s="1"/>
  <c r="S44" i="24"/>
  <c r="S34" i="26"/>
  <c r="R9" i="26"/>
  <c r="S55" i="24"/>
  <c r="S45" i="26"/>
  <c r="S19" i="24"/>
  <c r="S16" i="26"/>
  <c r="S61" i="24"/>
  <c r="S52" i="26"/>
  <c r="D42" i="26"/>
  <c r="R42" i="26" s="1"/>
  <c r="U42" i="26" s="1"/>
  <c r="N47" i="21"/>
  <c r="L33" i="20"/>
  <c r="R34" i="23"/>
  <c r="S21" i="24"/>
  <c r="S23" i="26"/>
  <c r="S6" i="24"/>
  <c r="S5" i="26"/>
  <c r="R4" i="26"/>
  <c r="U4" i="26" s="1"/>
  <c r="F40" i="17"/>
  <c r="I40" i="17" s="1"/>
  <c r="D12" i="26"/>
  <c r="R12" i="26" s="1"/>
  <c r="U12" i="26" s="1"/>
  <c r="HV4" i="25"/>
  <c r="D6" i="26"/>
  <c r="R6" i="26" s="1"/>
  <c r="U6" i="26" s="1"/>
  <c r="HV46" i="25"/>
  <c r="D45" i="26"/>
  <c r="R45" i="26" s="1"/>
  <c r="U45" i="26" s="1"/>
  <c r="HV33" i="25"/>
  <c r="D29" i="26"/>
  <c r="F24" i="17"/>
  <c r="I24" i="17" s="1"/>
  <c r="D34" i="26"/>
  <c r="R34" i="26" s="1"/>
  <c r="U34" i="26" s="1"/>
  <c r="HV6" i="25"/>
  <c r="D5" i="26"/>
  <c r="R5" i="26" s="1"/>
  <c r="U5" i="26" s="1"/>
  <c r="D13" i="26"/>
  <c r="HV20" i="25"/>
  <c r="D16" i="26"/>
  <c r="R16" i="26" s="1"/>
  <c r="U16" i="26" s="1"/>
  <c r="D15" i="27" s="1"/>
  <c r="R15" i="27" s="1"/>
  <c r="U15" i="27" s="1"/>
  <c r="C28" i="17" s="1"/>
  <c r="D17" i="24"/>
  <c r="R17" i="24" s="1"/>
  <c r="U17" i="24" s="1"/>
  <c r="F11" i="17"/>
  <c r="I11" i="17" s="1"/>
  <c r="HV23" i="25"/>
  <c r="HV29" i="25"/>
  <c r="HV38" i="25"/>
  <c r="F35" i="17"/>
  <c r="I35" i="17" s="1"/>
  <c r="HV31" i="25"/>
  <c r="HV44" i="25"/>
  <c r="HV18" i="25"/>
  <c r="HV14" i="25"/>
  <c r="HV9" i="25"/>
  <c r="R16" i="24"/>
  <c r="U16" i="24" s="1"/>
  <c r="HV19" i="25"/>
  <c r="R18" i="24"/>
  <c r="U18" i="24" s="1"/>
  <c r="HV8" i="25"/>
  <c r="N8" i="20"/>
  <c r="O8" i="20" s="1"/>
  <c r="CS10" i="1"/>
  <c r="C7" i="23" s="1"/>
  <c r="Q7" i="23" s="1"/>
  <c r="T7" i="23" s="1"/>
  <c r="D24" i="24" s="1"/>
  <c r="R24" i="24" s="1"/>
  <c r="U24" i="24" s="1"/>
  <c r="L7" i="20"/>
  <c r="R6" i="23"/>
  <c r="CS42" i="1"/>
  <c r="C39" i="23" s="1"/>
  <c r="Q39" i="23" s="1"/>
  <c r="T39" i="23" s="1"/>
  <c r="Q53" i="23" s="1"/>
  <c r="N38" i="20"/>
  <c r="O38" i="20" s="1"/>
  <c r="CS31" i="1"/>
  <c r="C28" i="23" s="1"/>
  <c r="Q28" i="23" s="1"/>
  <c r="T28" i="23" s="1"/>
  <c r="D45" i="24" s="1"/>
  <c r="R45" i="24" s="1"/>
  <c r="U45" i="24" s="1"/>
  <c r="N27" i="20"/>
  <c r="O27" i="20" s="1"/>
  <c r="L35" i="20"/>
  <c r="R36" i="23"/>
  <c r="CS40" i="1"/>
  <c r="C37" i="23" s="1"/>
  <c r="Q37" i="23" s="1"/>
  <c r="N36" i="20"/>
  <c r="O36" i="20" s="1"/>
  <c r="N5" i="20"/>
  <c r="O5" i="20" s="1"/>
  <c r="CS7" i="1"/>
  <c r="C4" i="23" s="1"/>
  <c r="Q4" i="23" s="1"/>
  <c r="T4" i="23" s="1"/>
  <c r="D40" i="24" s="1"/>
  <c r="R40" i="24" s="1"/>
  <c r="U40" i="24" s="1"/>
  <c r="F43" i="17"/>
  <c r="I43" i="17" s="1"/>
  <c r="HV12" i="25"/>
  <c r="CS47" i="1"/>
  <c r="C44" i="23" s="1"/>
  <c r="Q44" i="23" s="1"/>
  <c r="T44" i="23" s="1"/>
  <c r="D57" i="24" s="1"/>
  <c r="R57" i="24" s="1"/>
  <c r="U57" i="24" s="1"/>
  <c r="N43" i="20"/>
  <c r="O43" i="20" s="1"/>
  <c r="R4" i="23"/>
  <c r="L5" i="20"/>
  <c r="S40" i="24" s="1"/>
  <c r="S26" i="24"/>
  <c r="R14" i="23"/>
  <c r="F37" i="17"/>
  <c r="I37" i="17" s="1"/>
  <c r="HV52" i="25"/>
  <c r="R39" i="23"/>
  <c r="L38" i="20"/>
  <c r="CS6" i="1"/>
  <c r="C3" i="23" s="1"/>
  <c r="Q3" i="23" s="1"/>
  <c r="T3" i="23" s="1"/>
  <c r="D41" i="24" s="1"/>
  <c r="R41" i="24" s="1"/>
  <c r="U41" i="24" s="1"/>
  <c r="N4" i="20"/>
  <c r="O4" i="20" s="1"/>
  <c r="R20" i="23"/>
  <c r="L20" i="20"/>
  <c r="HV5" i="25"/>
  <c r="I39" i="20"/>
  <c r="R40" i="23" s="1"/>
  <c r="R5" i="23"/>
  <c r="L6" i="20"/>
  <c r="L75" i="21"/>
  <c r="DT75" i="21"/>
  <c r="HV27" i="25"/>
  <c r="HV43" i="25"/>
  <c r="HV49" i="25" l="1"/>
  <c r="S14" i="24"/>
  <c r="S13" i="26"/>
  <c r="D6" i="27"/>
  <c r="R6" i="27" s="1"/>
  <c r="U6" i="27" s="1"/>
  <c r="C30" i="17" s="1"/>
  <c r="F30" i="17" s="1"/>
  <c r="I30" i="17" s="1"/>
  <c r="D47" i="27"/>
  <c r="R47" i="27" s="1"/>
  <c r="U47" i="27" s="1"/>
  <c r="C29" i="17" s="1"/>
  <c r="F29" i="17" s="1"/>
  <c r="I29" i="17" s="1"/>
  <c r="D40" i="27"/>
  <c r="R40" i="27" s="1"/>
  <c r="U40" i="27" s="1"/>
  <c r="C27" i="17" s="1"/>
  <c r="D11" i="27"/>
  <c r="R11" i="27" s="1"/>
  <c r="U11" i="27" s="1"/>
  <c r="C44" i="17" s="1"/>
  <c r="F44" i="17" s="1"/>
  <c r="I44" i="17" s="1"/>
  <c r="D4" i="27"/>
  <c r="R4" i="27" s="1"/>
  <c r="U4" i="27" s="1"/>
  <c r="C15" i="17" s="1"/>
  <c r="F15" i="17" s="1"/>
  <c r="I15" i="17" s="1"/>
  <c r="U38" i="27"/>
  <c r="C32" i="17" s="1"/>
  <c r="F32" i="17" s="1"/>
  <c r="I32" i="17" s="1"/>
  <c r="D56" i="27"/>
  <c r="R56" i="27" s="1"/>
  <c r="U56" i="27" s="1"/>
  <c r="C41" i="17" s="1"/>
  <c r="F41" i="17" s="1"/>
  <c r="I41" i="17" s="1"/>
  <c r="D52" i="27"/>
  <c r="R52" i="27" s="1"/>
  <c r="U52" i="27" s="1"/>
  <c r="C46" i="17" s="1"/>
  <c r="F46" i="17" s="1"/>
  <c r="I46" i="17" s="1"/>
  <c r="D5" i="27"/>
  <c r="R5" i="27" s="1"/>
  <c r="U5" i="27" s="1"/>
  <c r="C31" i="17" s="1"/>
  <c r="F31" i="17" s="1"/>
  <c r="I31" i="17" s="1"/>
  <c r="R13" i="26"/>
  <c r="U13" i="26" s="1"/>
  <c r="F48" i="17"/>
  <c r="I48" i="17" s="1"/>
  <c r="U9" i="26"/>
  <c r="F10" i="17"/>
  <c r="I10" i="17" s="1"/>
  <c r="F23" i="17"/>
  <c r="I23" i="17" s="1"/>
  <c r="S15" i="24"/>
  <c r="S12" i="26"/>
  <c r="R29" i="26"/>
  <c r="U29" i="26" s="1"/>
  <c r="D35" i="27" s="1"/>
  <c r="R35" i="27" s="1"/>
  <c r="S20" i="24"/>
  <c r="S17" i="26"/>
  <c r="S16" i="24"/>
  <c r="S14" i="26"/>
  <c r="S52" i="24"/>
  <c r="S41" i="26"/>
  <c r="S58" i="24"/>
  <c r="S49" i="26"/>
  <c r="F17" i="17"/>
  <c r="I17" i="17" s="1"/>
  <c r="D14" i="26"/>
  <c r="R14" i="26" s="1"/>
  <c r="U14" i="26" s="1"/>
  <c r="F21" i="17"/>
  <c r="I21" i="17" s="1"/>
  <c r="D15" i="26"/>
  <c r="R15" i="26" s="1"/>
  <c r="U15" i="26" s="1"/>
  <c r="HV48" i="25"/>
  <c r="D48" i="26"/>
  <c r="R48" i="26" s="1"/>
  <c r="U48" i="26" s="1"/>
  <c r="F27" i="17"/>
  <c r="I27" i="17" s="1"/>
  <c r="D35" i="26"/>
  <c r="R35" i="26" s="1"/>
  <c r="U35" i="26" s="1"/>
  <c r="D41" i="27" s="1"/>
  <c r="R41" i="27" s="1"/>
  <c r="U41" i="27" s="1"/>
  <c r="C34" i="17" s="1"/>
  <c r="D25" i="26"/>
  <c r="R25" i="26" s="1"/>
  <c r="U25" i="26" s="1"/>
  <c r="D21" i="27" s="1"/>
  <c r="R21" i="27" s="1"/>
  <c r="U21" i="27" s="1"/>
  <c r="C12" i="17" s="1"/>
  <c r="HV35" i="25"/>
  <c r="HV22" i="25"/>
  <c r="HV16" i="25"/>
  <c r="HV21" i="25"/>
  <c r="F20" i="17"/>
  <c r="I20" i="17" s="1"/>
  <c r="HV25" i="25"/>
  <c r="HV26" i="25"/>
  <c r="HV30" i="25"/>
  <c r="HV39" i="25"/>
  <c r="HV17" i="25"/>
  <c r="HV50" i="25"/>
  <c r="HV34" i="25"/>
  <c r="HV36" i="25"/>
  <c r="D13" i="27" l="1"/>
  <c r="R13" i="27" s="1"/>
  <c r="U13" i="27" s="1"/>
  <c r="C25" i="17" s="1"/>
  <c r="F25" i="17" s="1"/>
  <c r="I25" i="17" s="1"/>
  <c r="D12" i="27"/>
  <c r="R12" i="27" s="1"/>
  <c r="U12" i="27" s="1"/>
  <c r="C26" i="17" s="1"/>
  <c r="F26" i="17" s="1"/>
  <c r="I26" i="17" s="1"/>
  <c r="D14" i="27"/>
  <c r="R14" i="27" s="1"/>
  <c r="U14" i="27" s="1"/>
  <c r="C39" i="17" s="1"/>
  <c r="F39" i="17" s="1"/>
  <c r="I39" i="17" s="1"/>
  <c r="U35" i="27"/>
  <c r="C16" i="17" s="1"/>
  <c r="F16" i="17" s="1"/>
  <c r="I16" i="17" s="1"/>
  <c r="D55" i="27"/>
  <c r="R55" i="27" s="1"/>
  <c r="U55" i="27" s="1"/>
  <c r="C49" i="17" s="1"/>
  <c r="F49" i="17" s="1"/>
  <c r="I49" i="17" s="1"/>
  <c r="C38" i="17"/>
  <c r="F38" i="17" s="1"/>
  <c r="I38" i="17" s="1"/>
  <c r="F12" i="17"/>
  <c r="I12" i="17" s="1"/>
  <c r="F36" i="17"/>
  <c r="I36" i="17" s="1"/>
  <c r="F34" i="17"/>
  <c r="I34" i="17" s="1"/>
  <c r="F28" i="17"/>
  <c r="I28" i="17" s="1"/>
  <c r="I50" i="17" l="1"/>
  <c r="C50" i="17"/>
</calcChain>
</file>

<file path=xl/comments1.xml><?xml version="1.0" encoding="utf-8"?>
<comments xmlns="http://schemas.openxmlformats.org/spreadsheetml/2006/main">
  <authors>
    <author>Marissa</author>
  </authors>
  <commentList>
    <comment ref="F4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26.02
</t>
        </r>
      </text>
    </comment>
    <comment ref="G4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16.03
</t>
        </r>
      </text>
    </comment>
    <comment ref="G5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04.03 AL 05.03
</t>
        </r>
      </text>
    </comment>
    <comment ref="G9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26.03 AL 01.04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19/01 AL 23/01</t>
        </r>
      </text>
    </comment>
    <comment ref="F22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18.02 AL 23.02</t>
        </r>
      </text>
    </comment>
    <comment ref="E24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06/01 AL 20.01</t>
        </r>
      </text>
    </comment>
    <comment ref="H29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13.04 AL 30.04
</t>
        </r>
      </text>
    </comment>
    <comment ref="H31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13.04 AL 30.04</t>
        </r>
      </text>
    </comment>
    <comment ref="I31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01/05 AL 12.05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17.03
VACACIONES 23.03</t>
        </r>
      </text>
    </comment>
    <comment ref="F33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16/02 AL 23/02
</t>
        </r>
      </text>
    </comment>
    <comment ref="F38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16.02 AL 23.02</t>
        </r>
      </text>
    </comment>
    <comment ref="E42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DEL 22/12 AL 06.01</t>
        </r>
      </text>
    </comment>
    <comment ref="F43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05.02 
</t>
        </r>
      </text>
    </comment>
    <comment ref="H43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13/04 AL 26.04</t>
        </r>
      </text>
    </comment>
    <comment ref="E44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19.01 AL 25.01</t>
        </r>
      </text>
    </comment>
    <comment ref="E47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19.01</t>
        </r>
      </text>
    </comment>
    <comment ref="G47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30.03
VACACIONES 03.03 AL 04.03
</t>
        </r>
      </text>
    </comment>
    <comment ref="H53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4/04</t>
        </r>
      </text>
    </comment>
    <comment ref="F54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10.02
VACACIONES 17.02
</t>
        </r>
      </text>
    </comment>
    <comment ref="H54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06/04 AL 19.04
</t>
        </r>
      </text>
    </comment>
    <comment ref="E56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12.01</t>
        </r>
      </text>
    </comment>
    <comment ref="G56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02.03</t>
        </r>
      </text>
    </comment>
    <comment ref="U5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VENDIDO 15 DIAS DE VACACIONES 
(A LAS VACACIONES POR GOZAR DESCONTAR 15 DIAS
</t>
        </r>
      </text>
    </comment>
    <comment ref="E57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15.01
</t>
        </r>
      </text>
    </comment>
    <comment ref="E59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07/01 AL 15.01</t>
        </r>
      </text>
    </comment>
    <comment ref="E60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DEL 29.12.25 AL 11.01
</t>
        </r>
      </text>
    </comment>
    <comment ref="F60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17.02 AL 22.02</t>
        </r>
      </text>
    </comment>
    <comment ref="G60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05.03
</t>
        </r>
      </text>
    </comment>
    <comment ref="E61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05.01 AL 12.01
</t>
        </r>
      </text>
    </comment>
    <comment ref="G61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11.03 AL 17.03</t>
        </r>
      </text>
    </comment>
  </commentList>
</comments>
</file>

<file path=xl/comments2.xml><?xml version="1.0" encoding="utf-8"?>
<comments xmlns="http://schemas.openxmlformats.org/spreadsheetml/2006/main">
  <authors>
    <author>Marissa</author>
  </authors>
  <commentList>
    <comment ref="G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31.03.25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08.05.25
12.05.25 AL 13.05.25
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25.06.25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03.07.25
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16/01 AL 26/01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10/02 AL 13/02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07.05.25
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07.07.25 AL 13.07.25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01/07/ AL 21/07
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03/02 AL 28/02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19/06 AL 22/06
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09/10 
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17/01 AL 31/01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01/02 AL 16/02 
</t>
        </r>
      </text>
    </comment>
    <comment ref="J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13.06.25 al 15.06.25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6/02 al 07/02
VACACIONES 14/02
VACACIONES  21/02
vacaciones 25/02 al 02/03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06/01 AL 12/01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03/02 al 17/02
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03/03 al 09/03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17/02 AL 09/03</t>
        </r>
      </text>
    </comment>
    <comment ref="K1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30.07.25 AL 03.08.25</t>
        </r>
      </text>
    </comment>
    <comment ref="O1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04.11.25 AL 11.11.25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21/04 AL 19/05
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29/09 AL 05/10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04/01 AL 03/02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04/02 al 16/02
</t>
        </r>
      </text>
    </comment>
    <comment ref="I2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26/05 AL 27/05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06/10 AL 12/10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23/12 AL 13/01</t>
        </r>
      </text>
    </comment>
    <comment ref="F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04/02/2025 AL 28/02 (VACACIONES HASTA Q SEA LLAMADO POR EL ING RAUL)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22/11/25 al 05/12/2025
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20/01 AL 31/01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01/02 AL 10/02
11/02 AL 18/02
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01/02 AL 28/02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01/03 al 16/03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06.10.25 AL 31.10.25</t>
        </r>
      </text>
    </comment>
    <comment ref="O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01.11.2025 AL 30.11.25
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01.12.25 AL 05.12.25
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06/01
</t>
        </r>
      </text>
    </comment>
    <comment ref="F3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05/02/25 al 16/02/2025
</t>
        </r>
      </text>
    </comment>
    <comment ref="G3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VACIONES DEL 28/03/25 AL 02.04.25
</t>
        </r>
      </text>
    </comment>
    <comment ref="I3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26.05.25 AL 08.06.25</t>
        </r>
      </text>
    </comment>
    <comment ref="P39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22/12 AL 06.01</t>
        </r>
      </text>
    </comment>
    <comment ref="E4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27/01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24.02
VACACIONES 19.02</t>
        </r>
      </text>
    </comment>
    <comment ref="G4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18.03.25</t>
        </r>
      </text>
    </comment>
    <comment ref="I4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15.05.25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21.07.25 AL 25.07.25
 VACACIONES 02.07.25 AL 03.07.25
</t>
        </r>
      </text>
    </comment>
    <comment ref="P40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22.12 AL 28.12
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25.04.25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06/01
21/01
</t>
        </r>
      </text>
    </comment>
    <comment ref="F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03/02 al 04/02
11/02
vacaciones 17/02
VACACIONES 24.02
vacaciones 26.02
</t>
        </r>
      </text>
    </comment>
    <comment ref="H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24.04.25
15.04.25
</t>
        </r>
      </text>
    </comment>
    <comment ref="K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02.07.25
31.07</t>
        </r>
      </text>
    </comment>
    <comment ref="L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26.08</t>
        </r>
      </text>
    </comment>
    <comment ref="O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25.11.25 AL 26.11.25
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23/10 al 07/01/2025</t>
        </r>
      </text>
    </comment>
    <comment ref="O4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03/11 AL 30/11</t>
        </r>
      </text>
    </comment>
    <comment ref="P4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01/12 AL 07/12
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28/01 al 17/02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28/01 al 17/02</t>
        </r>
      </text>
    </comment>
    <comment ref="P4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24/11 AL 09/12</t>
        </r>
      </text>
    </comment>
    <comment ref="F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desde el 24/02 al 28/02
</t>
        </r>
      </text>
    </comment>
    <comment ref="G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01/03 AL 13/3</t>
        </r>
      </text>
    </comment>
    <comment ref="F5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18/02 al  09/03
</t>
        </r>
      </text>
    </comment>
    <comment ref="G5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10/03 AL 16/03</t>
        </r>
      </text>
    </comment>
    <comment ref="H5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07.04 
</t>
        </r>
      </text>
    </comment>
    <comment ref="O5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12.11 AL 18.11</t>
        </r>
      </text>
    </comment>
    <comment ref="J5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23.06.25 AL 25.06.25
02.06.25 AL 04.06.25
</t>
        </r>
      </text>
    </comment>
    <comment ref="O5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31.10.25 AL 14.11.25
</t>
        </r>
      </text>
    </comment>
    <comment ref="U5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VENDIDO 15 DIAS DE VACACIONES 
(A LAS VACACIONES POR GOZAR DESCONTAR 15 DIAS
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10/02 AL 17/02</t>
        </r>
      </text>
    </comment>
    <comment ref="N5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31/10/2025</t>
        </r>
      </text>
    </comment>
    <comment ref="F5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17/02 AL 09/03
</t>
        </r>
      </text>
    </comment>
    <comment ref="E5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06/01 AL 09/01</t>
        </r>
      </text>
    </comment>
    <comment ref="F5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17/02 AL 09/03
</t>
        </r>
      </text>
    </comment>
    <comment ref="I5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22/05
14/05</t>
        </r>
      </text>
    </comment>
    <comment ref="P57" authorId="0" shapeId="0">
      <text>
        <r>
          <rPr>
            <b/>
            <sz val="9"/>
            <color indexed="81"/>
            <rFont val="Tahoma"/>
            <charset val="1"/>
          </rPr>
          <t>Marissa:</t>
        </r>
        <r>
          <rPr>
            <sz val="9"/>
            <color indexed="81"/>
            <rFont val="Tahoma"/>
            <charset val="1"/>
          </rPr>
          <t xml:space="preserve">
VACACIONES DEL 29.12 AL 11.01</t>
        </r>
      </text>
    </comment>
    <comment ref="E5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30/12 AL 12/01</t>
        </r>
      </text>
    </comment>
    <comment ref="F5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17/02 AL 09/03</t>
        </r>
      </text>
    </comment>
    <comment ref="K5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30.07 AL 03.08</t>
        </r>
      </text>
    </comment>
    <comment ref="G6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21/03 AL 31.03
</t>
        </r>
      </text>
    </comment>
    <comment ref="H6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01.04 AL 30.04</t>
        </r>
      </text>
    </comment>
    <comment ref="I6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01.05 AL 31.05</t>
        </r>
      </text>
    </comment>
    <comment ref="J6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01/06 AL 17.06</t>
        </r>
      </text>
    </comment>
    <comment ref="E6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30/12 AL 06/01</t>
        </r>
      </text>
    </comment>
    <comment ref="F6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24.02 al 02/03/</t>
        </r>
      </text>
    </comment>
    <comment ref="L6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31/07 al 10/08</t>
        </r>
      </text>
    </comment>
  </commentList>
</comments>
</file>

<file path=xl/comments3.xml><?xml version="1.0" encoding="utf-8"?>
<comments xmlns="http://schemas.openxmlformats.org/spreadsheetml/2006/main">
  <authors>
    <author>Marissa</author>
  </authors>
  <commentList>
    <comment ref="L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30.07 al 04.08
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20/09-23/09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19/11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22/01/2024 al 18/02/2024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 xml:space="preserve">Marissa:vacaciones 22/01/2024 al 18/02/2024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27.06 al 27.06
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18/07 AL 31/07
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01/08 AL 25/08
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19.06 al 21.06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04.07 al 14.07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20/12 al 19/01/25
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22.07 al 04.08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21/02/2024
vacaciones 23/02 al  25/02
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2.05 AL 5.05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12/02/2024 al 25/02/2024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18/12/2023 al 15/01/2024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21.06 al 23.06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25.06 al 02.07
</t>
        </r>
      </text>
    </comment>
    <comment ref="O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28/11 - 10/12
</t>
        </r>
      </text>
    </comment>
    <comment ref="P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28/11 - 10/12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22.07 al 05.08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28/02/2024 AL 10/03/2024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25.06 al 30.06</t>
        </r>
      </text>
    </comment>
    <comment ref="K2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01.07 hasta q se reincorpore
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11/03 al 17/03</t>
        </r>
      </text>
    </comment>
    <comment ref="O2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18/11 AL 17/12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18/11 - 15/12</t>
        </r>
      </text>
    </comment>
    <comment ref="F2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31/01 al 18/02
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27/06 -30/06
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12.07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07/10
</t>
        </r>
      </text>
    </comment>
    <comment ref="O2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JUEVES 14 Y VIERNES 15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19/12
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15.07 al 21.07
</t>
        </r>
      </text>
    </comment>
    <comment ref="M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18/09
26/09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MARTES 22.10
07/10
</t>
        </r>
      </text>
    </comment>
    <comment ref="O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JUEVES 14 Y VIERNES 15
 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16/12 AL 29/12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30.07 al 04.08</t>
        </r>
      </text>
    </comment>
    <comment ref="N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07/10
04/10
02/10</t>
        </r>
      </text>
    </comment>
    <comment ref="O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JUEVES 14 Y VIERNES 15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30/12 AL 12/01</t>
        </r>
      </text>
    </comment>
    <comment ref="G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22/03/2024
</t>
        </r>
      </text>
    </comment>
    <comment ref="J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26.06 al 26.6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20/08</t>
        </r>
      </text>
    </comment>
    <comment ref="M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10/09
07/09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LUNES 21.10
MARTES 22.10
JUEVES 24.10</t>
        </r>
      </text>
    </comment>
    <comment ref="O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JUEVES 14 Y VIERNES 15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23/12 AL 07/01
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15/01/2024
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13/02/24
vavaccioes 26/27/02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06/03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17.6 al 17.6
25.06 al 25.06</t>
        </r>
      </text>
    </comment>
    <comment ref="K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02.07 al 02.07
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05/08 AL 06/08
</t>
        </r>
      </text>
    </comment>
    <comment ref="M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23/09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MARTES 22/10.
07/10
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03/12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23/10 al 07/01/2025</t>
        </r>
      </text>
    </comment>
    <comment ref="O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23/10 al 07/01/2025</t>
        </r>
      </text>
    </comment>
    <comment ref="P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23/10 al 07/01/2025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05/02 al 18/02</t>
        </r>
      </text>
    </comment>
    <comment ref="G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01/03 al 12/03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16/12 AL 19/12
</t>
        </r>
      </text>
    </comment>
    <comment ref="J3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24.06 al 30.06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01.07 al 11.07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23/01
24/01
31/01
</t>
        </r>
      </text>
    </comment>
    <comment ref="F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07/02/2024
14/02/2024</t>
        </r>
      </text>
    </comment>
    <comment ref="J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06.06</t>
        </r>
      </text>
    </comment>
    <comment ref="K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04.07 al 10.07</t>
        </r>
      </text>
    </comment>
    <comment ref="O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14 Y 15</t>
        </r>
      </text>
    </comment>
    <comment ref="P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16/12 AL 26/01
</t>
        </r>
      </text>
    </comment>
    <comment ref="U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VENDIDO 15 DIAS DE VACACIONES 
(A LAS VACACIONES POR GOZAR DESCONTAR 15 DIAS
</t>
        </r>
      </text>
    </comment>
    <comment ref="H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VACACONES 1 Y 2/04</t>
        </r>
      </text>
    </comment>
    <comment ref="K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15.07
</t>
        </r>
      </text>
    </comment>
    <comment ref="L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01.08 al 11.08
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01/01 al 31/01
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01/02 al  17/02
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14/02/24 al 15/02/2024</t>
        </r>
      </text>
    </comment>
    <comment ref="O4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JUEVES 14 Y VIERNES 15
</t>
        </r>
      </text>
    </comment>
    <comment ref="M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13/09 AL 19/09</t>
        </r>
      </text>
    </comment>
    <comment ref="O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29/10 AL 04/11</t>
        </r>
      </text>
    </comment>
    <comment ref="F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12/02 al 14/02</t>
        </r>
      </text>
    </comment>
    <comment ref="L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05/08 AL 11/08</t>
        </r>
      </text>
    </comment>
  </commentList>
</comments>
</file>

<file path=xl/comments4.xml><?xml version="1.0" encoding="utf-8"?>
<comments xmlns="http://schemas.openxmlformats.org/spreadsheetml/2006/main">
  <authors>
    <author>Marissa</author>
    <author>Nairin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4/01/2023
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27/02 AL 05/03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09/05/2023
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21/06
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24/07/ AL 30/07
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20/09/2023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18/12/2023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27/06 AL 28/06
</t>
        </r>
      </text>
    </comment>
    <comment ref="L5" authorId="1" shapeId="0">
      <text>
        <r>
          <rPr>
            <b/>
            <sz val="9"/>
            <color indexed="81"/>
            <rFont val="Tahoma"/>
            <family val="2"/>
          </rPr>
          <t>Vacaciones: 7 dias
Del 17/08 al 23/08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19/06 AL 25/06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06/07/2023
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15/05/2023 AL 21/05/2023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14/03/2023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03/04/2023 al 09/04/2023
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02/05 al 07/05
</t>
        </r>
      </text>
    </comment>
    <comment ref="J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14/06 al 15/06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 VACACIONES 01/12/2023 AL 15/01/2023
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DESDE EL 20/02/23 AL 26/02/2023
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13/06 AL 15/06
</t>
        </r>
      </text>
    </comment>
    <comment ref="P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18/12/2023 al 15/01/2024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01/01/2023 AL 31/01/2023
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24/04/2023 AL 30/04/2023
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01/05/2023 AL 23/05/2023
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08/02/2023 AL 16/02/2023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18/10 AL 03/11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
 15/01/2023 al 31/01/2023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01/02/2023 al 01/03/2023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09/01/23 AL 15/01/2023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01/01/2023 AL 22/01/2023
</t>
        </r>
      </text>
    </comment>
    <comment ref="J2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14/06 al 25/06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21/07 AL 24/07</t>
        </r>
      </text>
    </comment>
    <comment ref="L2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09/08 AL 13/08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22/05 al 28/06</t>
        </r>
      </text>
    </comment>
    <comment ref="P2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18/12 al 01/01/2024
</t>
        </r>
      </text>
    </comment>
    <comment ref="J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01/06 al 04/06
</t>
        </r>
      </text>
    </comment>
    <comment ref="L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14/08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09/10 al 15/10</t>
        </r>
      </text>
    </comment>
    <comment ref="P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26/12/2023 al 31/12/2023
</t>
        </r>
      </text>
    </comment>
    <comment ref="K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24/07/2023 al 30/07/2023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31/10</t>
        </r>
      </text>
    </comment>
    <comment ref="P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18/12/2023 al 24/12/2023
</t>
        </r>
      </text>
    </comment>
    <comment ref="K3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17/07 al 23/07
</t>
        </r>
      </text>
    </comment>
    <comment ref="M3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26/9
</t>
        </r>
      </text>
    </comment>
    <comment ref="P3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26/12/2023 al 31/12/2023
vacaciones 13/12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EL 22/06
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14/08</t>
        </r>
      </text>
    </comment>
    <comment ref="M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19/09/2023
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18/10
</t>
        </r>
      </text>
    </comment>
    <comment ref="O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27/11 al 28/11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26/12/2023 al 31/12/2023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11/01/2023
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7/02 , 09/02 y 13/02 Y 23/02
</t>
        </r>
      </text>
    </comment>
    <comment ref="G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01/03/2023
VACACIONES 21/03/2023 AL 22/03/2023</t>
        </r>
      </text>
    </comment>
    <comment ref="J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05/06
VACACIONES 08/06</t>
        </r>
      </text>
    </comment>
    <comment ref="K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20/07/2023
</t>
        </r>
      </text>
    </comment>
    <comment ref="M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06/09/2023
</t>
        </r>
      </text>
    </comment>
    <comment ref="O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28/11/2023
</t>
        </r>
      </text>
    </comment>
    <comment ref="P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
</t>
        </r>
      </text>
    </comment>
    <comment ref="K4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20/07/2023 AL 31/07/2023</t>
        </r>
      </text>
    </comment>
    <comment ref="K4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06/07/2023 AL 06/082023
</t>
        </r>
      </text>
    </comment>
    <comment ref="G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20/03/2023</t>
        </r>
      </text>
    </comment>
    <comment ref="J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05/06
VACACIONES 21/06 AL 02/07
</t>
        </r>
      </text>
    </comment>
    <comment ref="K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03/07 al 04/07</t>
        </r>
      </text>
    </comment>
    <comment ref="M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18/09/2023</t>
        </r>
      </text>
    </comment>
    <comment ref="P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04/12/2023 al 12/12/2023</t>
        </r>
      </text>
    </comment>
    <comment ref="O4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06/11/2023 AL  28/11/2023
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24/07/23
</t>
        </r>
      </text>
    </comment>
    <comment ref="L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 16/08/23 AL 21/08/2023
</t>
        </r>
      </text>
    </comment>
    <comment ref="M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06/09/2023</t>
        </r>
      </text>
    </comment>
    <comment ref="O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22/11</t>
        </r>
      </text>
    </comment>
    <comment ref="P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19/12/2023
</t>
        </r>
      </text>
    </comment>
    <comment ref="U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VENDIDO 15 DIAS DE VACACIONES 
(A LAS VACACIONES POR GOZAR DESCONTAR 15 DIAS
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01/01/2023 AL 31/01/2023
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1/02 AL 20/02</t>
        </r>
      </text>
    </comment>
    <comment ref="F5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20/02/2023 al 26/02/2023</t>
        </r>
      </text>
    </comment>
    <comment ref="I5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16/05
</t>
        </r>
      </text>
    </comment>
    <comment ref="K5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06/07
</t>
        </r>
      </text>
    </comment>
    <comment ref="P56" authorId="0" shapeId="0">
      <text>
        <r>
          <rPr>
            <b/>
            <sz val="9"/>
            <color indexed="81"/>
            <rFont val="Tahoma"/>
            <family val="2"/>
          </rPr>
          <t xml:space="preserve">vacaciones: 18/12/2023 al 31/12/2023
01/01/2024 al 17/02/2024
</t>
        </r>
      </text>
    </comment>
    <comment ref="F5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20/02/2023 al 26/02/2023</t>
        </r>
      </text>
    </comment>
    <comment ref="L6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02/08/2023 AL 06/08/2023
</t>
        </r>
      </text>
    </comment>
    <comment ref="N6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11/10 al 13/12</t>
        </r>
      </text>
    </comment>
  </commentList>
</comments>
</file>

<file path=xl/comments5.xml><?xml version="1.0" encoding="utf-8"?>
<comments xmlns="http://schemas.openxmlformats.org/spreadsheetml/2006/main">
  <authors>
    <author>Marissa</author>
    <author>David Grande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25/07/2022 al 08/08/2022
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
23/08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07/09/2022
vacaciones 19/09/2022</t>
        </r>
      </text>
    </comment>
    <comment ref="N4" authorId="1" shapeId="0">
      <text>
        <r>
          <rPr>
            <b/>
            <sz val="9"/>
            <color indexed="81"/>
            <rFont val="Tahoma"/>
            <family val="2"/>
          </rPr>
          <t>19 al 23 de Octubre.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
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26/01/2022 al 30/01/2022</t>
        </r>
      </text>
    </comment>
    <comment ref="P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29/12/2022 AL 01/01/2023
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28/02/22 AL 06/03/22
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25/12/2022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12/05/2022 al 16/05/2022
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03/10/2022
vacaciones 10/10/2022
</t>
        </r>
      </text>
    </comment>
    <comment ref="O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07/11/2022 al 09/11/2022
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25/12/2022
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05/10/2022</t>
        </r>
      </text>
    </comment>
    <comment ref="P1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01/01/2023</t>
        </r>
      </text>
    </comment>
    <comment ref="O1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07/11/2022 al 13/11/2022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12/01/22
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28/02/22, 03/03/22.09/03/22
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09/11/2022
vacaciones del 29/11/2022 al 01/11/2022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14/02/2022 al 28/02/2022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01/03/2022 AL 06/03/2022
</t>
        </r>
      </text>
    </comment>
    <comment ref="P1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DESDE EL 05/12/2022 HASTA 
</t>
        </r>
      </text>
    </comment>
    <comment ref="O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28/11/2023 al 27/12/2022
</t>
        </r>
      </text>
    </comment>
    <comment ref="P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28/11/2022 al 26/12/2022
vacaciones del 28/12/2022 al 26/01/2023
</t>
        </r>
      </text>
    </comment>
    <comment ref="N1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19/10/22 AL 03/11/2022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12/12/2022 HASTA 25/12/2022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05/10/2022 al 03/11/2022
</t>
        </r>
      </text>
    </comment>
    <comment ref="O2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04/11/2022 al 02/12/2022
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04/01/22 AL 09/01/22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19/12/2022 AL 22/01/2023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07/01/22 AL 20/01/22
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11/04/22 al 17/04/2022
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28/10/22 al 31/10/2022
</t>
        </r>
      </text>
    </comment>
    <comment ref="O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25/11/22 AL 28/11/2022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12/12/2022 AL 14/12/2022
VACACIONES DEL 22/12/2022 AL 03
/01/2023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12/12/2022 HASTA 21/12/2022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12/12/2022
HASTA 29/12/2022
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04/02/2022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18/07/2022</t>
        </r>
      </text>
    </comment>
    <comment ref="L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
16/08</t>
        </r>
      </text>
    </comment>
    <comment ref="N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14/10/2022
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01/01/2023
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01/01/2023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01/01/2023
</t>
        </r>
      </text>
    </comment>
    <comment ref="F3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01/02/2022 AL 02/02/2022
</t>
        </r>
      </text>
    </comment>
    <comment ref="G3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01/03/2022
</t>
        </r>
      </text>
    </comment>
    <comment ref="J3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07/06/2022 y 15/06/2022</t>
        </r>
      </text>
    </comment>
    <comment ref="K3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18/07/2022
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
16/08</t>
        </r>
      </text>
    </comment>
    <comment ref="N32" authorId="1" shapeId="0">
      <text>
        <r>
          <rPr>
            <b/>
            <sz val="9"/>
            <color indexed="81"/>
            <rFont val="Tahoma"/>
            <family val="2"/>
          </rPr>
          <t>17 de Octubre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2" authorId="1" shapeId="0">
      <text>
        <r>
          <rPr>
            <b/>
            <sz val="9"/>
            <color indexed="81"/>
            <rFont val="Tahoma"/>
            <family val="2"/>
          </rPr>
          <t>VACACIONES- 7 de Noviembre</t>
        </r>
        <r>
          <rPr>
            <sz val="9"/>
            <color indexed="81"/>
            <rFont val="Tahoma"/>
            <family val="2"/>
          </rPr>
          <t xml:space="preserve">
VACACIONES 25/11/2022
AL 27/11/2022
</t>
        </r>
      </text>
    </comment>
    <comment ref="P3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01/01/2023
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06/01/22
</t>
        </r>
      </text>
    </comment>
    <comment ref="F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08/02/2022
VACACIONES
21/02/2022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12/04/2022
vacaciones 26/04/22
</t>
        </r>
      </text>
    </comment>
    <comment ref="I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02/05/22, 09/05/2022,
VACACIONES 30/05/2022
</t>
        </r>
      </text>
    </comment>
    <comment ref="J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07/06/2022</t>
        </r>
      </text>
    </comment>
    <comment ref="L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08/08/2022
vacaciones 15/08/2022
</t>
        </r>
      </text>
    </comment>
    <comment ref="M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
02/09
vacaciones 28/09/2022
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03/10/22
vacaciones 11/10/2022 al 12/10/2022
Vacaciones: 19/10/2022</t>
        </r>
      </text>
    </comment>
    <comment ref="O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08/11/2022 
vacaciones 28/11/2022
</t>
        </r>
      </text>
    </comment>
    <comment ref="P3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19/12/2022
VACACIONES 22/12/2022 
</t>
        </r>
      </text>
    </comment>
    <comment ref="E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31/01/2022
</t>
        </r>
      </text>
    </comment>
    <comment ref="K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20/07/2022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03/08/2022 Y 04/08/2022</t>
        </r>
      </text>
    </comment>
    <comment ref="M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06/09/2022
vacaciones 12/09/2022 al 18/09/2022
</t>
        </r>
      </text>
    </comment>
    <comment ref="O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: 14/11/2022 AL 20/11/2022
VACACIONES
29/11/2022</t>
        </r>
      </text>
    </comment>
    <comment ref="P3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01/01/2023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04/01/22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03/10/22 al 16/10/220</t>
        </r>
      </text>
    </comment>
    <comment ref="P41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01/01/2023
</t>
        </r>
      </text>
    </comment>
    <comment ref="J4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27/06/2022 al 10/07/2022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24/09/2022 al 02/10/2022</t>
        </r>
      </text>
    </comment>
    <comment ref="L4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03/08/2022
</t>
        </r>
      </text>
    </comment>
    <comment ref="N4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17/10/2022 AL 08/11/2022
</t>
        </r>
      </text>
    </comment>
    <comment ref="O4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25/11/22 AL 30/11/2022
 </t>
        </r>
      </text>
    </comment>
    <comment ref="P4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28/12/2022 AL 29/12/2022</t>
        </r>
      </text>
    </comment>
    <comment ref="P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28/12/2022</t>
        </r>
      </text>
    </comment>
    <comment ref="P48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31/12/2022
</t>
        </r>
      </text>
    </comment>
    <comment ref="J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02/06/2022
</t>
        </r>
      </text>
    </comment>
    <comment ref="N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07/10/2022 al 09/10/2022
Vacaciones: 24/10/2022
Vacaciones: 28/10/2022 al 30/10/2022</t>
        </r>
      </text>
    </comment>
    <comment ref="P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22/12/2022 AL 26/12/2022
VACACIONES 28/12/2022 AL 05/01/2023</t>
        </r>
      </text>
    </comment>
    <comment ref="G5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28/02/22 al 03/03/2022
VACACIONES DEL 14/03/22 AL 20/3/2022</t>
        </r>
      </text>
    </comment>
    <comment ref="L5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
22/08 AL 23/08
29/08/2022
31/08/2022
</t>
        </r>
      </text>
    </comment>
    <comment ref="N5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10/10/2022
11/10/2022 al 13/10/2022
</t>
        </r>
      </text>
    </comment>
    <comment ref="O5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Vacaciones: 2 al 3 de Noviembre.</t>
        </r>
      </text>
    </comment>
    <comment ref="P5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22/12/2022 AL 26/12/2022
</t>
        </r>
      </text>
    </comment>
    <comment ref="E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03/01/22 AL 10/01/22
</t>
        </r>
      </text>
    </comment>
    <comment ref="I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09/05/2022 AL 20/05/2022</t>
        </r>
      </text>
    </comment>
    <comment ref="P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01/12/2022 AL 25/12/2022
</t>
        </r>
      </text>
    </comment>
  </commentList>
</comments>
</file>

<file path=xl/comments6.xml><?xml version="1.0" encoding="utf-8"?>
<comments xmlns="http://schemas.openxmlformats.org/spreadsheetml/2006/main">
  <authors>
    <author>Marissa</author>
  </authors>
  <commentList>
    <comment ref="P1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LICENCIA DE PATERNIDAD
20/12/2021 AL 01/01/2022
</t>
        </r>
      </text>
    </comment>
    <comment ref="P17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09 AL 23 DIC AL 02/01/2022
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27/12/21 al 06/01/2022
</t>
        </r>
      </text>
    </comment>
    <comment ref="O2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02/11/21 AL 16/11/21
17/11/21 AL 23/11/21
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 xml:space="preserve">Marissa:
22/12/21 AL 03/01/22
</t>
        </r>
      </text>
    </comment>
    <comment ref="O2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02/11/21 AL 16/11/21
17/11/21 AL 23/11/21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22/12/21 AL 03/01/22
</t>
        </r>
      </text>
    </comment>
    <comment ref="P4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VACIONES 13 DIC
</t>
        </r>
      </text>
    </comment>
    <comment ref="P45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15/12/11
</t>
        </r>
      </text>
    </comment>
    <comment ref="P46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30/12/2021
</t>
        </r>
      </text>
    </comment>
    <comment ref="G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COMPRA DE VACACIONES 4500 (PRESTAMO)
</t>
        </r>
      </text>
    </comment>
    <comment ref="M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COMPRA DE VACACIONES 5800 (PRESTAMO)
</t>
        </r>
      </text>
    </comment>
    <comment ref="N4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COMPRA DE VACACIONES 2900
 (PRESTAMO)</t>
        </r>
      </text>
    </comment>
    <comment ref="M5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COMPRA DE VACACIONES 5800 (PRESTAMO)
</t>
        </r>
      </text>
    </comment>
    <comment ref="N50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COMPRA DE VACACIONES 5800 (PRESTAMO)</t>
        </r>
      </text>
    </comment>
    <comment ref="P52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VACACIONES DEL 13/12 AL 03/01/2022</t>
        </r>
      </text>
    </comment>
  </commentList>
</comments>
</file>

<file path=xl/comments7.xml><?xml version="1.0" encoding="utf-8"?>
<comments xmlns="http://schemas.openxmlformats.org/spreadsheetml/2006/main">
  <authors>
    <author>katty</author>
  </authors>
  <commentList>
    <comment ref="O39" authorId="0" shapeId="0">
      <text>
        <r>
          <rPr>
            <b/>
            <sz val="9"/>
            <color indexed="81"/>
            <rFont val="Tahoma"/>
            <family val="2"/>
          </rPr>
          <t>MARISSA:</t>
        </r>
        <r>
          <rPr>
            <sz val="9"/>
            <color indexed="81"/>
            <rFont val="Tahoma"/>
            <family val="2"/>
          </rPr>
          <t xml:space="preserve">
 07/12/2020 - FIN DE LICENCIA POR MATERNIDAD
08/12/2020 - INICIO VACACIONES
</t>
        </r>
      </text>
    </comment>
  </commentList>
</comments>
</file>

<file path=xl/sharedStrings.xml><?xml version="1.0" encoding="utf-8"?>
<sst xmlns="http://schemas.openxmlformats.org/spreadsheetml/2006/main" count="2203" uniqueCount="581">
  <si>
    <t>FECHA DE INGRESO A RUAG</t>
  </si>
  <si>
    <t>Enero  -  diciembre 2013</t>
  </si>
  <si>
    <t>Enero  -  diciembre 2014</t>
  </si>
  <si>
    <t>Total días gozados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</si>
  <si>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</si>
  <si>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</si>
  <si>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</si>
  <si>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</si>
  <si>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</si>
  <si>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</si>
  <si>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</si>
  <si>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</si>
  <si>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</si>
  <si>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</si>
  <si>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</si>
  <si>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</si>
  <si>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ARROYO FALLA, VANESSA ALICIA </t>
  </si>
  <si>
    <t>ASPILCUETA GUTIERREZ KAREN CRISTINA</t>
  </si>
  <si>
    <t xml:space="preserve">BACA WIESSE JOSE ALBERTO </t>
  </si>
  <si>
    <t>BALLENA CASTILLO ITALA ADRIANA</t>
  </si>
  <si>
    <t>BAUTISTA AYESTA HEBER</t>
  </si>
  <si>
    <t>CORDOVA VELEZ, JULISSA</t>
  </si>
  <si>
    <t>COLETO PASTOR LUIS ENRIQUE</t>
  </si>
  <si>
    <t xml:space="preserve">Solicito a usted autorización para gozar </t>
  </si>
  <si>
    <t>A partir del:</t>
  </si>
  <si>
    <t>hasta</t>
  </si>
  <si>
    <t>Correspondiente al período</t>
  </si>
  <si>
    <t>………………………….</t>
  </si>
  <si>
    <t>Ing. Raúl Grande Alcántara</t>
  </si>
  <si>
    <t>Gerente General</t>
  </si>
  <si>
    <t>Colaborador</t>
  </si>
  <si>
    <t>COD.</t>
  </si>
  <si>
    <t>APELLIDOS Y NOMBRES</t>
  </si>
  <si>
    <t>DIAS DE VACACIONES</t>
  </si>
  <si>
    <t>ARROYO FALLA, VANESSA ALICIA</t>
  </si>
  <si>
    <t>BACA WIESSE, JOSE ALBERTO</t>
  </si>
  <si>
    <t>BALLENA CASTILLO, ITALA ADRIANA</t>
  </si>
  <si>
    <t>BAUTISTA AYESTA, HEBERT</t>
  </si>
  <si>
    <t>BAUTISTA AYESTA, WALTER</t>
  </si>
  <si>
    <t>ESPEJO PACHECO URSULA EMELIA</t>
  </si>
  <si>
    <t>GRANDE ALCANTARA, GERMAN NICOLAS</t>
  </si>
  <si>
    <t>GRANDE ALCANTARA, MILAGROS MARGARITA</t>
  </si>
  <si>
    <t>GRANDE ALCANTARA, PAUL JOSEPH</t>
  </si>
  <si>
    <t>GRANDE ALCANTARA, RAUL NEVADA</t>
  </si>
  <si>
    <t>JUAN-PEDRO CRUZ,GIOVANNA PAULA</t>
  </si>
  <si>
    <t>0SCCO GUILLEN, ORMINDA ZORAIDA</t>
  </si>
  <si>
    <t>RAMIREZ ROMAN, JOSE MARCELO</t>
  </si>
  <si>
    <t>TERRONES BECERRA, MARISSA ESTHER</t>
  </si>
  <si>
    <t>VELASQUEZ VENTURA, SONIA PILAR</t>
  </si>
  <si>
    <t>ALHUAY AYESTA, RAMIRO</t>
  </si>
  <si>
    <t>BAUTISTA AYESTA WALTER</t>
  </si>
  <si>
    <t>FLORES MANTILLA MARIANA</t>
  </si>
  <si>
    <t>GRANDE ALCANTARA MILAGROS M.</t>
  </si>
  <si>
    <t>GRANDE ALCANTARA PAUL</t>
  </si>
  <si>
    <t xml:space="preserve">RAMIREZ ROMAN MARCELO </t>
  </si>
  <si>
    <t xml:space="preserve">TERRONES BECERRA MARISSA </t>
  </si>
  <si>
    <t>TOMAYLLA TERRONES KATHERINE</t>
  </si>
  <si>
    <t xml:space="preserve">ASPILCUETA GUTIERREZ KAREN </t>
  </si>
  <si>
    <t>GRANDE ALCANTARA GERMAN N.</t>
  </si>
  <si>
    <t>OSCCO GUILLEN ZORAIDA</t>
  </si>
  <si>
    <t>Enero  -  diciembre 2015</t>
  </si>
  <si>
    <t xml:space="preserve">ZURITA PEÑA JOANY </t>
  </si>
  <si>
    <t>ZURITA PEÑA, JOANY</t>
  </si>
  <si>
    <t>SOLICITUD DE VACACIONES</t>
  </si>
  <si>
    <t xml:space="preserve">Fecha de solicitud: </t>
  </si>
  <si>
    <t>Yo,</t>
  </si>
  <si>
    <t>Jefe Inmediato:</t>
  </si>
  <si>
    <t>…………………………..…………</t>
  </si>
  <si>
    <t>EMPLEADOS</t>
  </si>
  <si>
    <t>.</t>
  </si>
  <si>
    <t>D.N.I.</t>
  </si>
  <si>
    <t xml:space="preserve">   días de vacaciones</t>
  </si>
  <si>
    <t>Enero  -  diciembre 2016</t>
  </si>
  <si>
    <t>Enero  -  diciembre 2017</t>
  </si>
  <si>
    <t>BRIONES RIVERA, RICHARD</t>
  </si>
  <si>
    <t>ALARCON PEREZ, LUIS ALBERTO</t>
  </si>
  <si>
    <t>COLETO PASTOR, LUIS ENRIQUE</t>
  </si>
  <si>
    <t xml:space="preserve">FLORES MANTILLA, MARIANA LORENA </t>
  </si>
  <si>
    <t>Gozados (2012)</t>
  </si>
  <si>
    <t>Gozadas (2013)</t>
  </si>
  <si>
    <t>Gozadas (2014)</t>
  </si>
  <si>
    <t>Gozadas (2015)</t>
  </si>
  <si>
    <t>Gozadas (2016)</t>
  </si>
  <si>
    <t>Gozadas (2017)</t>
  </si>
  <si>
    <t>Jefe Inmediato.</t>
  </si>
  <si>
    <t>ALARCON PEREZ LUIS</t>
  </si>
  <si>
    <t>ALEJOS TORIBIO, SULELMA MELISA</t>
  </si>
  <si>
    <t>JUAN PEDRO CRUZ, GIOVANNA PAULA</t>
  </si>
  <si>
    <t>Enero  -  diciembre 2018</t>
  </si>
  <si>
    <t>Gozadas (2018)</t>
  </si>
  <si>
    <t>YNCIO JIMENEZ, SILVIA JANNET</t>
  </si>
  <si>
    <t>VERA AGUILAR, FIORELLA DIANINY</t>
  </si>
  <si>
    <t>REYNA ACOSTA, CLARA PATRICIA VICTORIA</t>
  </si>
  <si>
    <t>ALEJOS TPRIBIO, SULELMA MELISA</t>
  </si>
  <si>
    <t>PEÑA HERNANDEZ, FERNANDO FABIAN</t>
  </si>
  <si>
    <t>YNCIO JIMENEZ SILVIA</t>
  </si>
  <si>
    <t>REYNA COSTA CLARA</t>
  </si>
  <si>
    <t>PEÑA HERNANDEZ, FERNANDO FAVIAN</t>
  </si>
  <si>
    <t>Enero  -  diciembre 2019</t>
  </si>
  <si>
    <t>Gozadas (2019)</t>
  </si>
  <si>
    <t>ALTAMIRANO SULCA, JOSE MANUEL</t>
  </si>
  <si>
    <t>DAMBROSIO RIVERO , LIZETH STEFANNY</t>
  </si>
  <si>
    <t xml:space="preserve">GRANDES PECEROS DAVID </t>
  </si>
  <si>
    <t>JIMENEZ KAMEL FERNANDO ELIAS</t>
  </si>
  <si>
    <t>VENEGAS MARCHAND FRANCISCO MARTIN</t>
  </si>
  <si>
    <t>YON UTRILLA, LUIS CARLOS</t>
  </si>
  <si>
    <t xml:space="preserve">16/05/2012 BAJA </t>
  </si>
  <si>
    <t>ALTAMIRANO SULCA MANUEL</t>
  </si>
  <si>
    <t>GRANDE PECEROS DAVID</t>
  </si>
  <si>
    <t xml:space="preserve">YON UTRILLA LUIS </t>
  </si>
  <si>
    <t>GRANDE ALCANTARA GERMAN NICOLAS</t>
  </si>
  <si>
    <t>ACEVEDO LOPEZ, FLOR MARÍA</t>
  </si>
  <si>
    <t>ANYOSA GOMEZ, JUAN CARLOS</t>
  </si>
  <si>
    <t>FLORES GUARDIA, CLAUDIA ALEJANDRA</t>
  </si>
  <si>
    <t>FLORES ORE, DANTE</t>
  </si>
  <si>
    <t>GOYAS ABRAMONTE JAVIER ENRRIQUE</t>
  </si>
  <si>
    <t>LOZANO SOTO, ROY</t>
  </si>
  <si>
    <t>MENDOZA GARCÍA, ZINCIA ISAURA</t>
  </si>
  <si>
    <t>OCHOA GUTIERREZ, ERICKSON</t>
  </si>
  <si>
    <t>OSCCO GUILEN, EDWIN RAFAEL</t>
  </si>
  <si>
    <t>ROCA URBANO, INES</t>
  </si>
  <si>
    <t>SAPAICO PICHARD, JOSEPH JESÚS</t>
  </si>
  <si>
    <t>SOTO MAYOR, DIANA</t>
  </si>
  <si>
    <t xml:space="preserve">GUZMAN MANTARI, INGRID ISABEL </t>
  </si>
  <si>
    <t>INGRESO A PLANILLA</t>
  </si>
  <si>
    <t>ROL DE VACACIONES PARA EL PDT - PLAME 2020</t>
  </si>
  <si>
    <t>DAMBROSIO RIVERO LIZETH STEFANNY</t>
  </si>
  <si>
    <t>MENDOZA GARCÍA, ZINCIA</t>
  </si>
  <si>
    <t>VACACIONES PENDIENTES (DÍAS)</t>
  </si>
  <si>
    <t>AÑO DE VACACIONES PARA EL PLAME</t>
  </si>
  <si>
    <t>RECEPCION</t>
  </si>
  <si>
    <t>LOGÍSTICA</t>
  </si>
  <si>
    <t>CONTABILIDAD</t>
  </si>
  <si>
    <t>ADMINISTRATIVO</t>
  </si>
  <si>
    <t>VENTAS</t>
  </si>
  <si>
    <t>LIMPIEZA</t>
  </si>
  <si>
    <t>RRHH</t>
  </si>
  <si>
    <t>SEGURIDAD</t>
  </si>
  <si>
    <t>ÁREA</t>
  </si>
  <si>
    <t>OPERATIVA</t>
  </si>
  <si>
    <t>OFICINA</t>
  </si>
  <si>
    <t>ASISTENTE GERENCIA</t>
  </si>
  <si>
    <t>ASISTENTE DE GERENCIA</t>
  </si>
  <si>
    <t>LOGISTICA</t>
  </si>
  <si>
    <t>RECEPCIÓN</t>
  </si>
  <si>
    <t>RR.HH.</t>
  </si>
  <si>
    <t xml:space="preserve">VENTAS </t>
  </si>
  <si>
    <t>FINANZAS</t>
  </si>
  <si>
    <t>Enero  -  diciembre 2020</t>
  </si>
  <si>
    <t>FLORES GUARDIA CLAUDIA</t>
  </si>
  <si>
    <t xml:space="preserve">GOYAS ABRAMONTE, JAVIER ENRRIQUE </t>
  </si>
  <si>
    <t>OCHOA GUTIERREZ ERICKSON</t>
  </si>
  <si>
    <t>OSCCO GUILLEN EDWIN RAFAEL</t>
  </si>
  <si>
    <t>VENEGAS MARCHAND, FRANCISCO MARTIN</t>
  </si>
  <si>
    <t>TOTAL</t>
  </si>
  <si>
    <t>N°</t>
  </si>
  <si>
    <t>ESPEJO PACHECO, URSULA AMELIA</t>
  </si>
  <si>
    <t>GRANDE ALCANTRA, RAUL NEVADA</t>
  </si>
  <si>
    <t>DIAS GOZADOS</t>
  </si>
  <si>
    <t>DIAS POR GOZAR</t>
  </si>
  <si>
    <t>BASE DE CALCULO</t>
  </si>
  <si>
    <t>AGOSTO</t>
  </si>
  <si>
    <t xml:space="preserve">GOYAS ABRAMONTE, JAVIER ENRIQUE </t>
  </si>
  <si>
    <t>JULIO</t>
  </si>
  <si>
    <t>16 MAR- 30 JUN</t>
  </si>
  <si>
    <t>AL 15 MAR</t>
  </si>
  <si>
    <t>FECHA DE INGRESO</t>
  </si>
  <si>
    <t>DETERMINACION DE DIAS DE VACACIONES</t>
  </si>
  <si>
    <t>VACACIONES POR PAGAR</t>
  </si>
  <si>
    <t>MONTO POR PAGAR</t>
  </si>
  <si>
    <t>SALDO POR PAGAR</t>
  </si>
  <si>
    <t>TOTAL DIAS TRABAJADOS 
(a)</t>
  </si>
  <si>
    <t>TOTAL DIAS VACAC
(a/365*30)</t>
  </si>
  <si>
    <t>SETIEMBRE</t>
  </si>
  <si>
    <t>LICENCIA SIN GOCE DE HABER</t>
  </si>
  <si>
    <t>01/09/2020 hasta 01/10/2020 - FIRMADO</t>
  </si>
  <si>
    <t>OCTUBRE</t>
  </si>
  <si>
    <t>15/10/2020 hasta 31/12/2020 - FIRMADO</t>
  </si>
  <si>
    <t>SE REINCORPORO EL DIA 30/09/20</t>
  </si>
  <si>
    <t>OBSERVACIONES</t>
  </si>
  <si>
    <t xml:space="preserve">REPORTE DE VACACIONES </t>
  </si>
  <si>
    <t>Fecha de ingreso a planilla</t>
  </si>
  <si>
    <t>Años correspondiente a vacaciones</t>
  </si>
  <si>
    <t>Días de vacaciones</t>
  </si>
  <si>
    <t>Derecho a días de vacaciones</t>
  </si>
  <si>
    <t>Gozadas (2020</t>
  </si>
  <si>
    <t>PENDIENTE POR GOZAR</t>
  </si>
  <si>
    <t>01/01/2017</t>
  </si>
  <si>
    <t>01 ene 2017 al 31 dic 2017</t>
  </si>
  <si>
    <t>01 ene 2018 al 31 dic 2018</t>
  </si>
  <si>
    <t>01 ene 2019 al 31 dic 2019</t>
  </si>
  <si>
    <t xml:space="preserve">01 Ene 2020 al 31 Dic 2020 </t>
  </si>
  <si>
    <t>01/09/2017</t>
  </si>
  <si>
    <t>01/09/2014</t>
  </si>
  <si>
    <t>01 Set 2014 al 30 Ago 2015 Gozado</t>
  </si>
  <si>
    <t>01 Set 2015 al 30 Ago 2016 Gozado</t>
  </si>
  <si>
    <t>01 Set 2016 al 30 Ago 2017 Gozado</t>
  </si>
  <si>
    <t>01 Set 2017 al 30 Ago 2018 Gozado</t>
  </si>
  <si>
    <t>01 Set 2019 al 30 Ago 2020</t>
  </si>
  <si>
    <t>01 Ago 2018 al 31 Jul 2019</t>
  </si>
  <si>
    <t>01/02/2019 BAJA</t>
  </si>
  <si>
    <t xml:space="preserve">01 Ago 2019 al 31 Jul 2020 </t>
  </si>
  <si>
    <t>01/04/2019</t>
  </si>
  <si>
    <t>01 abr 2019 al 31 mar 2020</t>
  </si>
  <si>
    <t>01 abril 2013</t>
  </si>
  <si>
    <t>01/04/2013</t>
  </si>
  <si>
    <t>01 Abr 2014 al 30 Mar 2015 Gozado</t>
  </si>
  <si>
    <t>01 Abr 2016 al 30 Mar 2017 Gozado</t>
  </si>
  <si>
    <t>01 Abr 2017 al 30 Mar 2018</t>
  </si>
  <si>
    <t>01 Abr 2018 al 30 Mar 2019</t>
  </si>
  <si>
    <t>01 Abr 2019 al 30 Mar 2020</t>
  </si>
  <si>
    <t>01 junio 2005</t>
  </si>
  <si>
    <t>01/01/2011</t>
  </si>
  <si>
    <t>01 Ene 2011 al 31 Dic 2011 Gozado</t>
  </si>
  <si>
    <t>01 Ene 2012 al 31 Dic 2012 Gozado</t>
  </si>
  <si>
    <t>01 Ene 2013 al 31 Dic 2013 Gozado</t>
  </si>
  <si>
    <t>01 Ene 2014 al 31 Dic 2014 Gozado</t>
  </si>
  <si>
    <t>01 Ene 2015 al 31 Dic 2015 Gozado</t>
  </si>
  <si>
    <t>01 Ene 2016 al 31 Dic 2016</t>
  </si>
  <si>
    <t>01 Ene 2017 al 31 Dic 2017</t>
  </si>
  <si>
    <t>01 Ene 2018 al 31 Dic 2018</t>
  </si>
  <si>
    <t>01 Ene 2019 al 31 Dic 2019</t>
  </si>
  <si>
    <t>01 febrero 2010</t>
  </si>
  <si>
    <t>01/03/2011</t>
  </si>
  <si>
    <t>01 Mar 2011 al 28 Feb 2012 gozado</t>
  </si>
  <si>
    <t>01 Mar 2012 al 28 Feb 2013 gozado</t>
  </si>
  <si>
    <t>01 Mar 2013 al 28 Feb 2014 gozado</t>
  </si>
  <si>
    <t>01 Mar 2014 al 28 Feb 2015 gozado</t>
  </si>
  <si>
    <t>01 Mar 2015 al 28 Feb 2016 gozado</t>
  </si>
  <si>
    <t>01 Mar 2016 al 28 Feb 2017 pagada</t>
  </si>
  <si>
    <t>01 Mar 2017 al 28 Feb 2018 Gozado</t>
  </si>
  <si>
    <t>01 Mar 2018 al 31 Feb 2019</t>
  </si>
  <si>
    <t>01 Mar 2019 al 28 Feb 2020</t>
  </si>
  <si>
    <t>01 agosto 2005</t>
  </si>
  <si>
    <t>01 Jul 2011 al 30 Jun 2012 Gozado</t>
  </si>
  <si>
    <t>01 Jul 2012 al 30 Jun 2013 Gozado</t>
  </si>
  <si>
    <t>01 Jul 2013 al 30 Jun 2014</t>
  </si>
  <si>
    <t>01 Jul 2014 al 30 Jun 2015</t>
  </si>
  <si>
    <t>01 Jul 2015 al 30 Jun 2016</t>
  </si>
  <si>
    <t>01 Jul 2016 al 30 Jun 2017</t>
  </si>
  <si>
    <t>01 Jul 2017 al 30 Jun 2018</t>
  </si>
  <si>
    <t>01 Jul 2018 al 30 Jun 2019</t>
  </si>
  <si>
    <t>01 Jul 2019 al 30 Jun 2020</t>
  </si>
  <si>
    <t>01 May 2011 al 30 Abr 2012</t>
  </si>
  <si>
    <t>01 May 2012 al 30 Abr 2013</t>
  </si>
  <si>
    <t>01 May 2013 al 30 Abr 2014</t>
  </si>
  <si>
    <t>01 May 2014 al 30 Abr 2015</t>
  </si>
  <si>
    <t>01 May 2015 al 30 Abr 2016</t>
  </si>
  <si>
    <t>01 May 2016 al 30 Abr 2017</t>
  </si>
  <si>
    <t>01 May 2017 al 30 Abr 2018</t>
  </si>
  <si>
    <t>01 May 2018 al 30 Abr 2019</t>
  </si>
  <si>
    <t>01 May 2019 al 30 Abr 2020</t>
  </si>
  <si>
    <t>01 enero 2009</t>
  </si>
  <si>
    <t>01/02/2020</t>
  </si>
  <si>
    <t>01 Oct 2011 al 30 Set 2012 Gozado</t>
  </si>
  <si>
    <t>01 Oct 2012 al 30 Set 2013 Gozado</t>
  </si>
  <si>
    <t>01 Oct 2013 al 30 Set 2014 Gozado</t>
  </si>
  <si>
    <t>01 Oct 2014 al 30 Set 2015 Gozado</t>
  </si>
  <si>
    <t>01 Oct 2015 al 30 Set 2016 Gozado</t>
  </si>
  <si>
    <t>01 Oct 2016 al 30 Set 2017 Gozado</t>
  </si>
  <si>
    <t>01 Oct 2017 al 30 Set 2018</t>
  </si>
  <si>
    <t>01 Oct 2018 al 30 Set 2019</t>
  </si>
  <si>
    <t>01 Oct 2019 al 30 Set 2020</t>
  </si>
  <si>
    <t>01 abril 2011</t>
  </si>
  <si>
    <t>01 marzo 2007</t>
  </si>
  <si>
    <t>01/01/2019</t>
  </si>
  <si>
    <t xml:space="preserve">01 ene 2019 al 31 Dic 2019 </t>
  </si>
  <si>
    <t xml:space="preserve">1 ene 2020 al 31 Dic 2020 </t>
  </si>
  <si>
    <t>01/11/2019</t>
  </si>
  <si>
    <t xml:space="preserve">01 nov 2019 al 31 oct 2020 </t>
  </si>
  <si>
    <t>01/07/2014</t>
  </si>
  <si>
    <t>01 Jul 2014 al 30 Jun 2015 Gozado</t>
  </si>
  <si>
    <t>01 Jul 2015 al 30 Jun 2016 Gozado</t>
  </si>
  <si>
    <t>01 Jul 2016 al 30 Jun 2017 Gozado</t>
  </si>
  <si>
    <t>GOYAS ABRAMONTE JAVIER</t>
  </si>
  <si>
    <t>01 Abr 2011 al 30 Mar 2012 Gozado</t>
  </si>
  <si>
    <t>01 Abr 2012 al 30 Mar 2013</t>
  </si>
  <si>
    <t>01 Abr 2013 al 30 Mar 2014</t>
  </si>
  <si>
    <t>01 Abr 2014 al 30 Mar 2015</t>
  </si>
  <si>
    <t>01 Abr 2015 al 30 Mar 2016</t>
  </si>
  <si>
    <t>01 Abr 2016 al 30 Mar 2017</t>
  </si>
  <si>
    <t>01/01/2012</t>
  </si>
  <si>
    <t>01 Ene 2012 al 30 Dic 2012 Gozado</t>
  </si>
  <si>
    <t>01 Ene 2013 al 30 Dic 2013 Gozado</t>
  </si>
  <si>
    <t>01 Ene 2014 al 30 Dic 2014</t>
  </si>
  <si>
    <t>01 Ene 2015 al 30 Dic 2015</t>
  </si>
  <si>
    <t>01 Ene 2016 al 30 Dic 2016</t>
  </si>
  <si>
    <t>01 Ene 2017 al 30 Dic 2017</t>
  </si>
  <si>
    <t>01 Ene 2018 al 30 Dic 2018</t>
  </si>
  <si>
    <t>01/10/2018</t>
  </si>
  <si>
    <t>01 Oct 2018 al 31 Jul 2019</t>
  </si>
  <si>
    <t>01 Oct 2019 al 31 Jul 2020</t>
  </si>
  <si>
    <t>01 agosto 2008</t>
  </si>
  <si>
    <t>01/03/2012</t>
  </si>
  <si>
    <t>01 Mar 2013 al 28 Feb 2014 Pagada</t>
  </si>
  <si>
    <t>01 Mar 2014 al 28 Feb 2015 Pagada</t>
  </si>
  <si>
    <t>01 Mar 2015 al 28 Feb 2016 (Pagada)</t>
  </si>
  <si>
    <t>01 Mar 2016 al 28 Feb 2017 (Pagada)</t>
  </si>
  <si>
    <t>01 Mar 2017 al 28 Feb 2018 (Gozado)</t>
  </si>
  <si>
    <t>01 Mar 2018 al 28 Feb 2019</t>
  </si>
  <si>
    <t>01/05/2017</t>
  </si>
  <si>
    <t>1 Ene 2020 al 31 Dic 2020</t>
  </si>
  <si>
    <t>01/08/2019</t>
  </si>
  <si>
    <t xml:space="preserve">01 ago 2019 al 30 set 2020 </t>
  </si>
  <si>
    <t>OROZCO BALAREZO SILVIA</t>
  </si>
  <si>
    <t>01/08/2020</t>
  </si>
  <si>
    <t>OSCCO GUILLEN EDWIN</t>
  </si>
  <si>
    <t>01/11/2018</t>
  </si>
  <si>
    <t xml:space="preserve">01 nov 2018 al 31 oct 2019 </t>
  </si>
  <si>
    <t>09/01/2013</t>
  </si>
  <si>
    <t>01 Ene 2014 al 30 Dic 2014 Gozado</t>
  </si>
  <si>
    <t>01 Ene 2015 al 30 Dic 2015 Gozado</t>
  </si>
  <si>
    <t>01 Ene 2016 al 30 Dic 2016 Gozado</t>
  </si>
  <si>
    <t>01 Ene 2019 al 30 Dic 2019</t>
  </si>
  <si>
    <t>01 Ene 2020 al 30 Dic 2020</t>
  </si>
  <si>
    <t>01/05/2017 AL 30/04/2018</t>
  </si>
  <si>
    <t>1 May 2019 al 30 Abr 2020</t>
  </si>
  <si>
    <t>01 agosto 2007</t>
  </si>
  <si>
    <t>01 Jul 2013 al 30 Jun 2014 Gozado</t>
  </si>
  <si>
    <t>01/12/2017</t>
  </si>
  <si>
    <t>01 Dic 2017 al 30 Nov 2018</t>
  </si>
  <si>
    <t>01 Dic 2018 al 30 Nov 2019</t>
  </si>
  <si>
    <t>01 Dic 2019 al 30 Nov 2020</t>
  </si>
  <si>
    <t>SALIRROSAS PONCE LILIANA</t>
  </si>
  <si>
    <t>01/09/2020</t>
  </si>
  <si>
    <t>01 Jul 2011 al 30 Jun 2012 Gozada</t>
  </si>
  <si>
    <t>01 Jul 2012 al 30 Jun 2013 Gozada</t>
  </si>
  <si>
    <t>01 Jul 2013 al 30 Jun 2014 Gozada</t>
  </si>
  <si>
    <t>01 Jul 2014 al 30 Jun 2015 Gozada</t>
  </si>
  <si>
    <t>01/02/2014</t>
  </si>
  <si>
    <t>01 Feb 2014 al 30 Ene 2015 Gozado</t>
  </si>
  <si>
    <t>01 Feb 2015 al 30 Ene 2016</t>
  </si>
  <si>
    <t>01 Feb 2016 al 30 Ene 2017</t>
  </si>
  <si>
    <t>01 Feb 2017 al 30 Ene 2018</t>
  </si>
  <si>
    <t>01 Feb 2018 al 30 Ene 2019</t>
  </si>
  <si>
    <t>01 Feb 2019 al 30 Ene 2020</t>
  </si>
  <si>
    <t>VENEGAS MARCHAND FRANCISCO</t>
  </si>
  <si>
    <t>01/01/2018</t>
  </si>
  <si>
    <t>01 Ene 2018 al 31 Dic 2018 Gozada</t>
  </si>
  <si>
    <t>01 Ene 2019 al 31 Dic 2019 Gozada</t>
  </si>
  <si>
    <t xml:space="preserve">01 Ago 2018 al 31 Jul 2019 </t>
  </si>
  <si>
    <t>01/10/2014</t>
  </si>
  <si>
    <t>01 Oct 2015 al 30 Set 2016 Gozada</t>
  </si>
  <si>
    <t>01 Oct 2016 al 30 Set 2017 Gozada</t>
  </si>
  <si>
    <t>2 Oct 2019 al 30 Set 2020</t>
  </si>
  <si>
    <t>PENDIENTE POR GOZAR DÍAS</t>
  </si>
  <si>
    <t>OROSCO BALAREZO SILVIA</t>
  </si>
  <si>
    <t>SALIRROSSA PONCE LILIANA</t>
  </si>
  <si>
    <t>01 Set 2018 al 30 Ago 2019 Gozados</t>
  </si>
  <si>
    <t>VACACIONES EMPLEADOS</t>
  </si>
  <si>
    <t>01 set 2017 al 31 ago 2018</t>
  </si>
  <si>
    <t>01 set 2018 al 31 ago 2019</t>
  </si>
  <si>
    <t>01 set 2019 al 31 ago 2020</t>
  </si>
  <si>
    <t>01 Abr 2013 al 30 Mar 2014 Gozado</t>
  </si>
  <si>
    <t>01 Oct 2014 al 30 Set 2015 Gozada</t>
  </si>
  <si>
    <t>01/08/2018</t>
  </si>
  <si>
    <t>01/07/2011</t>
  </si>
  <si>
    <t>01/05/2011</t>
  </si>
  <si>
    <t>01/10/2011</t>
  </si>
  <si>
    <t>01/04/2011</t>
  </si>
  <si>
    <t>BAUTISTA AYESTA WALTER (INGRESO A PLANILLA 01/05/2007)</t>
  </si>
  <si>
    <t>BAUTISTA AYESTA HEBER (INGRESO PLANILLA 01/07/2007)</t>
  </si>
  <si>
    <t>COLETO PASTOR LUIS ENRIQUE (INGRESO A PLANILLA 01/10/2010)</t>
  </si>
  <si>
    <t>GRANDE ALCANTARA GERMAN N. (INGRESO A PLANILLA 01/04/2007)</t>
  </si>
  <si>
    <t>GRANDE ALCANTARA MILAGROS M. (INGRESO PLANILLA 01/07/2008)</t>
  </si>
  <si>
    <t>RAMIREZ ROMAN MARCELO (INGRESO A PLANILLA 01/07/2008)</t>
  </si>
  <si>
    <t>TERRONES BECERRA MARISSA (INGRESO PLANILLA 01/07/2008)</t>
  </si>
  <si>
    <t>19/09/2020 hasta 31/12/2020 - FIRMADO</t>
  </si>
  <si>
    <t>SET</t>
  </si>
  <si>
    <t>Gozadas 2019</t>
  </si>
  <si>
    <t>VACACIONES DESDE 01/10/2020</t>
  </si>
  <si>
    <t xml:space="preserve">CONTROL DE DIAS GOZADOS DE VACACIONES </t>
  </si>
  <si>
    <t>PROYECTADO</t>
  </si>
  <si>
    <t>Fecha de ingreso a planilla (covid-19)</t>
  </si>
  <si>
    <t>SE REINCORPORO EL DIA 23/10/20</t>
  </si>
  <si>
    <t>SE REINCORPORO EL DIA 26/10/20</t>
  </si>
  <si>
    <t>03/09/2020 hasta 31/10/2020 - FIRMADO</t>
  </si>
  <si>
    <t>MURGA SALCEDO ANTHONY EDGAR</t>
  </si>
  <si>
    <t>15/10/2020</t>
  </si>
  <si>
    <t>MURGA SALCEDO, ANTHONY EDGAR</t>
  </si>
  <si>
    <t>Dias no trabajados X COVID</t>
  </si>
  <si>
    <t>NO AFECTO A COVID</t>
  </si>
  <si>
    <t>AFECTO A COVID</t>
  </si>
  <si>
    <t>Pendientes por gozar</t>
  </si>
  <si>
    <t>BRIONES RIVERA, RICHARD (INGRESO A PLANILLA 01/02/2020)</t>
  </si>
  <si>
    <t>CORDOVA VELEZ, JULISSA  (INGRESO A PLANILLA 01/02/2020)</t>
  </si>
  <si>
    <t>MURGA SALCEDO ANTHONY EDGAR (INGRESO A PLANILLA 15/10/2020)</t>
  </si>
  <si>
    <t>OROZCO BALAREZO SILVIA (INGRESO A PLANILLA 01/08/2020)</t>
  </si>
  <si>
    <t>SALIRROSAS PONCE LILIANA (INGRESO A PLANILLA 01/09/2020)</t>
  </si>
  <si>
    <t>SE REINCORPORO EL DIA 01/10/20</t>
  </si>
  <si>
    <t>DIAS EFECTIVOS</t>
  </si>
  <si>
    <t>PERIODO SIN GOCE DE HABER</t>
  </si>
  <si>
    <t>INICIO</t>
  </si>
  <si>
    <t>FINAL</t>
  </si>
  <si>
    <t>DIAS</t>
  </si>
  <si>
    <t>NOVIEMBRE</t>
  </si>
  <si>
    <t>NUEVA FECHA DE VACACIONES AFECTO A COVID</t>
  </si>
  <si>
    <t>TOTAL ACUMULADO AL 2020</t>
  </si>
  <si>
    <t>Dias por gozar 2019</t>
  </si>
  <si>
    <t>saldos de dias por gozar 2019</t>
  </si>
  <si>
    <t>Pendientes por gozar 2020</t>
  </si>
  <si>
    <t>Pendientes por gozar 2021</t>
  </si>
  <si>
    <t>GUZMAN MANTARI INGRID</t>
  </si>
  <si>
    <t>02/11/2020</t>
  </si>
  <si>
    <t>BAUTISTA MOLINA LUIS FERNANDO</t>
  </si>
  <si>
    <t>ENERO - DICIEMBRE 2020</t>
  </si>
  <si>
    <t>SALDOS DE DIAS POR GOZAR 2019</t>
  </si>
  <si>
    <t>VACACIONES POR VENCER 2020</t>
  </si>
  <si>
    <t>PENDIENTES POR GOZAR 2019</t>
  </si>
  <si>
    <t>FECHAS DE VENCIMIENTO 2020</t>
  </si>
  <si>
    <t>PENDIENTES POR GOZAR 2020</t>
  </si>
  <si>
    <t>FECHAS DE VENCIMIENTO 2021</t>
  </si>
  <si>
    <t>VACACIONES POR VENCER 2021</t>
  </si>
  <si>
    <t>SALDOS DE DIAS POR GOZAR 2020</t>
  </si>
  <si>
    <t>ENERO - DICIEMBRE 2021</t>
  </si>
  <si>
    <t>FIN DE VACACIONES</t>
  </si>
  <si>
    <t>22/11/2020 hasta 31/12/2020 - FIRMADO</t>
  </si>
  <si>
    <t>03/09/2020 hasta 30/11/2020 - FIRMADO</t>
  </si>
  <si>
    <t>MESES DE VACACIONES COMPRADOS</t>
  </si>
  <si>
    <t>MATINELLA TORREALBA, YUBRAHIM RAMON</t>
  </si>
  <si>
    <t>equivale:</t>
  </si>
  <si>
    <t>1 año</t>
  </si>
  <si>
    <t>11 meses</t>
  </si>
  <si>
    <t>18 dias</t>
  </si>
  <si>
    <t>VACACIONES DESDE EL 01/09/2020 HASTA EL 28/02/2021</t>
  </si>
  <si>
    <t>SE REINCORPORO EL DIA 01/12/20</t>
  </si>
  <si>
    <t>VACACIONES DESDE EL 12/10/2020 hasta 22/03/2021</t>
  </si>
  <si>
    <t>SE REINCORPORO EL DIA 01/02/21</t>
  </si>
  <si>
    <t>ASISTENTE CONTABLE</t>
  </si>
  <si>
    <t>ASISTENTE ADMINISTRATIVO</t>
  </si>
  <si>
    <t>ING. ELECTRICISTA</t>
  </si>
  <si>
    <t>ARQUITECTA</t>
  </si>
  <si>
    <t>ASISTENTE GERENCIAL</t>
  </si>
  <si>
    <t>CONTADOR GENERAL</t>
  </si>
  <si>
    <t>ADMIN. DE OBRA</t>
  </si>
  <si>
    <t>ING. CIVIL</t>
  </si>
  <si>
    <t>ARQUITECTO</t>
  </si>
  <si>
    <t>PREVENCION</t>
  </si>
  <si>
    <t>RECURSOS HUMANOS</t>
  </si>
  <si>
    <t>GERENTE DE VENTAS</t>
  </si>
  <si>
    <t>JEFA DE SEGURIDAD</t>
  </si>
  <si>
    <t>OSCCO GUILLEN MARIBEL</t>
  </si>
  <si>
    <t>GERENTE GENERAL</t>
  </si>
  <si>
    <t>ADMINISTRADOR</t>
  </si>
  <si>
    <t>GERENTE DE FINANZAS</t>
  </si>
  <si>
    <t xml:space="preserve">AREA CONTABLE </t>
  </si>
  <si>
    <t>AREA DE FINANZAS</t>
  </si>
  <si>
    <t>AREA DE LOGISTICA</t>
  </si>
  <si>
    <t>AREA DE REGURSOS HUMANOS</t>
  </si>
  <si>
    <t>AREA DE OPERACIONES</t>
  </si>
  <si>
    <t>AREA DE PRESUPUESTO</t>
  </si>
  <si>
    <t xml:space="preserve">AREA DE GERENCIA </t>
  </si>
  <si>
    <t>AREA DE SEGURIDAD</t>
  </si>
  <si>
    <t>AREA COMERCIAL</t>
  </si>
  <si>
    <t>AREA TECNICA</t>
  </si>
  <si>
    <t>AUXILIAR CONTABLE</t>
  </si>
  <si>
    <t>23/03/2021 hasta 14/04/2021</t>
  </si>
  <si>
    <t>01/03/2021 hasta 14/04/2021</t>
  </si>
  <si>
    <t xml:space="preserve"> </t>
  </si>
  <si>
    <t>1</t>
  </si>
  <si>
    <t>ARANYA MAMANI, NELSON</t>
  </si>
  <si>
    <t>ASCONA GUELAC JOHNNY BRYAN</t>
  </si>
  <si>
    <t>BENAVIDES SALAZAR MERY YOLANDA</t>
  </si>
  <si>
    <t>CASTRO AGUIRRE ANTHONY</t>
  </si>
  <si>
    <t>DAVILA MINA DANIEL SEBASTIAN</t>
  </si>
  <si>
    <t>ING. MECANICO ELECTRICISTA</t>
  </si>
  <si>
    <t xml:space="preserve">ASISTENTE DE ALMACEN </t>
  </si>
  <si>
    <t>GALVEZ CACERES FIORELA</t>
  </si>
  <si>
    <t>LOPEZ FERNANDEZ WUIMAR NAIRIM</t>
  </si>
  <si>
    <t>LUCHINI SARMIENTO TERESA DE JESUS</t>
  </si>
  <si>
    <t>MACHA HUACHO ANDONI</t>
  </si>
  <si>
    <t>MOGROVEJO MENACHO MARIA BELEN</t>
  </si>
  <si>
    <t>PEREZ LARA LUIS ANTONIO</t>
  </si>
  <si>
    <t>RAMIREZ CHIRCCA ABED NEGO</t>
  </si>
  <si>
    <t>YVANCOVICH VASQUEZ ZVONKO RUBEN</t>
  </si>
  <si>
    <t>ARROYO FALLA VANESSA</t>
  </si>
  <si>
    <t>ASPILCUETA GUTIERREZ, KAREN CRISTINA</t>
  </si>
  <si>
    <t>BACA WIEESE, JOSE ALBERTO</t>
  </si>
  <si>
    <t>COLETO PASTOR LUIS</t>
  </si>
  <si>
    <t>DAMBROSIO RIVERO, LIZETH STEFANNY</t>
  </si>
  <si>
    <t>FLORES MANTILLA, MARIANA LORENA</t>
  </si>
  <si>
    <t>GRANDE PECEROS, DAVID ISAAC</t>
  </si>
  <si>
    <t>MENDOZA GARCIA, ZINCIA ISAURA</t>
  </si>
  <si>
    <t xml:space="preserve">OROSCCO BALEREZO SILVIA </t>
  </si>
  <si>
    <t>OSCO GUILLEN, ORMINDA ZORAIDA</t>
  </si>
  <si>
    <t>TOMAYLLA TERRONES, KATHERINE</t>
  </si>
  <si>
    <t>YON UTRILLA, LUISCARLOS</t>
  </si>
  <si>
    <t>ZURITA PEÑA, JOANY LINDAURA</t>
  </si>
  <si>
    <t>SALDOS DE DIAS POR GOZAR 2021</t>
  </si>
  <si>
    <t>PENDIENTES POR GOZAR 2021</t>
  </si>
  <si>
    <t>FECHAS DE VENCIMIENTO 2022</t>
  </si>
  <si>
    <t>VACACIONES POR VENCER 2022</t>
  </si>
  <si>
    <t>CASTRO VALERIO HASSANAL</t>
  </si>
  <si>
    <t>SANCHEZ SOTELO FIORELLA GIULIANA</t>
  </si>
  <si>
    <t>VILCHEZ VIDAL ANDREA ELENA</t>
  </si>
  <si>
    <t>ARROYO MUNIVE IVETTE</t>
  </si>
  <si>
    <t xml:space="preserve">CASTRO VALERIO HASSANAL </t>
  </si>
  <si>
    <t>GUZMAN MANTARI, INGRID</t>
  </si>
  <si>
    <t>LOPEZ FERNANDEZ WUILMAR NAIRIM</t>
  </si>
  <si>
    <t>OCHOA GUTIERREZ ERICKSON JAVIER</t>
  </si>
  <si>
    <t>SANCHEZ SOTELO FIORELLA</t>
  </si>
  <si>
    <t>Vacaciones Pendientes por gozar 2022</t>
  </si>
  <si>
    <t>HABICH ACUÑA, JACQUELINE</t>
  </si>
  <si>
    <t>SALDOS DE DIAS POR GOZAR 2022</t>
  </si>
  <si>
    <t>PENDIENTES POR GOZAR 2022</t>
  </si>
  <si>
    <t>FECHAS DE VENCIMIENTO 2023</t>
  </si>
  <si>
    <t>VACACIONES POR VENCER 2023</t>
  </si>
  <si>
    <t>Vacaciones Pendientes por gozar 2023</t>
  </si>
  <si>
    <t>REGRESA A OFICINA EL 09/02/2023</t>
  </si>
  <si>
    <t>LICENCIA POR PATERNIDAD HASTA LE 14/01/2023</t>
  </si>
  <si>
    <t>REGRESA A OFICINA EL 23/01/2023</t>
  </si>
  <si>
    <t>REGRESA A OFICINA EL 09/01/2023 - DM CVID</t>
  </si>
  <si>
    <t>REINTEGRO A OBRA 29/12/2022</t>
  </si>
  <si>
    <t>REINTEGRO A OBRA 31/12/2022</t>
  </si>
  <si>
    <t>VACACIONES DEL 01/01/2023 Y CONTANDO</t>
  </si>
  <si>
    <t>FALTA FIRMA DE VACACIONES SE ENVIO SU BOLETA DE VACA PERO NO FIRMA</t>
  </si>
  <si>
    <t xml:space="preserve">FALTA FIRMA DE VACACIONES  </t>
  </si>
  <si>
    <t>FALTA FIRMA DE VACA</t>
  </si>
  <si>
    <t>regresa a oficina el 02/03/2023</t>
  </si>
  <si>
    <t>ASCONA GUELAC BRYAN</t>
  </si>
  <si>
    <t>VILCHEZ VIDAL ANDREA</t>
  </si>
  <si>
    <t>JAIME HUAMAN FRANK ADAN</t>
  </si>
  <si>
    <t>SSOMA</t>
  </si>
  <si>
    <t>AGURTO MARTINEZ JOEL ARTURO</t>
  </si>
  <si>
    <t>YUEN VENTURO CESIA SHARON</t>
  </si>
  <si>
    <t>RUIZ LOPEZ GEYSIN YULER</t>
  </si>
  <si>
    <t>LEANDRO CAMPOS WILFREDO JUNIOR</t>
  </si>
  <si>
    <t xml:space="preserve">BENITES NAVARRO AGAPITO LEON </t>
  </si>
  <si>
    <t xml:space="preserve">YVANCOVICH VASQUEZ RUBEN </t>
  </si>
  <si>
    <t>ARAOZ TUANAMA CARR NATALY</t>
  </si>
  <si>
    <t>VALEVALENZUELA VILCAMICHE JESSIC</t>
  </si>
  <si>
    <t xml:space="preserve">QUISPE FAJARDO LIZ KAREN </t>
  </si>
  <si>
    <t>HERMITAÑO ASPILCUETA DIEGO ALFONSO</t>
  </si>
  <si>
    <t>ANAYA ESPINOZA KEVIN  RONALD</t>
  </si>
  <si>
    <t>SALDOS DE DIAS POR GOZAR 2023</t>
  </si>
  <si>
    <t>PENDIENTES POR GOZAR 2023</t>
  </si>
  <si>
    <t>FECHAS DE VENCIMIENTO 2024</t>
  </si>
  <si>
    <t>VACACIONES POR VENCER 2024</t>
  </si>
  <si>
    <t>Vacaciones Pendientes por gozar 2024</t>
  </si>
  <si>
    <t>ruiz</t>
  </si>
  <si>
    <t>MIRANDA HUAMAN, MILAGROS VIRGINIA ADALETE</t>
  </si>
  <si>
    <t xml:space="preserve">RUIZ LOPEZ GEYSIN </t>
  </si>
  <si>
    <t xml:space="preserve">  </t>
  </si>
  <si>
    <t>MENDIETA GRANDE MATEO</t>
  </si>
  <si>
    <t>LEON TORRES JHOSSELYN</t>
  </si>
  <si>
    <t>CARRANZA HOYOS GUILLERMO</t>
  </si>
  <si>
    <t>SALDOS DE DIAS POR GOZAR 2024</t>
  </si>
  <si>
    <t>PENDIENTES POR GOZAR 2024</t>
  </si>
  <si>
    <t>FECHAS DE VENCIMIENTO 2025</t>
  </si>
  <si>
    <t>VACACIONES POR VENCER 2025</t>
  </si>
  <si>
    <t>Vacaciones Pendientes por gozar 2025</t>
  </si>
  <si>
    <t>2022-2023</t>
  </si>
  <si>
    <t xml:space="preserve">BRAVO GARCIA CESAR OMAR </t>
  </si>
  <si>
    <t>DE LAS CASAS DE LOS SANTOS, FABRIZIO IBRAIM</t>
  </si>
  <si>
    <t>DEPAZ HUERTAS, JOSE DANIEL</t>
  </si>
  <si>
    <t>FALLA UMBO, MILTON RAUL</t>
  </si>
  <si>
    <t>MENDIETA GRANDE, MATEO</t>
  </si>
  <si>
    <t>PESEROS MOREYRA, ALEXANDER HEINZ</t>
  </si>
  <si>
    <t>RODRIGUEZ ZAMBRANO, ELISEO HUGO</t>
  </si>
  <si>
    <t>VALDEZ RODRIGUEZ, KENYI JORGE</t>
  </si>
  <si>
    <t>VEGA MORENO, BRYAN GERARDO</t>
  </si>
  <si>
    <t>ZULUETA CALDERON, ROBERT ALEXANDER</t>
  </si>
  <si>
    <t>JEFA DE SEGURIDAD (OBRA)</t>
  </si>
  <si>
    <t>PREVENCION (OBRA)</t>
  </si>
  <si>
    <t>BIM</t>
  </si>
  <si>
    <t>0610/2026</t>
  </si>
  <si>
    <t>ROBLES ARIAS HARIF ALDAIR</t>
  </si>
  <si>
    <t>ING. CIVIL - ASIST</t>
  </si>
  <si>
    <t>SALDOS DE DIAS POR GOZAR 2025</t>
  </si>
  <si>
    <t>FECHAS DE VENCIMIENTO 2026</t>
  </si>
  <si>
    <t>VACACIONES POR VENCER 2026</t>
  </si>
  <si>
    <t>Vacaciones Pendientes por gozar 2026</t>
  </si>
  <si>
    <t xml:space="preserve">NEYRA CUMPA JORGAN CESAR </t>
  </si>
  <si>
    <t>SOFTWARE</t>
  </si>
  <si>
    <t>PENDIENTES POR GOZAR 2025</t>
  </si>
  <si>
    <t>CHUMBIAUCA URIBE, JOSE CARLOS</t>
  </si>
  <si>
    <t>CUEVA RIVAS, JORGE ARMANDO</t>
  </si>
  <si>
    <t>MEDINA POLO, OMAR</t>
  </si>
  <si>
    <t>RAMOS RAMOS, LENIN ANTHONY</t>
  </si>
  <si>
    <t>ROMERO ARROYO, VALERIE FERNANDA</t>
  </si>
  <si>
    <t>VILLALOBOS ZUÑIGA, DIEGO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</si>
</sst>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 * #,##0_ ;_ * \-#,##0_ ;_ * &quot;-&quot;_ ;_ @_ "/>
    <numFmt numFmtId="43" formatCode="_ * #,##0.00_ ;_ * \-#,##0.00_ ;_ * &quot;-&quot;??_ ;_ @_ "/>
    <numFmt numFmtId="164" formatCode="dd/mm/yyyy;@"/>
    <numFmt numFmtId="165" formatCode="mmmm\-yy;@"/>
    <numFmt numFmtId="166" formatCode="mm/yy"/>
    <numFmt numFmtId="167" formatCode="dd\-mmm\-yy;@"/>
    <numFmt numFmtId="168" formatCode="dd/mm/yy;@"/>
    <numFmt numFmtId="169" formatCode="_ * #,##0_ ;_ * \-#,##0_ ;_ * &quot;-&quot;??_ ;_ @_ "/>
    <numFmt numFmtId="170" formatCode="ddd\-dd"/>
  </numFmts>
  <fonts count="63" x14ac:knownFonts="1">
    <font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u/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mbria"/>
      <family val="1"/>
    </font>
    <font>
      <b/>
      <sz val="11"/>
      <color theme="0"/>
      <name val="Cambria"/>
      <family val="1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2"/>
      <color rgb="FF0070C0"/>
      <name val="Calibri"/>
      <family val="2"/>
    </font>
    <font>
      <sz val="12"/>
      <color rgb="FFFF0000"/>
      <name val="Calibri"/>
      <family val="2"/>
    </font>
    <font>
      <sz val="12"/>
      <color rgb="FF002060"/>
      <name val="Calibri"/>
      <family val="2"/>
    </font>
    <font>
      <b/>
      <sz val="12"/>
      <color rgb="FFFF0000"/>
      <name val="Calibri"/>
      <family val="2"/>
    </font>
    <font>
      <b/>
      <sz val="12"/>
      <color rgb="FF0070C0"/>
      <name val="Calibri"/>
      <family val="2"/>
    </font>
    <font>
      <sz val="18"/>
      <color rgb="FFFF0000"/>
      <name val="Calibri"/>
      <family val="2"/>
    </font>
    <font>
      <sz val="14"/>
      <color rgb="FF0070C0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rgb="FF0070C0"/>
      <name val="Calibri"/>
      <family val="2"/>
    </font>
    <font>
      <b/>
      <sz val="18"/>
      <color rgb="FFFF0000"/>
      <name val="Calibri"/>
      <family val="2"/>
    </font>
    <font>
      <b/>
      <sz val="18"/>
      <color theme="4" tint="-0.249977111117893"/>
      <name val="Calibri"/>
      <family val="2"/>
    </font>
    <font>
      <b/>
      <sz val="18"/>
      <color rgb="FF0070C0"/>
      <name val="Calibri"/>
      <family val="2"/>
    </font>
    <font>
      <b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sz val="14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47"/>
        <bgColor indexed="22"/>
      </patternFill>
    </fill>
    <fill>
      <patternFill patternType="solid">
        <fgColor indexed="49"/>
        <bgColor indexed="40"/>
      </patternFill>
    </fill>
    <fill>
      <patternFill patternType="solid">
        <fgColor theme="8" tint="0.7999816888943144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indexed="3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55"/>
      </patternFill>
    </fill>
  </fills>
  <borders count="17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8"/>
      </left>
      <right style="medium">
        <color theme="0" tint="-0.14996795556505021"/>
      </right>
      <top/>
      <bottom style="thin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indexed="8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thin">
        <color indexed="8"/>
      </bottom>
      <diagonal/>
    </border>
    <border>
      <left style="thin">
        <color indexed="8"/>
      </left>
      <right style="medium">
        <color theme="0" tint="-0.14996795556505021"/>
      </right>
      <top style="thin">
        <color indexed="8"/>
      </top>
      <bottom/>
      <diagonal/>
    </border>
    <border>
      <left style="thin">
        <color indexed="8"/>
      </left>
      <right style="medium">
        <color theme="0" tint="-0.14996795556505021"/>
      </right>
      <top/>
      <bottom/>
      <diagonal/>
    </border>
    <border>
      <left style="thin">
        <color indexed="8"/>
      </left>
      <right style="medium">
        <color theme="0" tint="-0.14996795556505021"/>
      </right>
      <top/>
      <bottom style="thin">
        <color indexed="8"/>
      </bottom>
      <diagonal/>
    </border>
    <border>
      <left style="medium">
        <color theme="0" tint="-0.14996795556505021"/>
      </left>
      <right style="thin">
        <color indexed="8"/>
      </right>
      <top style="thin">
        <color indexed="8"/>
      </top>
      <bottom/>
      <diagonal/>
    </border>
    <border>
      <left style="medium">
        <color theme="0" tint="-0.14996795556505021"/>
      </left>
      <right style="thin">
        <color indexed="8"/>
      </right>
      <top/>
      <bottom/>
      <diagonal/>
    </border>
    <border>
      <left style="medium">
        <color theme="0" tint="-0.14996795556505021"/>
      </left>
      <right style="thin">
        <color indexed="8"/>
      </right>
      <top/>
      <bottom style="thin">
        <color indexed="8"/>
      </bottom>
      <diagonal/>
    </border>
    <border>
      <left style="medium">
        <color theme="0" tint="-0.14996795556505021"/>
      </left>
      <right/>
      <top style="thin">
        <color indexed="8"/>
      </top>
      <bottom/>
      <diagonal/>
    </border>
    <border>
      <left style="medium">
        <color theme="0" tint="-0.14996795556505021"/>
      </left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thin">
        <color indexed="64"/>
      </bottom>
      <diagonal/>
    </border>
    <border>
      <left style="medium">
        <color theme="0" tint="-0.14996795556505021"/>
      </left>
      <right/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theme="0" tint="-0.14996795556505021"/>
      </right>
      <top/>
      <bottom/>
      <diagonal/>
    </border>
    <border>
      <left/>
      <right style="medium">
        <color theme="0" tint="-0.14996795556505021"/>
      </right>
      <top style="thin">
        <color indexed="8"/>
      </top>
      <bottom/>
      <diagonal/>
    </border>
    <border>
      <left/>
      <right style="thin">
        <color theme="0" tint="-0.14999847407452621"/>
      </right>
      <top style="thin">
        <color indexed="8"/>
      </top>
      <bottom/>
      <diagonal/>
    </border>
    <border>
      <left style="thin">
        <color theme="0" tint="-0.14999847407452621"/>
      </left>
      <right/>
      <top style="thin">
        <color indexed="8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8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indexed="8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/>
      <right style="medium">
        <color theme="0" tint="-0.14996795556505021"/>
      </right>
      <top style="thin">
        <color indexed="64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indexed="64"/>
      </top>
      <bottom/>
      <diagonal/>
    </border>
    <border>
      <left style="medium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14996795556505021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14996795556505021"/>
      </left>
      <right/>
      <top/>
      <bottom style="thin">
        <color indexed="8"/>
      </bottom>
      <diagonal/>
    </border>
    <border>
      <left/>
      <right style="medium">
        <color theme="0" tint="-0.14996795556505021"/>
      </right>
      <top/>
      <bottom style="thin">
        <color indexed="8"/>
      </bottom>
      <diagonal/>
    </border>
    <border>
      <left style="medium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 tint="-0.14996795556505021"/>
      </right>
      <top style="thin">
        <color indexed="64"/>
      </top>
      <bottom/>
      <diagonal/>
    </border>
    <border>
      <left style="thin">
        <color indexed="64"/>
      </left>
      <right style="medium">
        <color theme="0" tint="-0.14996795556505021"/>
      </right>
      <top/>
      <bottom/>
      <diagonal/>
    </border>
    <border>
      <left style="thin">
        <color indexed="64"/>
      </left>
      <right style="medium">
        <color theme="0" tint="-0.14996795556505021"/>
      </right>
      <top/>
      <bottom style="thin">
        <color indexed="64"/>
      </bottom>
      <diagonal/>
    </border>
    <border>
      <left/>
      <right style="medium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8"/>
      </top>
      <bottom/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4" tint="0.499984740745262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 tint="0.499984740745262"/>
      </right>
      <top/>
      <bottom/>
      <diagonal/>
    </border>
  </borders>
  <cellStyleXfs count="10">
    <xf numFmtId="0" fontId="0" fillId="0" borderId="0"/>
    <xf numFmtId="43" fontId="1" fillId="0" borderId="0" applyFill="0" applyBorder="0" applyAlignment="0" applyProtection="0"/>
    <xf numFmtId="0" fontId="9" fillId="0" borderId="0"/>
    <xf numFmtId="0" fontId="9" fillId="0" borderId="0"/>
    <xf numFmtId="0" fontId="2" fillId="2" borderId="1" applyAlignment="0"/>
    <xf numFmtId="0" fontId="3" fillId="3" borderId="1" applyAlignment="0"/>
    <xf numFmtId="0" fontId="3" fillId="2" borderId="1" applyAlignment="0"/>
    <xf numFmtId="0" fontId="9" fillId="2" borderId="1" applyNumberFormat="0" applyAlignment="0"/>
    <xf numFmtId="0" fontId="9" fillId="4" borderId="0" applyNumberFormat="0" applyBorder="0" applyAlignment="0"/>
    <xf numFmtId="0" fontId="28" fillId="0" borderId="64" applyNumberFormat="0" applyFill="0" applyAlignment="0" applyProtection="0"/>
  </cellStyleXfs>
  <cellXfs count="1240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10" fillId="0" borderId="0" xfId="0" applyNumberFormat="1" applyFont="1" applyAlignment="1">
      <alignment vertical="center"/>
    </xf>
    <xf numFmtId="0" fontId="0" fillId="0" borderId="2" xfId="0" applyBorder="1"/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166" fontId="10" fillId="0" borderId="0" xfId="0" applyNumberFormat="1" applyFont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68" fontId="11" fillId="0" borderId="65" xfId="0" applyNumberFormat="1" applyFont="1" applyBorder="1" applyAlignment="1">
      <alignment horizontal="center"/>
    </xf>
    <xf numFmtId="49" fontId="29" fillId="0" borderId="65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15" fillId="5" borderId="66" xfId="3" applyFont="1" applyFill="1" applyBorder="1" applyAlignment="1">
      <alignment horizontal="center"/>
    </xf>
    <xf numFmtId="0" fontId="14" fillId="0" borderId="66" xfId="3" applyFont="1" applyBorder="1" applyAlignment="1">
      <alignment horizontal="center"/>
    </xf>
    <xf numFmtId="166" fontId="14" fillId="0" borderId="66" xfId="0" applyNumberFormat="1" applyFont="1" applyBorder="1" applyAlignment="1">
      <alignment horizontal="left"/>
    </xf>
    <xf numFmtId="168" fontId="14" fillId="0" borderId="66" xfId="0" applyNumberFormat="1" applyFont="1" applyBorder="1" applyAlignment="1">
      <alignment horizontal="center"/>
    </xf>
    <xf numFmtId="168" fontId="14" fillId="0" borderId="66" xfId="3" applyNumberFormat="1" applyFont="1" applyBorder="1" applyAlignment="1">
      <alignment horizontal="center"/>
    </xf>
    <xf numFmtId="0" fontId="14" fillId="0" borderId="66" xfId="0" applyFont="1" applyBorder="1" applyAlignment="1">
      <alignment horizontal="center"/>
    </xf>
    <xf numFmtId="0" fontId="30" fillId="6" borderId="66" xfId="0" applyFont="1" applyFill="1" applyBorder="1"/>
    <xf numFmtId="0" fontId="30" fillId="7" borderId="66" xfId="0" applyFont="1" applyFill="1" applyBorder="1"/>
    <xf numFmtId="0" fontId="30" fillId="6" borderId="0" xfId="0" applyFont="1" applyFill="1"/>
    <xf numFmtId="0" fontId="30" fillId="6" borderId="66" xfId="0" applyFont="1" applyFill="1" applyBorder="1" applyAlignment="1">
      <alignment horizontal="center"/>
    </xf>
    <xf numFmtId="0" fontId="30" fillId="0" borderId="66" xfId="0" applyFont="1" applyBorder="1" applyAlignment="1">
      <alignment horizontal="center"/>
    </xf>
    <xf numFmtId="0" fontId="30" fillId="0" borderId="66" xfId="0" applyFont="1" applyBorder="1"/>
    <xf numFmtId="168" fontId="14" fillId="0" borderId="0" xfId="0" applyNumberFormat="1" applyFont="1" applyAlignment="1">
      <alignment horizontal="center"/>
    </xf>
    <xf numFmtId="168" fontId="14" fillId="0" borderId="0" xfId="0" applyNumberFormat="1" applyFont="1"/>
    <xf numFmtId="0" fontId="14" fillId="0" borderId="0" xfId="0" applyFont="1" applyAlignment="1">
      <alignment horizontal="center"/>
    </xf>
    <xf numFmtId="0" fontId="30" fillId="0" borderId="0" xfId="0" applyFont="1"/>
    <xf numFmtId="0" fontId="14" fillId="0" borderId="66" xfId="0" applyFont="1" applyBorder="1"/>
    <xf numFmtId="0" fontId="30" fillId="8" borderId="66" xfId="0" applyFont="1" applyFill="1" applyBorder="1"/>
    <xf numFmtId="0" fontId="14" fillId="8" borderId="66" xfId="0" applyFont="1" applyFill="1" applyBorder="1"/>
    <xf numFmtId="0" fontId="30" fillId="9" borderId="66" xfId="0" applyFont="1" applyFill="1" applyBorder="1"/>
    <xf numFmtId="0" fontId="14" fillId="9" borderId="66" xfId="0" applyFont="1" applyFill="1" applyBorder="1"/>
    <xf numFmtId="0" fontId="30" fillId="8" borderId="66" xfId="0" applyFont="1" applyFill="1" applyBorder="1" applyAlignment="1">
      <alignment horizontal="center"/>
    </xf>
    <xf numFmtId="0" fontId="31" fillId="9" borderId="66" xfId="0" applyFont="1" applyFill="1" applyBorder="1"/>
    <xf numFmtId="1" fontId="14" fillId="0" borderId="66" xfId="3" applyNumberFormat="1" applyFont="1" applyBorder="1" applyAlignment="1">
      <alignment horizontal="center"/>
    </xf>
    <xf numFmtId="1" fontId="14" fillId="0" borderId="66" xfId="0" applyNumberFormat="1" applyFont="1" applyBorder="1" applyAlignment="1">
      <alignment horizontal="center"/>
    </xf>
    <xf numFmtId="0" fontId="14" fillId="0" borderId="66" xfId="3" applyFont="1" applyBorder="1" applyAlignment="1">
      <alignment horizontal="left"/>
    </xf>
    <xf numFmtId="0" fontId="14" fillId="0" borderId="0" xfId="0" applyFont="1" applyAlignment="1">
      <alignment horizontal="left"/>
    </xf>
    <xf numFmtId="0" fontId="32" fillId="0" borderId="0" xfId="2" applyFont="1" applyAlignment="1">
      <alignment horizontal="right"/>
    </xf>
    <xf numFmtId="0" fontId="33" fillId="10" borderId="67" xfId="7" applyNumberFormat="1" applyFont="1" applyFill="1" applyBorder="1" applyAlignment="1">
      <alignment vertical="center"/>
    </xf>
    <xf numFmtId="0" fontId="33" fillId="10" borderId="67" xfId="7" applyNumberFormat="1" applyFont="1" applyFill="1" applyBorder="1" applyAlignment="1">
      <alignment horizontal="center" vertical="center" wrapText="1"/>
    </xf>
    <xf numFmtId="0" fontId="32" fillId="0" borderId="68" xfId="2" applyFont="1" applyBorder="1" applyAlignment="1">
      <alignment horizontal="right" vertical="center"/>
    </xf>
    <xf numFmtId="0" fontId="32" fillId="0" borderId="68" xfId="7" applyNumberFormat="1" applyFont="1" applyFill="1" applyBorder="1" applyAlignment="1">
      <alignment vertical="center"/>
    </xf>
    <xf numFmtId="14" fontId="32" fillId="0" borderId="68" xfId="7" applyNumberFormat="1" applyFont="1" applyFill="1" applyBorder="1" applyAlignment="1">
      <alignment horizontal="center" vertical="center"/>
    </xf>
    <xf numFmtId="0" fontId="32" fillId="0" borderId="66" xfId="2" applyFont="1" applyBorder="1" applyAlignment="1">
      <alignment horizontal="right" vertical="center"/>
    </xf>
    <xf numFmtId="14" fontId="32" fillId="0" borderId="66" xfId="2" applyNumberFormat="1" applyFont="1" applyBorder="1" applyAlignment="1">
      <alignment horizontal="center" vertical="center" wrapText="1"/>
    </xf>
    <xf numFmtId="166" fontId="32" fillId="0" borderId="66" xfId="2" applyNumberFormat="1" applyFont="1" applyBorder="1" applyAlignment="1">
      <alignment vertical="center"/>
    </xf>
    <xf numFmtId="14" fontId="32" fillId="0" borderId="66" xfId="2" applyNumberFormat="1" applyFont="1" applyBorder="1" applyAlignment="1">
      <alignment horizontal="center" vertical="center"/>
    </xf>
    <xf numFmtId="166" fontId="32" fillId="0" borderId="69" xfId="2" applyNumberFormat="1" applyFont="1" applyBorder="1" applyAlignment="1">
      <alignment vertical="center"/>
    </xf>
    <xf numFmtId="14" fontId="32" fillId="0" borderId="69" xfId="2" applyNumberFormat="1" applyFont="1" applyBorder="1" applyAlignment="1">
      <alignment horizontal="center" vertical="center"/>
    </xf>
    <xf numFmtId="0" fontId="34" fillId="10" borderId="67" xfId="7" applyNumberFormat="1" applyFont="1" applyFill="1" applyBorder="1" applyAlignment="1"/>
    <xf numFmtId="0" fontId="34" fillId="10" borderId="67" xfId="7" applyNumberFormat="1" applyFont="1" applyFill="1" applyBorder="1" applyAlignment="1">
      <alignment horizontal="center"/>
    </xf>
    <xf numFmtId="1" fontId="34" fillId="10" borderId="67" xfId="7" applyNumberFormat="1" applyFont="1" applyFill="1" applyBorder="1" applyAlignment="1">
      <alignment horizontal="center"/>
    </xf>
    <xf numFmtId="4" fontId="35" fillId="11" borderId="67" xfId="7" applyNumberFormat="1" applyFont="1" applyFill="1" applyBorder="1" applyAlignment="1">
      <alignment horizontal="center" vertical="center" wrapText="1"/>
    </xf>
    <xf numFmtId="0" fontId="33" fillId="0" borderId="70" xfId="7" applyNumberFormat="1" applyFont="1" applyFill="1" applyBorder="1" applyAlignment="1">
      <alignment horizontal="center" vertical="center" wrapText="1"/>
    </xf>
    <xf numFmtId="0" fontId="32" fillId="0" borderId="0" xfId="2" applyFont="1" applyAlignment="1">
      <alignment vertical="center"/>
    </xf>
    <xf numFmtId="0" fontId="32" fillId="0" borderId="0" xfId="2" applyFont="1" applyAlignment="1">
      <alignment horizontal="right" vertical="center"/>
    </xf>
    <xf numFmtId="0" fontId="32" fillId="0" borderId="0" xfId="2" applyFont="1" applyAlignment="1">
      <alignment horizontal="center" vertical="center"/>
    </xf>
    <xf numFmtId="0" fontId="32" fillId="0" borderId="0" xfId="2" applyFont="1" applyAlignment="1">
      <alignment horizontal="center"/>
    </xf>
    <xf numFmtId="0" fontId="36" fillId="0" borderId="0" xfId="2" applyFont="1" applyAlignment="1">
      <alignment horizontal="center" vertical="center"/>
    </xf>
    <xf numFmtId="1" fontId="32" fillId="0" borderId="0" xfId="2" applyNumberFormat="1" applyFont="1" applyAlignment="1">
      <alignment horizontal="center" vertical="center"/>
    </xf>
    <xf numFmtId="1" fontId="32" fillId="0" borderId="0" xfId="2" applyNumberFormat="1" applyFont="1" applyAlignment="1">
      <alignment horizontal="center"/>
    </xf>
    <xf numFmtId="1" fontId="33" fillId="10" borderId="67" xfId="7" applyNumberFormat="1" applyFont="1" applyFill="1" applyBorder="1" applyAlignment="1">
      <alignment horizontal="center" vertical="center" wrapText="1"/>
    </xf>
    <xf numFmtId="0" fontId="34" fillId="10" borderId="70" xfId="7" applyNumberFormat="1" applyFont="1" applyFill="1" applyBorder="1" applyAlignment="1">
      <alignment horizontal="center"/>
    </xf>
    <xf numFmtId="0" fontId="33" fillId="0" borderId="0" xfId="7" applyNumberFormat="1" applyFont="1" applyFill="1" applyBorder="1" applyAlignment="1">
      <alignment horizontal="center" vertical="center" wrapText="1"/>
    </xf>
    <xf numFmtId="0" fontId="32" fillId="0" borderId="0" xfId="2" applyFont="1"/>
    <xf numFmtId="1" fontId="37" fillId="0" borderId="67" xfId="7" applyNumberFormat="1" applyFont="1" applyFill="1" applyBorder="1" applyAlignment="1">
      <alignment horizontal="center" vertical="center"/>
    </xf>
    <xf numFmtId="0" fontId="38" fillId="0" borderId="0" xfId="2" applyFont="1" applyAlignment="1">
      <alignment horizontal="center" vertical="center"/>
    </xf>
    <xf numFmtId="1" fontId="38" fillId="0" borderId="0" xfId="2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38" fillId="0" borderId="0" xfId="2" applyFont="1" applyAlignment="1">
      <alignment horizontal="center"/>
    </xf>
    <xf numFmtId="0" fontId="33" fillId="0" borderId="0" xfId="2" applyFont="1" applyAlignment="1">
      <alignment vertical="center"/>
    </xf>
    <xf numFmtId="1" fontId="38" fillId="0" borderId="0" xfId="2" applyNumberFormat="1" applyFont="1" applyAlignment="1">
      <alignment horizontal="left" vertical="center"/>
    </xf>
    <xf numFmtId="1" fontId="38" fillId="0" borderId="0" xfId="2" applyNumberFormat="1" applyFont="1" applyAlignment="1">
      <alignment horizontal="center"/>
    </xf>
    <xf numFmtId="0" fontId="33" fillId="0" borderId="0" xfId="2" applyFont="1" applyAlignment="1">
      <alignment horizontal="center"/>
    </xf>
    <xf numFmtId="1" fontId="38" fillId="0" borderId="67" xfId="7" applyNumberFormat="1" applyFont="1" applyFill="1" applyBorder="1" applyAlignment="1">
      <alignment horizontal="center" vertical="center"/>
    </xf>
    <xf numFmtId="169" fontId="33" fillId="10" borderId="67" xfId="7" applyNumberFormat="1" applyFont="1" applyFill="1" applyBorder="1" applyAlignment="1">
      <alignment horizontal="center"/>
    </xf>
    <xf numFmtId="1" fontId="33" fillId="12" borderId="67" xfId="7" applyNumberFormat="1" applyFont="1" applyFill="1" applyBorder="1" applyAlignment="1">
      <alignment horizontal="center" vertical="center" wrapText="1"/>
    </xf>
    <xf numFmtId="4" fontId="33" fillId="12" borderId="67" xfId="7" applyNumberFormat="1" applyFont="1" applyFill="1" applyBorder="1" applyAlignment="1">
      <alignment horizontal="center" vertical="center" wrapText="1"/>
    </xf>
    <xf numFmtId="14" fontId="39" fillId="0" borderId="0" xfId="2" applyNumberFormat="1" applyFont="1" applyAlignment="1">
      <alignment horizontal="center" vertical="center"/>
    </xf>
    <xf numFmtId="14" fontId="32" fillId="0" borderId="71" xfId="7" applyNumberFormat="1" applyFont="1" applyFill="1" applyBorder="1" applyAlignment="1">
      <alignment horizontal="center" vertical="center"/>
    </xf>
    <xf numFmtId="169" fontId="32" fillId="0" borderId="67" xfId="7" applyNumberFormat="1" applyFont="1" applyFill="1" applyBorder="1" applyAlignment="1">
      <alignment horizontal="center" vertical="center"/>
    </xf>
    <xf numFmtId="14" fontId="32" fillId="0" borderId="71" xfId="2" applyNumberFormat="1" applyFont="1" applyBorder="1" applyAlignment="1">
      <alignment horizontal="center" vertical="center"/>
    </xf>
    <xf numFmtId="14" fontId="32" fillId="0" borderId="71" xfId="2" applyNumberFormat="1" applyFont="1" applyBorder="1" applyAlignment="1">
      <alignment horizontal="center" vertical="center" wrapText="1"/>
    </xf>
    <xf numFmtId="0" fontId="32" fillId="0" borderId="0" xfId="0" applyFont="1"/>
    <xf numFmtId="169" fontId="33" fillId="0" borderId="67" xfId="1" applyNumberFormat="1" applyFont="1" applyFill="1" applyBorder="1" applyAlignment="1">
      <alignment horizontal="center" vertical="center"/>
    </xf>
    <xf numFmtId="43" fontId="37" fillId="0" borderId="67" xfId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1" fontId="32" fillId="0" borderId="0" xfId="0" applyNumberFormat="1" applyFont="1"/>
    <xf numFmtId="0" fontId="33" fillId="0" borderId="0" xfId="0" applyFont="1"/>
    <xf numFmtId="1" fontId="38" fillId="0" borderId="0" xfId="0" applyNumberFormat="1" applyFont="1"/>
    <xf numFmtId="0" fontId="38" fillId="0" borderId="0" xfId="0" applyFont="1"/>
    <xf numFmtId="0" fontId="33" fillId="0" borderId="0" xfId="7" applyNumberFormat="1" applyFont="1" applyFill="1" applyBorder="1" applyAlignment="1">
      <alignment horizontal="center"/>
    </xf>
    <xf numFmtId="169" fontId="37" fillId="0" borderId="72" xfId="1" applyNumberFormat="1" applyFont="1" applyFill="1" applyBorder="1" applyAlignment="1">
      <alignment horizontal="center" vertical="center"/>
    </xf>
    <xf numFmtId="0" fontId="34" fillId="10" borderId="73" xfId="7" applyNumberFormat="1" applyFont="1" applyFill="1" applyBorder="1" applyAlignment="1">
      <alignment horizontal="center"/>
    </xf>
    <xf numFmtId="1" fontId="34" fillId="10" borderId="73" xfId="7" applyNumberFormat="1" applyFont="1" applyFill="1" applyBorder="1" applyAlignment="1">
      <alignment horizontal="center"/>
    </xf>
    <xf numFmtId="1" fontId="37" fillId="0" borderId="74" xfId="7" applyNumberFormat="1" applyFont="1" applyFill="1" applyBorder="1" applyAlignment="1">
      <alignment horizontal="center" vertical="center"/>
    </xf>
    <xf numFmtId="43" fontId="37" fillId="0" borderId="74" xfId="1" applyFont="1" applyFill="1" applyBorder="1" applyAlignment="1">
      <alignment horizontal="center" vertical="center"/>
    </xf>
    <xf numFmtId="43" fontId="40" fillId="0" borderId="72" xfId="1" applyFont="1" applyFill="1" applyBorder="1"/>
    <xf numFmtId="43" fontId="40" fillId="13" borderId="72" xfId="1" applyFont="1" applyFill="1" applyBorder="1"/>
    <xf numFmtId="43" fontId="40" fillId="0" borderId="72" xfId="1" applyFont="1" applyFill="1" applyBorder="1" applyAlignment="1">
      <alignment vertical="center"/>
    </xf>
    <xf numFmtId="43" fontId="40" fillId="0" borderId="72" xfId="1" applyFont="1" applyFill="1" applyBorder="1" applyAlignment="1">
      <alignment horizontal="right"/>
    </xf>
    <xf numFmtId="43" fontId="40" fillId="0" borderId="72" xfId="1" applyFont="1" applyFill="1" applyBorder="1" applyAlignment="1">
      <alignment horizontal="right" vertical="center"/>
    </xf>
    <xf numFmtId="1" fontId="32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41" fillId="0" borderId="0" xfId="0" applyFont="1"/>
    <xf numFmtId="1" fontId="10" fillId="0" borderId="0" xfId="0" applyNumberFormat="1" applyFont="1"/>
    <xf numFmtId="0" fontId="17" fillId="0" borderId="0" xfId="0" applyFont="1" applyAlignment="1">
      <alignment horizontal="right"/>
    </xf>
    <xf numFmtId="0" fontId="17" fillId="0" borderId="0" xfId="0" applyFont="1"/>
    <xf numFmtId="165" fontId="10" fillId="10" borderId="1" xfId="8" applyNumberFormat="1" applyFont="1" applyFill="1" applyBorder="1" applyAlignment="1">
      <alignment horizontal="center"/>
    </xf>
    <xf numFmtId="165" fontId="10" fillId="10" borderId="12" xfId="8" applyNumberFormat="1" applyFont="1" applyFill="1" applyBorder="1" applyAlignment="1">
      <alignment horizontal="center"/>
    </xf>
    <xf numFmtId="0" fontId="10" fillId="0" borderId="0" xfId="0" applyFont="1" applyAlignment="1">
      <alignment horizontal="right" vertical="center"/>
    </xf>
    <xf numFmtId="0" fontId="10" fillId="0" borderId="13" xfId="0" applyFont="1" applyBorder="1" applyAlignment="1">
      <alignment horizontal="center"/>
    </xf>
    <xf numFmtId="165" fontId="10" fillId="0" borderId="1" xfId="8" applyNumberFormat="1" applyFont="1" applyFill="1" applyBorder="1" applyAlignment="1">
      <alignment horizontal="center"/>
    </xf>
    <xf numFmtId="165" fontId="10" fillId="0" borderId="12" xfId="8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5" xfId="7" applyNumberFormat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/>
    </xf>
    <xf numFmtId="0" fontId="42" fillId="0" borderId="19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167" fontId="42" fillId="0" borderId="13" xfId="0" applyNumberFormat="1" applyFont="1" applyBorder="1" applyAlignment="1">
      <alignment horizontal="center" vertical="center"/>
    </xf>
    <xf numFmtId="167" fontId="42" fillId="0" borderId="8" xfId="0" applyNumberFormat="1" applyFont="1" applyBorder="1" applyAlignment="1">
      <alignment horizontal="center" vertical="center"/>
    </xf>
    <xf numFmtId="167" fontId="42" fillId="0" borderId="22" xfId="0" applyNumberFormat="1" applyFont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43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49" fontId="10" fillId="0" borderId="24" xfId="0" applyNumberFormat="1" applyFont="1" applyBorder="1" applyAlignment="1">
      <alignment horizontal="center" vertical="center"/>
    </xf>
    <xf numFmtId="167" fontId="42" fillId="0" borderId="23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167" fontId="42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0" fillId="0" borderId="26" xfId="0" applyNumberFormat="1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14" borderId="25" xfId="7" applyNumberFormat="1" applyFont="1" applyFill="1" applyBorder="1" applyAlignment="1">
      <alignment horizontal="center" vertical="top" wrapText="1"/>
    </xf>
    <xf numFmtId="0" fontId="17" fillId="0" borderId="25" xfId="0" applyFont="1" applyBorder="1"/>
    <xf numFmtId="1" fontId="17" fillId="0" borderId="25" xfId="0" applyNumberFormat="1" applyFont="1" applyBorder="1"/>
    <xf numFmtId="0" fontId="42" fillId="0" borderId="27" xfId="0" applyFont="1" applyBorder="1" applyAlignment="1">
      <alignment horizont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5" fillId="14" borderId="2" xfId="0" applyFont="1" applyFill="1" applyBorder="1" applyAlignment="1">
      <alignment horizontal="center" vertical="center"/>
    </xf>
    <xf numFmtId="0" fontId="45" fillId="14" borderId="30" xfId="0" applyFont="1" applyFill="1" applyBorder="1" applyAlignment="1">
      <alignment horizontal="center" vertical="center"/>
    </xf>
    <xf numFmtId="0" fontId="45" fillId="14" borderId="4" xfId="0" applyFont="1" applyFill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0" fontId="45" fillId="14" borderId="14" xfId="0" applyFont="1" applyFill="1" applyBorder="1" applyAlignment="1">
      <alignment horizontal="center" vertical="center"/>
    </xf>
    <xf numFmtId="0" fontId="45" fillId="14" borderId="16" xfId="0" applyFont="1" applyFill="1" applyBorder="1" applyAlignment="1">
      <alignment horizontal="center" vertical="center"/>
    </xf>
    <xf numFmtId="0" fontId="45" fillId="14" borderId="17" xfId="0" applyFont="1" applyFill="1" applyBorder="1" applyAlignment="1">
      <alignment horizontal="center" vertical="center"/>
    </xf>
    <xf numFmtId="0" fontId="45" fillId="14" borderId="13" xfId="0" applyFont="1" applyFill="1" applyBorder="1" applyAlignment="1">
      <alignment horizontal="center" vertical="center"/>
    </xf>
    <xf numFmtId="0" fontId="45" fillId="14" borderId="8" xfId="0" applyFont="1" applyFill="1" applyBorder="1" applyAlignment="1">
      <alignment horizontal="center" vertical="center"/>
    </xf>
    <xf numFmtId="0" fontId="45" fillId="14" borderId="11" xfId="0" applyFont="1" applyFill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0" fontId="45" fillId="14" borderId="18" xfId="0" applyFont="1" applyFill="1" applyBorder="1" applyAlignment="1">
      <alignment horizontal="center" vertical="center"/>
    </xf>
    <xf numFmtId="0" fontId="45" fillId="14" borderId="19" xfId="0" applyFont="1" applyFill="1" applyBorder="1" applyAlignment="1">
      <alignment horizontal="center" vertical="center"/>
    </xf>
    <xf numFmtId="0" fontId="45" fillId="14" borderId="20" xfId="0" applyFont="1" applyFill="1" applyBorder="1" applyAlignment="1">
      <alignment horizontal="center" vertical="center"/>
    </xf>
    <xf numFmtId="0" fontId="45" fillId="14" borderId="14" xfId="7" applyNumberFormat="1" applyFont="1" applyFill="1" applyBorder="1" applyAlignment="1">
      <alignment horizontal="center" vertical="center" wrapText="1"/>
    </xf>
    <xf numFmtId="0" fontId="45" fillId="14" borderId="16" xfId="7" applyNumberFormat="1" applyFont="1" applyFill="1" applyBorder="1" applyAlignment="1">
      <alignment horizontal="center" vertical="center" wrapText="1"/>
    </xf>
    <xf numFmtId="0" fontId="45" fillId="14" borderId="17" xfId="7" applyNumberFormat="1" applyFont="1" applyFill="1" applyBorder="1" applyAlignment="1">
      <alignment horizontal="center" vertical="center" wrapText="1"/>
    </xf>
    <xf numFmtId="1" fontId="10" fillId="0" borderId="76" xfId="0" applyNumberFormat="1" applyFont="1" applyBorder="1" applyAlignment="1">
      <alignment horizontal="center" vertical="center"/>
    </xf>
    <xf numFmtId="1" fontId="10" fillId="0" borderId="77" xfId="0" applyNumberFormat="1" applyFont="1" applyBorder="1" applyAlignment="1">
      <alignment horizontal="center" vertical="center"/>
    </xf>
    <xf numFmtId="1" fontId="10" fillId="0" borderId="78" xfId="0" applyNumberFormat="1" applyFont="1" applyBorder="1" applyAlignment="1">
      <alignment horizontal="center" vertical="center"/>
    </xf>
    <xf numFmtId="0" fontId="45" fillId="14" borderId="31" xfId="0" applyFont="1" applyFill="1" applyBorder="1" applyAlignment="1">
      <alignment horizontal="center" vertical="center"/>
    </xf>
    <xf numFmtId="1" fontId="45" fillId="14" borderId="32" xfId="0" applyNumberFormat="1" applyFont="1" applyFill="1" applyBorder="1" applyAlignment="1">
      <alignment horizontal="center" vertical="center"/>
    </xf>
    <xf numFmtId="0" fontId="45" fillId="14" borderId="32" xfId="0" applyFont="1" applyFill="1" applyBorder="1" applyAlignment="1">
      <alignment vertical="center"/>
    </xf>
    <xf numFmtId="0" fontId="45" fillId="14" borderId="33" xfId="0" applyFont="1" applyFill="1" applyBorder="1" applyAlignment="1">
      <alignment vertical="center"/>
    </xf>
    <xf numFmtId="0" fontId="45" fillId="14" borderId="32" xfId="0" applyFont="1" applyFill="1" applyBorder="1" applyAlignment="1">
      <alignment horizontal="center" vertical="center"/>
    </xf>
    <xf numFmtId="0" fontId="45" fillId="14" borderId="33" xfId="0" applyFont="1" applyFill="1" applyBorder="1" applyAlignment="1">
      <alignment horizontal="center" vertical="center"/>
    </xf>
    <xf numFmtId="1" fontId="45" fillId="14" borderId="31" xfId="0" applyNumberFormat="1" applyFont="1" applyFill="1" applyBorder="1" applyAlignment="1">
      <alignment horizontal="center" vertical="center"/>
    </xf>
    <xf numFmtId="1" fontId="45" fillId="14" borderId="33" xfId="0" applyNumberFormat="1" applyFont="1" applyFill="1" applyBorder="1" applyAlignment="1">
      <alignment horizontal="center" vertical="center"/>
    </xf>
    <xf numFmtId="0" fontId="45" fillId="14" borderId="22" xfId="0" applyFont="1" applyFill="1" applyBorder="1" applyAlignment="1">
      <alignment horizontal="center" vertical="center"/>
    </xf>
    <xf numFmtId="0" fontId="45" fillId="14" borderId="34" xfId="0" applyFont="1" applyFill="1" applyBorder="1" applyAlignment="1">
      <alignment horizontal="center" vertical="center"/>
    </xf>
    <xf numFmtId="0" fontId="10" fillId="0" borderId="26" xfId="0" applyFont="1" applyBorder="1"/>
    <xf numFmtId="1" fontId="17" fillId="0" borderId="20" xfId="0" applyNumberFormat="1" applyFont="1" applyBorder="1"/>
    <xf numFmtId="0" fontId="16" fillId="0" borderId="89" xfId="7" applyNumberFormat="1" applyFont="1" applyFill="1" applyBorder="1" applyAlignment="1">
      <alignment vertical="center"/>
    </xf>
    <xf numFmtId="166" fontId="16" fillId="0" borderId="90" xfId="0" applyNumberFormat="1" applyFont="1" applyBorder="1" applyAlignment="1">
      <alignment vertical="center" wrapText="1"/>
    </xf>
    <xf numFmtId="166" fontId="16" fillId="0" borderId="90" xfId="0" applyNumberFormat="1" applyFont="1" applyBorder="1" applyAlignment="1">
      <alignment vertical="center"/>
    </xf>
    <xf numFmtId="14" fontId="17" fillId="0" borderId="0" xfId="0" applyNumberFormat="1" applyFont="1"/>
    <xf numFmtId="0" fontId="45" fillId="14" borderId="0" xfId="0" applyFont="1" applyFill="1" applyAlignment="1">
      <alignment horizontal="center" vertical="center"/>
    </xf>
    <xf numFmtId="14" fontId="45" fillId="14" borderId="27" xfId="7" applyNumberFormat="1" applyFont="1" applyFill="1" applyBorder="1" applyAlignment="1">
      <alignment vertical="center" wrapText="1"/>
    </xf>
    <xf numFmtId="2" fontId="45" fillId="14" borderId="16" xfId="7" applyNumberFormat="1" applyFont="1" applyFill="1" applyBorder="1" applyAlignment="1">
      <alignment horizontal="center" vertical="center" wrapText="1"/>
    </xf>
    <xf numFmtId="2" fontId="45" fillId="14" borderId="19" xfId="7" applyNumberFormat="1" applyFont="1" applyFill="1" applyBorder="1" applyAlignment="1">
      <alignment horizontal="center" vertical="center" wrapText="1"/>
    </xf>
    <xf numFmtId="2" fontId="45" fillId="14" borderId="31" xfId="0" applyNumberFormat="1" applyFont="1" applyFill="1" applyBorder="1" applyAlignment="1">
      <alignment horizontal="center" vertical="center"/>
    </xf>
    <xf numFmtId="2" fontId="45" fillId="14" borderId="32" xfId="0" applyNumberFormat="1" applyFont="1" applyFill="1" applyBorder="1" applyAlignment="1">
      <alignment horizontal="center" vertical="center"/>
    </xf>
    <xf numFmtId="2" fontId="45" fillId="14" borderId="35" xfId="0" applyNumberFormat="1" applyFont="1" applyFill="1" applyBorder="1" applyAlignment="1">
      <alignment horizontal="center" vertical="center"/>
    </xf>
    <xf numFmtId="2" fontId="45" fillId="14" borderId="18" xfId="0" applyNumberFormat="1" applyFont="1" applyFill="1" applyBorder="1" applyAlignment="1">
      <alignment horizontal="center" vertical="center"/>
    </xf>
    <xf numFmtId="49" fontId="10" fillId="0" borderId="36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167" fontId="42" fillId="0" borderId="28" xfId="0" applyNumberFormat="1" applyFont="1" applyBorder="1" applyAlignment="1">
      <alignment horizontal="center" vertical="center"/>
    </xf>
    <xf numFmtId="167" fontId="10" fillId="0" borderId="22" xfId="0" applyNumberFormat="1" applyFont="1" applyBorder="1" applyAlignment="1">
      <alignment horizontal="center" vertical="center"/>
    </xf>
    <xf numFmtId="167" fontId="10" fillId="0" borderId="28" xfId="0" applyNumberFormat="1" applyFont="1" applyBorder="1" applyAlignment="1">
      <alignment horizontal="center" vertical="center"/>
    </xf>
    <xf numFmtId="167" fontId="42" fillId="0" borderId="3" xfId="0" applyNumberFormat="1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 vertical="center"/>
    </xf>
    <xf numFmtId="167" fontId="42" fillId="0" borderId="8" xfId="0" applyNumberFormat="1" applyFont="1" applyBorder="1" applyAlignment="1">
      <alignment vertical="center"/>
    </xf>
    <xf numFmtId="167" fontId="43" fillId="0" borderId="22" xfId="0" applyNumberFormat="1" applyFont="1" applyBorder="1" applyAlignment="1">
      <alignment horizontal="center" vertical="center"/>
    </xf>
    <xf numFmtId="167" fontId="43" fillId="0" borderId="29" xfId="0" applyNumberFormat="1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167" fontId="10" fillId="0" borderId="11" xfId="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/>
    <xf numFmtId="0" fontId="18" fillId="0" borderId="0" xfId="0" applyFont="1"/>
    <xf numFmtId="1" fontId="19" fillId="0" borderId="0" xfId="0" applyNumberFormat="1" applyFont="1"/>
    <xf numFmtId="167" fontId="46" fillId="0" borderId="28" xfId="0" applyNumberFormat="1" applyFont="1" applyBorder="1" applyAlignment="1">
      <alignment horizontal="center" vertical="center"/>
    </xf>
    <xf numFmtId="0" fontId="46" fillId="0" borderId="13" xfId="0" applyFont="1" applyBorder="1" applyAlignment="1">
      <alignment horizontal="center"/>
    </xf>
    <xf numFmtId="0" fontId="21" fillId="0" borderId="0" xfId="0" applyFont="1"/>
    <xf numFmtId="167" fontId="20" fillId="0" borderId="22" xfId="0" applyNumberFormat="1" applyFont="1" applyBorder="1" applyAlignment="1">
      <alignment horizontal="center" vertical="center"/>
    </xf>
    <xf numFmtId="0" fontId="20" fillId="0" borderId="15" xfId="7" applyNumberFormat="1" applyFont="1" applyFill="1" applyBorder="1" applyAlignment="1">
      <alignment horizontal="center" vertical="center" wrapText="1"/>
    </xf>
    <xf numFmtId="167" fontId="20" fillId="0" borderId="28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/>
    </xf>
    <xf numFmtId="0" fontId="20" fillId="0" borderId="0" xfId="0" applyFont="1"/>
    <xf numFmtId="167" fontId="46" fillId="0" borderId="3" xfId="0" applyNumberFormat="1" applyFont="1" applyBorder="1" applyAlignment="1">
      <alignment horizontal="center" vertical="center"/>
    </xf>
    <xf numFmtId="0" fontId="46" fillId="0" borderId="18" xfId="0" applyFont="1" applyBorder="1" applyAlignment="1">
      <alignment horizontal="center"/>
    </xf>
    <xf numFmtId="167" fontId="46" fillId="0" borderId="0" xfId="0" applyNumberFormat="1" applyFont="1" applyAlignment="1">
      <alignment horizontal="center" vertical="center"/>
    </xf>
    <xf numFmtId="0" fontId="46" fillId="0" borderId="19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46" fillId="0" borderId="8" xfId="0" applyFont="1" applyBorder="1" applyAlignment="1">
      <alignment horizontal="center"/>
    </xf>
    <xf numFmtId="167" fontId="46" fillId="0" borderId="22" xfId="0" applyNumberFormat="1" applyFont="1" applyBorder="1" applyAlignment="1">
      <alignment horizontal="center" vertical="center"/>
    </xf>
    <xf numFmtId="167" fontId="46" fillId="0" borderId="8" xfId="0" applyNumberFormat="1" applyFont="1" applyBorder="1" applyAlignment="1">
      <alignment vertical="center"/>
    </xf>
    <xf numFmtId="167" fontId="46" fillId="0" borderId="13" xfId="0" applyNumberFormat="1" applyFont="1" applyBorder="1" applyAlignment="1">
      <alignment horizontal="center" vertical="center"/>
    </xf>
    <xf numFmtId="167" fontId="46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46" fillId="0" borderId="22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27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167" fontId="20" fillId="0" borderId="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0" xfId="0" applyFont="1" applyAlignment="1">
      <alignment horizontal="center"/>
    </xf>
    <xf numFmtId="167" fontId="46" fillId="0" borderId="23" xfId="0" applyNumberFormat="1" applyFont="1" applyBorder="1" applyAlignment="1">
      <alignment horizontal="center" vertical="center"/>
    </xf>
    <xf numFmtId="167" fontId="46" fillId="0" borderId="25" xfId="0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165" fontId="19" fillId="10" borderId="25" xfId="8" applyNumberFormat="1" applyFont="1" applyFill="1" applyBorder="1" applyAlignment="1">
      <alignment horizontal="center" vertical="center" wrapText="1"/>
    </xf>
    <xf numFmtId="1" fontId="19" fillId="10" borderId="25" xfId="8" applyNumberFormat="1" applyFont="1" applyFill="1" applyBorder="1" applyAlignment="1">
      <alignment horizontal="center" vertical="center" wrapText="1"/>
    </xf>
    <xf numFmtId="164" fontId="19" fillId="10" borderId="25" xfId="7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19" fillId="0" borderId="91" xfId="7" applyNumberFormat="1" applyFont="1" applyFill="1" applyBorder="1" applyAlignment="1">
      <alignment vertical="center"/>
    </xf>
    <xf numFmtId="165" fontId="19" fillId="0" borderId="91" xfId="8" applyNumberFormat="1" applyFont="1" applyFill="1" applyBorder="1" applyAlignment="1">
      <alignment vertical="center" wrapText="1"/>
    </xf>
    <xf numFmtId="165" fontId="19" fillId="0" borderId="91" xfId="8" applyNumberFormat="1" applyFont="1" applyFill="1" applyBorder="1" applyAlignment="1">
      <alignment horizontal="center"/>
    </xf>
    <xf numFmtId="41" fontId="22" fillId="0" borderId="91" xfId="1" applyNumberFormat="1" applyFont="1" applyFill="1" applyBorder="1" applyAlignment="1">
      <alignment vertical="center"/>
    </xf>
    <xf numFmtId="165" fontId="19" fillId="0" borderId="91" xfId="8" applyNumberFormat="1" applyFont="1" applyFill="1" applyBorder="1" applyAlignment="1"/>
    <xf numFmtId="0" fontId="19" fillId="0" borderId="91" xfId="0" applyFont="1" applyBorder="1" applyAlignment="1">
      <alignment vertical="center"/>
    </xf>
    <xf numFmtId="1" fontId="19" fillId="0" borderId="91" xfId="8" applyNumberFormat="1" applyFont="1" applyFill="1" applyBorder="1" applyAlignment="1"/>
    <xf numFmtId="1" fontId="19" fillId="0" borderId="91" xfId="0" applyNumberFormat="1" applyFont="1" applyBorder="1" applyAlignment="1">
      <alignment horizontal="center" vertical="center"/>
    </xf>
    <xf numFmtId="1" fontId="19" fillId="0" borderId="91" xfId="0" applyNumberFormat="1" applyFont="1" applyBorder="1" applyAlignment="1">
      <alignment vertical="center"/>
    </xf>
    <xf numFmtId="166" fontId="19" fillId="0" borderId="92" xfId="0" applyNumberFormat="1" applyFont="1" applyBorder="1" applyAlignment="1">
      <alignment vertical="center" wrapText="1"/>
    </xf>
    <xf numFmtId="0" fontId="19" fillId="0" borderId="92" xfId="7" applyNumberFormat="1" applyFont="1" applyFill="1" applyBorder="1" applyAlignment="1">
      <alignment vertical="center" wrapText="1"/>
    </xf>
    <xf numFmtId="0" fontId="19" fillId="0" borderId="92" xfId="0" applyFont="1" applyBorder="1" applyAlignment="1">
      <alignment horizontal="center" vertical="center"/>
    </xf>
    <xf numFmtId="41" fontId="22" fillId="0" borderId="92" xfId="1" applyNumberFormat="1" applyFont="1" applyFill="1" applyBorder="1" applyAlignment="1">
      <alignment vertical="center"/>
    </xf>
    <xf numFmtId="0" fontId="19" fillId="0" borderId="92" xfId="0" applyFont="1" applyBorder="1" applyAlignment="1">
      <alignment vertical="center"/>
    </xf>
    <xf numFmtId="166" fontId="19" fillId="0" borderId="92" xfId="0" applyNumberFormat="1" applyFont="1" applyBorder="1" applyAlignment="1">
      <alignment vertical="center"/>
    </xf>
    <xf numFmtId="0" fontId="19" fillId="0" borderId="92" xfId="0" applyFont="1" applyBorder="1" applyAlignment="1">
      <alignment vertical="center" wrapText="1"/>
    </xf>
    <xf numFmtId="0" fontId="19" fillId="0" borderId="92" xfId="0" applyFont="1" applyBorder="1" applyAlignment="1">
      <alignment horizontal="right" vertical="center"/>
    </xf>
    <xf numFmtId="0" fontId="47" fillId="0" borderId="92" xfId="0" applyFont="1" applyBorder="1" applyAlignment="1">
      <alignment vertical="center"/>
    </xf>
    <xf numFmtId="14" fontId="19" fillId="0" borderId="0" xfId="0" applyNumberFormat="1" applyFont="1"/>
    <xf numFmtId="0" fontId="48" fillId="0" borderId="0" xfId="2" applyFont="1" applyAlignment="1">
      <alignment vertical="center"/>
    </xf>
    <xf numFmtId="0" fontId="49" fillId="0" borderId="0" xfId="2" applyFont="1" applyAlignment="1">
      <alignment horizontal="center" vertical="center"/>
    </xf>
    <xf numFmtId="0" fontId="48" fillId="0" borderId="0" xfId="2" applyFont="1" applyAlignment="1">
      <alignment horizontal="center"/>
    </xf>
    <xf numFmtId="4" fontId="48" fillId="0" borderId="0" xfId="2" applyNumberFormat="1" applyFont="1"/>
    <xf numFmtId="0" fontId="22" fillId="0" borderId="0" xfId="0" applyFont="1"/>
    <xf numFmtId="0" fontId="48" fillId="0" borderId="0" xfId="2" applyFont="1"/>
    <xf numFmtId="0" fontId="49" fillId="10" borderId="93" xfId="7" applyNumberFormat="1" applyFont="1" applyFill="1" applyBorder="1" applyAlignment="1">
      <alignment vertical="center"/>
    </xf>
    <xf numFmtId="4" fontId="49" fillId="10" borderId="67" xfId="7" applyNumberFormat="1" applyFont="1" applyFill="1" applyBorder="1" applyAlignment="1">
      <alignment horizontal="center" vertical="center" wrapText="1"/>
    </xf>
    <xf numFmtId="0" fontId="49" fillId="10" borderId="67" xfId="7" applyNumberFormat="1" applyFont="1" applyFill="1" applyBorder="1" applyAlignment="1">
      <alignment horizontal="center" vertical="center" wrapText="1"/>
    </xf>
    <xf numFmtId="4" fontId="50" fillId="11" borderId="67" xfId="7" applyNumberFormat="1" applyFont="1" applyFill="1" applyBorder="1" applyAlignment="1">
      <alignment horizontal="center" vertical="center" wrapText="1"/>
    </xf>
    <xf numFmtId="3" fontId="49" fillId="10" borderId="67" xfId="7" applyNumberFormat="1" applyFont="1" applyFill="1" applyBorder="1" applyAlignment="1">
      <alignment horizontal="center" vertical="center" wrapText="1"/>
    </xf>
    <xf numFmtId="1" fontId="48" fillId="0" borderId="68" xfId="2" applyNumberFormat="1" applyFont="1" applyBorder="1" applyAlignment="1">
      <alignment horizontal="center" vertical="center"/>
    </xf>
    <xf numFmtId="4" fontId="49" fillId="0" borderId="68" xfId="2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66" fontId="48" fillId="0" borderId="66" xfId="2" applyNumberFormat="1" applyFont="1" applyBorder="1" applyAlignment="1">
      <alignment vertical="center"/>
    </xf>
    <xf numFmtId="4" fontId="48" fillId="0" borderId="66" xfId="2" applyNumberFormat="1" applyFont="1" applyBorder="1" applyAlignment="1">
      <alignment vertical="center"/>
    </xf>
    <xf numFmtId="0" fontId="49" fillId="10" borderId="94" xfId="7" applyNumberFormat="1" applyFont="1" applyFill="1" applyBorder="1" applyAlignment="1">
      <alignment vertical="center"/>
    </xf>
    <xf numFmtId="169" fontId="49" fillId="10" borderId="95" xfId="7" applyNumberFormat="1" applyFont="1" applyFill="1" applyBorder="1" applyAlignment="1">
      <alignment horizontal="center" vertical="center"/>
    </xf>
    <xf numFmtId="0" fontId="49" fillId="10" borderId="73" xfId="7" applyNumberFormat="1" applyFont="1" applyFill="1" applyBorder="1" applyAlignment="1">
      <alignment vertical="center"/>
    </xf>
    <xf numFmtId="4" fontId="49" fillId="10" borderId="73" xfId="7" applyNumberFormat="1" applyFont="1" applyFill="1" applyBorder="1" applyAlignment="1">
      <alignment vertical="center"/>
    </xf>
    <xf numFmtId="4" fontId="49" fillId="10" borderId="67" xfId="7" applyNumberFormat="1" applyFont="1" applyFill="1" applyBorder="1" applyAlignment="1">
      <alignment vertical="center"/>
    </xf>
    <xf numFmtId="0" fontId="23" fillId="0" borderId="0" xfId="0" applyFont="1"/>
    <xf numFmtId="0" fontId="48" fillId="0" borderId="0" xfId="2" applyFont="1" applyAlignment="1">
      <alignment horizontal="center" vertical="center"/>
    </xf>
    <xf numFmtId="0" fontId="49" fillId="10" borderId="67" xfId="7" applyNumberFormat="1" applyFont="1" applyFill="1" applyBorder="1" applyAlignment="1">
      <alignment horizontal="center" vertical="center"/>
    </xf>
    <xf numFmtId="0" fontId="48" fillId="0" borderId="68" xfId="2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51" fillId="0" borderId="0" xfId="0" applyFont="1"/>
    <xf numFmtId="1" fontId="20" fillId="0" borderId="0" xfId="0" applyNumberFormat="1" applyFont="1"/>
    <xf numFmtId="0" fontId="52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1" fontId="33" fillId="0" borderId="72" xfId="2" applyNumberFormat="1" applyFont="1" applyBorder="1" applyAlignment="1">
      <alignment horizontal="center" vertical="center"/>
    </xf>
    <xf numFmtId="0" fontId="33" fillId="0" borderId="96" xfId="7" applyNumberFormat="1" applyFont="1" applyFill="1" applyBorder="1" applyAlignment="1">
      <alignment horizontal="center"/>
    </xf>
    <xf numFmtId="1" fontId="38" fillId="0" borderId="25" xfId="2" applyNumberFormat="1" applyFont="1" applyBorder="1" applyAlignment="1">
      <alignment horizontal="center"/>
    </xf>
    <xf numFmtId="14" fontId="53" fillId="15" borderId="27" xfId="8" applyNumberFormat="1" applyFont="1" applyFill="1" applyBorder="1" applyAlignment="1">
      <alignment horizontal="center" vertical="center" wrapText="1"/>
    </xf>
    <xf numFmtId="165" fontId="20" fillId="15" borderId="1" xfId="8" applyNumberFormat="1" applyFont="1" applyFill="1" applyBorder="1" applyAlignment="1">
      <alignment horizontal="center"/>
    </xf>
    <xf numFmtId="165" fontId="20" fillId="15" borderId="12" xfId="8" applyNumberFormat="1" applyFont="1" applyFill="1" applyBorder="1" applyAlignment="1">
      <alignment horizontal="center"/>
    </xf>
    <xf numFmtId="1" fontId="52" fillId="0" borderId="14" xfId="0" applyNumberFormat="1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52" fillId="10" borderId="27" xfId="7" applyNumberFormat="1" applyFont="1" applyFill="1" applyBorder="1" applyAlignment="1">
      <alignment horizontal="center" vertical="center" wrapText="1"/>
    </xf>
    <xf numFmtId="0" fontId="52" fillId="10" borderId="16" xfId="7" applyNumberFormat="1" applyFont="1" applyFill="1" applyBorder="1" applyAlignment="1">
      <alignment horizontal="center" vertical="center" wrapText="1"/>
    </xf>
    <xf numFmtId="0" fontId="52" fillId="10" borderId="17" xfId="7" applyNumberFormat="1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1" fillId="16" borderId="25" xfId="0" applyFont="1" applyFill="1" applyBorder="1" applyAlignment="1">
      <alignment horizontal="center" vertical="center"/>
    </xf>
    <xf numFmtId="0" fontId="21" fillId="17" borderId="25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2" fontId="54" fillId="14" borderId="36" xfId="7" applyNumberFormat="1" applyFont="1" applyFill="1" applyBorder="1" applyAlignment="1">
      <alignment horizontal="center" vertical="center" wrapText="1"/>
    </xf>
    <xf numFmtId="2" fontId="54" fillId="14" borderId="7" xfId="7" applyNumberFormat="1" applyFont="1" applyFill="1" applyBorder="1" applyAlignment="1">
      <alignment horizontal="center" vertical="center" wrapText="1"/>
    </xf>
    <xf numFmtId="2" fontId="54" fillId="14" borderId="3" xfId="7" applyNumberFormat="1" applyFont="1" applyFill="1" applyBorder="1" applyAlignment="1">
      <alignment horizontal="center" vertical="center" wrapText="1"/>
    </xf>
    <xf numFmtId="2" fontId="54" fillId="14" borderId="0" xfId="7" applyNumberFormat="1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center" vertical="center"/>
    </xf>
    <xf numFmtId="1" fontId="52" fillId="0" borderId="38" xfId="0" applyNumberFormat="1" applyFont="1" applyBorder="1" applyAlignment="1">
      <alignment horizontal="center" vertical="center"/>
    </xf>
    <xf numFmtId="2" fontId="54" fillId="14" borderId="9" xfId="7" applyNumberFormat="1" applyFont="1" applyFill="1" applyBorder="1" applyAlignment="1">
      <alignment horizontal="center" vertical="center" wrapText="1"/>
    </xf>
    <xf numFmtId="1" fontId="20" fillId="15" borderId="25" xfId="0" applyNumberFormat="1" applyFont="1" applyFill="1" applyBorder="1" applyAlignment="1">
      <alignment horizontal="center" vertical="center"/>
    </xf>
    <xf numFmtId="0" fontId="20" fillId="15" borderId="77" xfId="0" applyFont="1" applyFill="1" applyBorder="1" applyAlignment="1">
      <alignment horizontal="center" vertical="center"/>
    </xf>
    <xf numFmtId="1" fontId="52" fillId="0" borderId="13" xfId="0" applyNumberFormat="1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20" fillId="0" borderId="22" xfId="0" applyFont="1" applyBorder="1" applyAlignment="1">
      <alignment horizontal="right" vertical="center"/>
    </xf>
    <xf numFmtId="49" fontId="20" fillId="0" borderId="25" xfId="0" applyNumberFormat="1" applyFont="1" applyBorder="1" applyAlignment="1">
      <alignment horizontal="center" vertical="center"/>
    </xf>
    <xf numFmtId="0" fontId="54" fillId="14" borderId="25" xfId="0" applyFont="1" applyFill="1" applyBorder="1" applyAlignment="1">
      <alignment horizontal="center" vertical="center"/>
    </xf>
    <xf numFmtId="0" fontId="20" fillId="15" borderId="38" xfId="0" applyFont="1" applyFill="1" applyBorder="1" applyAlignment="1">
      <alignment horizontal="center" vertical="center"/>
    </xf>
    <xf numFmtId="0" fontId="20" fillId="15" borderId="18" xfId="0" applyFont="1" applyFill="1" applyBorder="1" applyAlignment="1">
      <alignment horizontal="center" vertical="center"/>
    </xf>
    <xf numFmtId="1" fontId="20" fillId="15" borderId="18" xfId="0" applyNumberFormat="1" applyFont="1" applyFill="1" applyBorder="1" applyAlignment="1">
      <alignment horizontal="center" vertical="center"/>
    </xf>
    <xf numFmtId="0" fontId="20" fillId="15" borderId="97" xfId="0" applyFont="1" applyFill="1" applyBorder="1" applyAlignment="1">
      <alignment horizontal="center" vertical="center"/>
    </xf>
    <xf numFmtId="0" fontId="20" fillId="15" borderId="76" xfId="0" applyFont="1" applyFill="1" applyBorder="1" applyAlignment="1">
      <alignment horizontal="center" vertical="center"/>
    </xf>
    <xf numFmtId="0" fontId="20" fillId="15" borderId="79" xfId="0" applyFont="1" applyFill="1" applyBorder="1" applyAlignment="1">
      <alignment horizontal="center" vertical="center"/>
    </xf>
    <xf numFmtId="0" fontId="20" fillId="15" borderId="80" xfId="0" applyFont="1" applyFill="1" applyBorder="1" applyAlignment="1">
      <alignment horizontal="center" vertical="center"/>
    </xf>
    <xf numFmtId="0" fontId="20" fillId="15" borderId="85" xfId="0" applyFont="1" applyFill="1" applyBorder="1" applyAlignment="1">
      <alignment horizontal="center" vertical="center"/>
    </xf>
    <xf numFmtId="0" fontId="20" fillId="15" borderId="86" xfId="0" applyFont="1" applyFill="1" applyBorder="1" applyAlignment="1">
      <alignment horizontal="center" vertical="center"/>
    </xf>
    <xf numFmtId="0" fontId="20" fillId="15" borderId="80" xfId="0" applyFont="1" applyFill="1" applyBorder="1" applyAlignment="1">
      <alignment horizontal="center"/>
    </xf>
    <xf numFmtId="0" fontId="20" fillId="15" borderId="1" xfId="0" applyFont="1" applyFill="1" applyBorder="1" applyAlignment="1">
      <alignment horizontal="center" vertical="center"/>
    </xf>
    <xf numFmtId="0" fontId="20" fillId="15" borderId="14" xfId="0" applyFont="1" applyFill="1" applyBorder="1" applyAlignment="1">
      <alignment horizontal="center" vertical="center"/>
    </xf>
    <xf numFmtId="0" fontId="20" fillId="15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49" fontId="20" fillId="0" borderId="36" xfId="0" applyNumberFormat="1" applyFont="1" applyBorder="1" applyAlignment="1">
      <alignment horizontal="center" vertical="center"/>
    </xf>
    <xf numFmtId="49" fontId="20" fillId="0" borderId="39" xfId="0" applyNumberFormat="1" applyFont="1" applyBorder="1" applyAlignment="1">
      <alignment horizontal="center" vertical="center"/>
    </xf>
    <xf numFmtId="49" fontId="20" fillId="0" borderId="40" xfId="0" applyNumberFormat="1" applyFont="1" applyBorder="1" applyAlignment="1">
      <alignment horizontal="center" vertical="center"/>
    </xf>
    <xf numFmtId="0" fontId="54" fillId="14" borderId="14" xfId="0" applyFont="1" applyFill="1" applyBorder="1" applyAlignment="1">
      <alignment horizontal="center" vertical="center"/>
    </xf>
    <xf numFmtId="0" fontId="54" fillId="14" borderId="16" xfId="0" applyFont="1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0" fontId="20" fillId="15" borderId="8" xfId="0" applyFont="1" applyFill="1" applyBorder="1" applyAlignment="1">
      <alignment horizontal="center" vertical="center"/>
    </xf>
    <xf numFmtId="0" fontId="20" fillId="15" borderId="82" xfId="0" applyFont="1" applyFill="1" applyBorder="1" applyAlignment="1">
      <alignment horizontal="center" vertical="center"/>
    </xf>
    <xf numFmtId="0" fontId="20" fillId="15" borderId="83" xfId="0" applyFont="1" applyFill="1" applyBorder="1" applyAlignment="1">
      <alignment horizontal="center" vertical="center"/>
    </xf>
    <xf numFmtId="0" fontId="20" fillId="15" borderId="98" xfId="0" applyFont="1" applyFill="1" applyBorder="1" applyAlignment="1">
      <alignment horizontal="center" vertical="center"/>
    </xf>
    <xf numFmtId="1" fontId="52" fillId="0" borderId="8" xfId="0" applyNumberFormat="1" applyFont="1" applyBorder="1" applyAlignment="1">
      <alignment horizontal="center" vertical="center"/>
    </xf>
    <xf numFmtId="0" fontId="54" fillId="14" borderId="13" xfId="0" applyFont="1" applyFill="1" applyBorder="1" applyAlignment="1">
      <alignment horizontal="center" vertical="center"/>
    </xf>
    <xf numFmtId="0" fontId="54" fillId="14" borderId="8" xfId="0" applyFont="1" applyFill="1" applyBorder="1" applyAlignment="1">
      <alignment horizontal="center" vertical="center"/>
    </xf>
    <xf numFmtId="49" fontId="20" fillId="0" borderId="41" xfId="0" applyNumberFormat="1" applyFont="1" applyBorder="1" applyAlignment="1">
      <alignment horizontal="center" vertical="center"/>
    </xf>
    <xf numFmtId="49" fontId="20" fillId="0" borderId="24" xfId="0" applyNumberFormat="1" applyFont="1" applyBorder="1" applyAlignment="1">
      <alignment horizontal="center" vertical="center"/>
    </xf>
    <xf numFmtId="1" fontId="20" fillId="15" borderId="1" xfId="0" applyNumberFormat="1" applyFont="1" applyFill="1" applyBorder="1" applyAlignment="1">
      <alignment horizontal="center" vertical="center"/>
    </xf>
    <xf numFmtId="1" fontId="20" fillId="15" borderId="14" xfId="0" applyNumberFormat="1" applyFont="1" applyFill="1" applyBorder="1" applyAlignment="1">
      <alignment horizontal="center" vertical="center"/>
    </xf>
    <xf numFmtId="0" fontId="51" fillId="15" borderId="77" xfId="0" applyFont="1" applyFill="1" applyBorder="1" applyAlignment="1">
      <alignment horizontal="center" vertical="center"/>
    </xf>
    <xf numFmtId="0" fontId="51" fillId="15" borderId="83" xfId="0" applyFont="1" applyFill="1" applyBorder="1" applyAlignment="1">
      <alignment horizontal="center" vertical="center"/>
    </xf>
    <xf numFmtId="0" fontId="54" fillId="14" borderId="7" xfId="0" applyFont="1" applyFill="1" applyBorder="1" applyAlignment="1">
      <alignment horizontal="center" vertical="center"/>
    </xf>
    <xf numFmtId="0" fontId="51" fillId="15" borderId="82" xfId="0" applyFont="1" applyFill="1" applyBorder="1" applyAlignment="1">
      <alignment horizontal="center" vertical="center"/>
    </xf>
    <xf numFmtId="1" fontId="20" fillId="15" borderId="17" xfId="0" applyNumberFormat="1" applyFont="1" applyFill="1" applyBorder="1" applyAlignment="1">
      <alignment horizontal="center" vertical="center"/>
    </xf>
    <xf numFmtId="0" fontId="51" fillId="15" borderId="80" xfId="0" applyFont="1" applyFill="1" applyBorder="1" applyAlignment="1">
      <alignment horizontal="center" vertical="center"/>
    </xf>
    <xf numFmtId="0" fontId="51" fillId="15" borderId="76" xfId="0" applyFont="1" applyFill="1" applyBorder="1" applyAlignment="1">
      <alignment horizontal="center" vertical="center"/>
    </xf>
    <xf numFmtId="0" fontId="51" fillId="15" borderId="79" xfId="0" applyFont="1" applyFill="1" applyBorder="1" applyAlignment="1">
      <alignment horizontal="center" vertical="center"/>
    </xf>
    <xf numFmtId="0" fontId="52" fillId="0" borderId="38" xfId="0" applyFont="1" applyBorder="1" applyAlignment="1">
      <alignment horizontal="center" vertical="center"/>
    </xf>
    <xf numFmtId="49" fontId="20" fillId="0" borderId="42" xfId="0" applyNumberFormat="1" applyFont="1" applyBorder="1" applyAlignment="1">
      <alignment horizontal="center" vertical="center"/>
    </xf>
    <xf numFmtId="0" fontId="54" fillId="14" borderId="18" xfId="0" applyFont="1" applyFill="1" applyBorder="1" applyAlignment="1">
      <alignment horizontal="center" vertical="center"/>
    </xf>
    <xf numFmtId="0" fontId="54" fillId="14" borderId="19" xfId="0" applyFont="1" applyFill="1" applyBorder="1" applyAlignment="1">
      <alignment horizontal="center" vertical="center"/>
    </xf>
    <xf numFmtId="0" fontId="54" fillId="14" borderId="36" xfId="0" applyFont="1" applyFill="1" applyBorder="1" applyAlignment="1">
      <alignment horizontal="center" vertical="center"/>
    </xf>
    <xf numFmtId="0" fontId="20" fillId="15" borderId="17" xfId="0" applyFont="1" applyFill="1" applyBorder="1" applyAlignment="1">
      <alignment horizontal="center" vertical="center"/>
    </xf>
    <xf numFmtId="0" fontId="54" fillId="14" borderId="23" xfId="0" applyFont="1" applyFill="1" applyBorder="1" applyAlignment="1">
      <alignment horizontal="center" vertical="center"/>
    </xf>
    <xf numFmtId="0" fontId="54" fillId="14" borderId="0" xfId="0" applyFont="1" applyFill="1" applyAlignment="1">
      <alignment horizontal="center" vertical="center"/>
    </xf>
    <xf numFmtId="0" fontId="20" fillId="15" borderId="43" xfId="0" applyFont="1" applyFill="1" applyBorder="1" applyAlignment="1">
      <alignment horizontal="center" vertical="center"/>
    </xf>
    <xf numFmtId="1" fontId="20" fillId="15" borderId="16" xfId="0" applyNumberFormat="1" applyFont="1" applyFill="1" applyBorder="1" applyAlignment="1">
      <alignment horizontal="center" vertical="center"/>
    </xf>
    <xf numFmtId="49" fontId="20" fillId="0" borderId="19" xfId="0" applyNumberFormat="1" applyFont="1" applyBorder="1" applyAlignment="1">
      <alignment horizontal="center" vertical="center"/>
    </xf>
    <xf numFmtId="1" fontId="20" fillId="15" borderId="44" xfId="0" applyNumberFormat="1" applyFont="1" applyFill="1" applyBorder="1" applyAlignment="1">
      <alignment horizontal="center" vertical="center"/>
    </xf>
    <xf numFmtId="166" fontId="20" fillId="0" borderId="45" xfId="0" applyNumberFormat="1" applyFont="1" applyBorder="1" applyAlignment="1">
      <alignment horizontal="left" vertical="center" wrapText="1"/>
    </xf>
    <xf numFmtId="166" fontId="20" fillId="0" borderId="15" xfId="0" applyNumberFormat="1" applyFont="1" applyBorder="1" applyAlignment="1">
      <alignment horizontal="left" vertical="center" wrapText="1"/>
    </xf>
    <xf numFmtId="0" fontId="52" fillId="0" borderId="14" xfId="0" applyFont="1" applyBorder="1" applyAlignment="1">
      <alignment horizontal="center" vertical="center"/>
    </xf>
    <xf numFmtId="14" fontId="54" fillId="15" borderId="18" xfId="0" applyNumberFormat="1" applyFont="1" applyFill="1" applyBorder="1" applyAlignment="1">
      <alignment horizontal="center" vertical="center"/>
    </xf>
    <xf numFmtId="14" fontId="54" fillId="15" borderId="19" xfId="0" applyNumberFormat="1" applyFont="1" applyFill="1" applyBorder="1" applyAlignment="1">
      <alignment horizontal="center" vertical="center"/>
    </xf>
    <xf numFmtId="0" fontId="20" fillId="15" borderId="79" xfId="0" applyFont="1" applyFill="1" applyBorder="1" applyAlignment="1">
      <alignment horizontal="center" vertical="center" wrapText="1"/>
    </xf>
    <xf numFmtId="0" fontId="20" fillId="15" borderId="80" xfId="0" applyFont="1" applyFill="1" applyBorder="1" applyAlignment="1">
      <alignment horizontal="center" vertical="center" wrapText="1"/>
    </xf>
    <xf numFmtId="1" fontId="20" fillId="15" borderId="40" xfId="0" applyNumberFormat="1" applyFont="1" applyFill="1" applyBorder="1" applyAlignment="1">
      <alignment horizontal="center" vertical="center"/>
    </xf>
    <xf numFmtId="0" fontId="20" fillId="15" borderId="14" xfId="7" applyNumberFormat="1" applyFont="1" applyFill="1" applyBorder="1" applyAlignment="1">
      <alignment horizontal="center" vertical="center" wrapText="1"/>
    </xf>
    <xf numFmtId="0" fontId="20" fillId="15" borderId="16" xfId="7" applyNumberFormat="1" applyFont="1" applyFill="1" applyBorder="1" applyAlignment="1">
      <alignment horizontal="center" vertical="center" wrapText="1"/>
    </xf>
    <xf numFmtId="49" fontId="20" fillId="0" borderId="40" xfId="0" applyNumberFormat="1" applyFont="1" applyBorder="1" applyAlignment="1">
      <alignment horizontal="center" vertical="center" wrapText="1"/>
    </xf>
    <xf numFmtId="0" fontId="21" fillId="15" borderId="76" xfId="0" applyFont="1" applyFill="1" applyBorder="1" applyAlignment="1">
      <alignment horizontal="center" vertical="center"/>
    </xf>
    <xf numFmtId="0" fontId="21" fillId="15" borderId="77" xfId="0" applyFont="1" applyFill="1" applyBorder="1" applyAlignment="1">
      <alignment horizontal="center" vertical="center"/>
    </xf>
    <xf numFmtId="1" fontId="20" fillId="15" borderId="43" xfId="0" applyNumberFormat="1" applyFont="1" applyFill="1" applyBorder="1" applyAlignment="1">
      <alignment horizontal="center" vertical="center"/>
    </xf>
    <xf numFmtId="0" fontId="54" fillId="14" borderId="36" xfId="7" applyNumberFormat="1" applyFont="1" applyFill="1" applyBorder="1" applyAlignment="1">
      <alignment horizontal="center" vertical="center" wrapText="1"/>
    </xf>
    <xf numFmtId="0" fontId="54" fillId="14" borderId="7" xfId="7" applyNumberFormat="1" applyFont="1" applyFill="1" applyBorder="1" applyAlignment="1">
      <alignment horizontal="center" vertical="center" wrapText="1"/>
    </xf>
    <xf numFmtId="1" fontId="20" fillId="15" borderId="76" xfId="0" applyNumberFormat="1" applyFont="1" applyFill="1" applyBorder="1" applyAlignment="1">
      <alignment horizontal="center" vertical="center"/>
    </xf>
    <xf numFmtId="1" fontId="20" fillId="15" borderId="77" xfId="0" applyNumberFormat="1" applyFont="1" applyFill="1" applyBorder="1" applyAlignment="1">
      <alignment horizontal="center" vertical="center"/>
    </xf>
    <xf numFmtId="165" fontId="20" fillId="15" borderId="14" xfId="8" applyNumberFormat="1" applyFont="1" applyFill="1" applyBorder="1" applyAlignment="1">
      <alignment horizontal="center"/>
    </xf>
    <xf numFmtId="165" fontId="20" fillId="15" borderId="16" xfId="8" applyNumberFormat="1" applyFont="1" applyFill="1" applyBorder="1" applyAlignment="1">
      <alignment horizontal="center"/>
    </xf>
    <xf numFmtId="1" fontId="20" fillId="15" borderId="79" xfId="8" applyNumberFormat="1" applyFont="1" applyFill="1" applyBorder="1" applyAlignment="1">
      <alignment horizontal="center"/>
    </xf>
    <xf numFmtId="1" fontId="20" fillId="15" borderId="80" xfId="8" applyNumberFormat="1" applyFont="1" applyFill="1" applyBorder="1" applyAlignment="1">
      <alignment horizontal="center"/>
    </xf>
    <xf numFmtId="165" fontId="20" fillId="15" borderId="14" xfId="8" applyNumberFormat="1" applyFont="1" applyFill="1" applyBorder="1" applyAlignment="1">
      <alignment horizontal="center" vertical="center" wrapText="1"/>
    </xf>
    <xf numFmtId="165" fontId="20" fillId="15" borderId="16" xfId="8" applyNumberFormat="1" applyFont="1" applyFill="1" applyBorder="1" applyAlignment="1">
      <alignment horizontal="center" vertical="center" wrapText="1"/>
    </xf>
    <xf numFmtId="164" fontId="20" fillId="15" borderId="46" xfId="7" applyNumberFormat="1" applyFont="1" applyFill="1" applyBorder="1" applyAlignment="1">
      <alignment horizontal="center" wrapText="1"/>
    </xf>
    <xf numFmtId="164" fontId="20" fillId="15" borderId="1" xfId="7" applyNumberFormat="1" applyFont="1" applyFill="1" applyAlignment="1">
      <alignment horizontal="center" wrapText="1"/>
    </xf>
    <xf numFmtId="1" fontId="20" fillId="15" borderId="46" xfId="8" applyNumberFormat="1" applyFont="1" applyFill="1" applyBorder="1" applyAlignment="1">
      <alignment horizontal="center" vertical="center" wrapText="1"/>
    </xf>
    <xf numFmtId="1" fontId="20" fillId="15" borderId="1" xfId="8" applyNumberFormat="1" applyFont="1" applyFill="1" applyBorder="1" applyAlignment="1">
      <alignment horizontal="center" vertical="center" wrapText="1"/>
    </xf>
    <xf numFmtId="165" fontId="54" fillId="14" borderId="47" xfId="8" applyNumberFormat="1" applyFont="1" applyFill="1" applyBorder="1" applyAlignment="1">
      <alignment horizontal="center" vertical="center" wrapText="1"/>
    </xf>
    <xf numFmtId="165" fontId="54" fillId="14" borderId="32" xfId="8" applyNumberFormat="1" applyFont="1" applyFill="1" applyBorder="1" applyAlignment="1">
      <alignment horizontal="center" vertical="center" wrapText="1"/>
    </xf>
    <xf numFmtId="165" fontId="54" fillId="14" borderId="33" xfId="8" applyNumberFormat="1" applyFont="1" applyFill="1" applyBorder="1" applyAlignment="1">
      <alignment horizontal="center" vertical="center" wrapText="1"/>
    </xf>
    <xf numFmtId="0" fontId="54" fillId="14" borderId="16" xfId="7" applyNumberFormat="1" applyFont="1" applyFill="1" applyBorder="1" applyAlignment="1">
      <alignment horizontal="center" vertical="center" wrapText="1"/>
    </xf>
    <xf numFmtId="0" fontId="54" fillId="14" borderId="17" xfId="7" applyNumberFormat="1" applyFont="1" applyFill="1" applyBorder="1" applyAlignment="1">
      <alignment horizontal="center" vertical="center" wrapText="1"/>
    </xf>
    <xf numFmtId="0" fontId="20" fillId="0" borderId="45" xfId="7" applyNumberFormat="1" applyFont="1" applyFill="1" applyBorder="1" applyAlignment="1">
      <alignment horizontal="left" vertical="center"/>
    </xf>
    <xf numFmtId="0" fontId="20" fillId="0" borderId="15" xfId="7" applyNumberFormat="1" applyFont="1" applyFill="1" applyBorder="1" applyAlignment="1">
      <alignment horizontal="left" vertical="center"/>
    </xf>
    <xf numFmtId="14" fontId="20" fillId="0" borderId="31" xfId="7" applyNumberFormat="1" applyFont="1" applyFill="1" applyBorder="1" applyAlignment="1">
      <alignment horizontal="center" vertical="center" wrapText="1"/>
    </xf>
    <xf numFmtId="14" fontId="20" fillId="0" borderId="32" xfId="7" applyNumberFormat="1" applyFont="1" applyFill="1" applyBorder="1" applyAlignment="1">
      <alignment horizontal="center" vertical="center" wrapText="1"/>
    </xf>
    <xf numFmtId="49" fontId="20" fillId="0" borderId="18" xfId="0" applyNumberFormat="1" applyFont="1" applyBorder="1" applyAlignment="1">
      <alignment horizontal="center" vertical="center"/>
    </xf>
    <xf numFmtId="165" fontId="20" fillId="15" borderId="46" xfId="8" applyNumberFormat="1" applyFont="1" applyFill="1" applyBorder="1" applyAlignment="1">
      <alignment horizontal="center" vertical="center" wrapText="1"/>
    </xf>
    <xf numFmtId="165" fontId="20" fillId="15" borderId="1" xfId="8" applyNumberFormat="1" applyFont="1" applyFill="1" applyBorder="1" applyAlignment="1">
      <alignment horizontal="center" vertical="center" wrapText="1"/>
    </xf>
    <xf numFmtId="0" fontId="21" fillId="10" borderId="48" xfId="7" applyNumberFormat="1" applyFont="1" applyFill="1" applyBorder="1" applyAlignment="1">
      <alignment horizontal="center" vertical="center"/>
    </xf>
    <xf numFmtId="0" fontId="21" fillId="10" borderId="15" xfId="7" applyNumberFormat="1" applyFont="1" applyFill="1" applyBorder="1" applyAlignment="1">
      <alignment horizontal="center" vertical="center"/>
    </xf>
    <xf numFmtId="0" fontId="21" fillId="10" borderId="49" xfId="7" applyNumberFormat="1" applyFont="1" applyFill="1" applyBorder="1" applyAlignment="1">
      <alignment horizontal="center" vertical="center"/>
    </xf>
    <xf numFmtId="0" fontId="21" fillId="10" borderId="46" xfId="7" applyNumberFormat="1" applyFont="1" applyFill="1" applyBorder="1" applyAlignment="1">
      <alignment horizontal="center" vertical="center" wrapText="1"/>
    </xf>
    <xf numFmtId="0" fontId="21" fillId="10" borderId="1" xfId="7" applyNumberFormat="1" applyFont="1" applyFill="1" applyAlignment="1">
      <alignment horizontal="center" vertical="center" wrapText="1"/>
    </xf>
    <xf numFmtId="0" fontId="21" fillId="10" borderId="50" xfId="7" applyNumberFormat="1" applyFont="1" applyFill="1" applyBorder="1" applyAlignment="1">
      <alignment horizontal="center" vertical="center" wrapText="1"/>
    </xf>
    <xf numFmtId="0" fontId="54" fillId="14" borderId="27" xfId="7" applyNumberFormat="1" applyFont="1" applyFill="1" applyBorder="1" applyAlignment="1">
      <alignment horizontal="center" vertical="center" wrapText="1"/>
    </xf>
    <xf numFmtId="2" fontId="54" fillId="15" borderId="18" xfId="7" applyNumberFormat="1" applyFont="1" applyFill="1" applyBorder="1" applyAlignment="1">
      <alignment horizontal="center" vertical="center" wrapText="1"/>
    </xf>
    <xf numFmtId="2" fontId="54" fillId="15" borderId="20" xfId="7" applyNumberFormat="1" applyFont="1" applyFill="1" applyBorder="1" applyAlignment="1">
      <alignment horizontal="center" vertical="center" wrapText="1"/>
    </xf>
    <xf numFmtId="0" fontId="53" fillId="15" borderId="46" xfId="7" applyNumberFormat="1" applyFont="1" applyFill="1" applyBorder="1" applyAlignment="1">
      <alignment horizontal="center" vertical="center" wrapText="1"/>
    </xf>
    <xf numFmtId="0" fontId="53" fillId="15" borderId="1" xfId="7" applyNumberFormat="1" applyFont="1" applyFill="1" applyAlignment="1">
      <alignment horizontal="center" vertical="center" wrapText="1"/>
    </xf>
    <xf numFmtId="0" fontId="53" fillId="15" borderId="14" xfId="7" applyNumberFormat="1" applyFont="1" applyFill="1" applyBorder="1" applyAlignment="1">
      <alignment horizontal="center" vertical="center" wrapText="1"/>
    </xf>
    <xf numFmtId="1" fontId="54" fillId="15" borderId="18" xfId="0" applyNumberFormat="1" applyFont="1" applyFill="1" applyBorder="1" applyAlignment="1">
      <alignment horizontal="center" vertical="center"/>
    </xf>
    <xf numFmtId="1" fontId="54" fillId="15" borderId="20" xfId="0" applyNumberFormat="1" applyFont="1" applyFill="1" applyBorder="1" applyAlignment="1">
      <alignment horizontal="center" vertical="center"/>
    </xf>
    <xf numFmtId="14" fontId="54" fillId="14" borderId="28" xfId="0" applyNumberFormat="1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14" fontId="54" fillId="14" borderId="13" xfId="0" applyNumberFormat="1" applyFont="1" applyFill="1" applyBorder="1" applyAlignment="1">
      <alignment horizontal="center" vertical="center"/>
    </xf>
    <xf numFmtId="0" fontId="54" fillId="14" borderId="21" xfId="0" applyFont="1" applyFill="1" applyBorder="1" applyAlignment="1">
      <alignment horizontal="center" vertical="center"/>
    </xf>
    <xf numFmtId="0" fontId="54" fillId="14" borderId="11" xfId="0" applyFont="1" applyFill="1" applyBorder="1" applyAlignment="1">
      <alignment horizontal="center" vertical="center"/>
    </xf>
    <xf numFmtId="0" fontId="54" fillId="14" borderId="22" xfId="0" applyFont="1" applyFill="1" applyBorder="1" applyAlignment="1">
      <alignment horizontal="center" vertical="center"/>
    </xf>
    <xf numFmtId="14" fontId="54" fillId="14" borderId="8" xfId="0" applyNumberFormat="1" applyFont="1" applyFill="1" applyBorder="1" applyAlignment="1">
      <alignment horizontal="center" vertical="center"/>
    </xf>
    <xf numFmtId="0" fontId="53" fillId="14" borderId="46" xfId="7" applyNumberFormat="1" applyFont="1" applyFill="1" applyBorder="1" applyAlignment="1">
      <alignment horizontal="center" vertical="center" wrapText="1"/>
    </xf>
    <xf numFmtId="0" fontId="53" fillId="14" borderId="1" xfId="7" applyNumberFormat="1" applyFont="1" applyFill="1" applyAlignment="1">
      <alignment horizontal="center" vertical="center" wrapText="1"/>
    </xf>
    <xf numFmtId="14" fontId="54" fillId="14" borderId="13" xfId="7" applyNumberFormat="1" applyFont="1" applyFill="1" applyBorder="1" applyAlignment="1">
      <alignment horizontal="center" vertical="center" wrapText="1"/>
    </xf>
    <xf numFmtId="0" fontId="54" fillId="14" borderId="11" xfId="7" applyNumberFormat="1" applyFont="1" applyFill="1" applyBorder="1" applyAlignment="1">
      <alignment horizontal="center" vertical="center" wrapText="1"/>
    </xf>
    <xf numFmtId="14" fontId="54" fillId="14" borderId="11" xfId="7" applyNumberFormat="1" applyFont="1" applyFill="1" applyBorder="1" applyAlignment="1">
      <alignment horizontal="center" vertical="center" wrapText="1"/>
    </xf>
    <xf numFmtId="2" fontId="54" fillId="15" borderId="25" xfId="7" applyNumberFormat="1" applyFont="1" applyFill="1" applyBorder="1" applyAlignment="1">
      <alignment horizontal="center" vertical="center" wrapText="1"/>
    </xf>
    <xf numFmtId="2" fontId="54" fillId="15" borderId="45" xfId="7" applyNumberFormat="1" applyFont="1" applyFill="1" applyBorder="1" applyAlignment="1">
      <alignment horizontal="center" vertical="center" wrapText="1"/>
    </xf>
    <xf numFmtId="2" fontId="54" fillId="15" borderId="49" xfId="7" applyNumberFormat="1" applyFont="1" applyFill="1" applyBorder="1" applyAlignment="1">
      <alignment horizontal="center" vertical="center" wrapText="1"/>
    </xf>
    <xf numFmtId="2" fontId="54" fillId="15" borderId="51" xfId="7" applyNumberFormat="1" applyFont="1" applyFill="1" applyBorder="1" applyAlignment="1">
      <alignment horizontal="center" vertical="center" wrapText="1"/>
    </xf>
    <xf numFmtId="14" fontId="54" fillId="15" borderId="27" xfId="7" applyNumberFormat="1" applyFont="1" applyFill="1" applyBorder="1" applyAlignment="1">
      <alignment horizontal="center" vertical="center" wrapText="1"/>
    </xf>
    <xf numFmtId="14" fontId="54" fillId="15" borderId="16" xfId="7" applyNumberFormat="1" applyFont="1" applyFill="1" applyBorder="1" applyAlignment="1">
      <alignment horizontal="center" vertical="center" wrapText="1"/>
    </xf>
    <xf numFmtId="14" fontId="54" fillId="15" borderId="52" xfId="7" applyNumberFormat="1" applyFont="1" applyFill="1" applyBorder="1" applyAlignment="1">
      <alignment horizontal="center" vertical="center" wrapText="1"/>
    </xf>
    <xf numFmtId="0" fontId="54" fillId="15" borderId="16" xfId="7" applyNumberFormat="1" applyFont="1" applyFill="1" applyBorder="1" applyAlignment="1">
      <alignment horizontal="center" vertical="center" wrapText="1"/>
    </xf>
    <xf numFmtId="0" fontId="54" fillId="15" borderId="17" xfId="7" applyNumberFormat="1" applyFont="1" applyFill="1" applyBorder="1" applyAlignment="1">
      <alignment horizontal="center" vertical="center" wrapText="1"/>
    </xf>
    <xf numFmtId="14" fontId="54" fillId="14" borderId="18" xfId="7" applyNumberFormat="1" applyFont="1" applyFill="1" applyBorder="1" applyAlignment="1">
      <alignment horizontal="center" vertical="center" wrapText="1"/>
    </xf>
    <xf numFmtId="14" fontId="54" fillId="14" borderId="20" xfId="7" applyNumberFormat="1" applyFont="1" applyFill="1" applyBorder="1" applyAlignment="1">
      <alignment horizontal="center" vertical="center" wrapText="1"/>
    </xf>
    <xf numFmtId="14" fontId="54" fillId="14" borderId="18" xfId="0" applyNumberFormat="1" applyFont="1" applyFill="1" applyBorder="1" applyAlignment="1">
      <alignment horizontal="center" vertical="center"/>
    </xf>
    <xf numFmtId="14" fontId="54" fillId="14" borderId="20" xfId="0" applyNumberFormat="1" applyFont="1" applyFill="1" applyBorder="1" applyAlignment="1">
      <alignment horizontal="center" vertical="center"/>
    </xf>
    <xf numFmtId="1" fontId="54" fillId="14" borderId="31" xfId="0" applyNumberFormat="1" applyFont="1" applyFill="1" applyBorder="1" applyAlignment="1">
      <alignment horizontal="center" vertical="center"/>
    </xf>
    <xf numFmtId="1" fontId="54" fillId="14" borderId="33" xfId="0" applyNumberFormat="1" applyFont="1" applyFill="1" applyBorder="1" applyAlignment="1">
      <alignment horizontal="center" vertical="center"/>
    </xf>
    <xf numFmtId="1" fontId="54" fillId="14" borderId="40" xfId="0" applyNumberFormat="1" applyFont="1" applyFill="1" applyBorder="1" applyAlignment="1">
      <alignment horizontal="center" vertical="center"/>
    </xf>
    <xf numFmtId="1" fontId="54" fillId="14" borderId="41" xfId="0" applyNumberFormat="1" applyFont="1" applyFill="1" applyBorder="1" applyAlignment="1">
      <alignment horizontal="center" vertical="center"/>
    </xf>
    <xf numFmtId="0" fontId="53" fillId="14" borderId="14" xfId="7" applyNumberFormat="1" applyFont="1" applyFill="1" applyBorder="1" applyAlignment="1">
      <alignment horizontal="center" vertical="center" wrapText="1"/>
    </xf>
    <xf numFmtId="164" fontId="20" fillId="0" borderId="46" xfId="7" applyNumberFormat="1" applyFont="1" applyFill="1" applyBorder="1" applyAlignment="1">
      <alignment horizontal="center" wrapText="1"/>
    </xf>
    <xf numFmtId="1" fontId="20" fillId="0" borderId="46" xfId="8" applyNumberFormat="1" applyFont="1" applyFill="1" applyBorder="1" applyAlignment="1">
      <alignment horizontal="center" vertical="center" wrapText="1"/>
    </xf>
    <xf numFmtId="164" fontId="20" fillId="0" borderId="1" xfId="7" applyNumberFormat="1" applyFont="1" applyFill="1" applyAlignment="1">
      <alignment horizontal="center" wrapText="1"/>
    </xf>
    <xf numFmtId="1" fontId="20" fillId="0" borderId="1" xfId="8" applyNumberFormat="1" applyFont="1" applyFill="1" applyBorder="1" applyAlignment="1">
      <alignment horizontal="center" vertical="center" wrapText="1"/>
    </xf>
    <xf numFmtId="165" fontId="20" fillId="0" borderId="12" xfId="8" applyNumberFormat="1" applyFont="1" applyFill="1" applyBorder="1" applyAlignment="1">
      <alignment horizontal="center"/>
    </xf>
    <xf numFmtId="165" fontId="20" fillId="0" borderId="1" xfId="8" applyNumberFormat="1" applyFont="1" applyFill="1" applyBorder="1" applyAlignment="1">
      <alignment horizontal="center"/>
    </xf>
    <xf numFmtId="0" fontId="20" fillId="0" borderId="79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 vertical="center"/>
    </xf>
    <xf numFmtId="1" fontId="20" fillId="0" borderId="44" xfId="0" applyNumberFormat="1" applyFont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/>
    </xf>
    <xf numFmtId="0" fontId="20" fillId="0" borderId="77" xfId="0" applyFont="1" applyBorder="1" applyAlignment="1">
      <alignment horizontal="center"/>
    </xf>
    <xf numFmtId="1" fontId="20" fillId="0" borderId="40" xfId="0" applyNumberFormat="1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 wrapText="1"/>
    </xf>
    <xf numFmtId="0" fontId="20" fillId="0" borderId="80" xfId="0" applyFont="1" applyBorder="1" applyAlignment="1">
      <alignment horizontal="center" vertical="center" wrapText="1"/>
    </xf>
    <xf numFmtId="1" fontId="20" fillId="0" borderId="12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20" fillId="0" borderId="54" xfId="0" applyNumberFormat="1" applyFont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0" fontId="20" fillId="0" borderId="98" xfId="0" applyFont="1" applyBorder="1" applyAlignment="1">
      <alignment horizontal="center" vertical="center"/>
    </xf>
    <xf numFmtId="1" fontId="20" fillId="0" borderId="36" xfId="0" applyNumberFormat="1" applyFont="1" applyBorder="1" applyAlignment="1">
      <alignment horizontal="center" vertical="center"/>
    </xf>
    <xf numFmtId="0" fontId="20" fillId="0" borderId="97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" fontId="20" fillId="0" borderId="55" xfId="0" applyNumberFormat="1" applyFont="1" applyBorder="1" applyAlignment="1">
      <alignment horizontal="center" vertical="center"/>
    </xf>
    <xf numFmtId="0" fontId="51" fillId="0" borderId="80" xfId="0" applyFont="1" applyBorder="1" applyAlignment="1">
      <alignment horizontal="center" vertical="center"/>
    </xf>
    <xf numFmtId="0" fontId="51" fillId="0" borderId="77" xfId="0" applyFont="1" applyBorder="1" applyAlignment="1">
      <alignment horizontal="center" vertical="center"/>
    </xf>
    <xf numFmtId="0" fontId="51" fillId="0" borderId="83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0" fontId="20" fillId="0" borderId="9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02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0" fontId="20" fillId="0" borderId="106" xfId="0" applyFont="1" applyBorder="1" applyAlignment="1">
      <alignment horizontal="center" vertical="center"/>
    </xf>
    <xf numFmtId="1" fontId="20" fillId="0" borderId="56" xfId="0" applyNumberFormat="1" applyFont="1" applyBorder="1" applyAlignment="1">
      <alignment horizontal="center" vertical="center"/>
    </xf>
    <xf numFmtId="0" fontId="20" fillId="0" borderId="107" xfId="0" applyFont="1" applyBorder="1" applyAlignment="1">
      <alignment horizontal="center" vertical="center"/>
    </xf>
    <xf numFmtId="0" fontId="20" fillId="0" borderId="108" xfId="0" applyFont="1" applyBorder="1" applyAlignment="1">
      <alignment horizontal="center" vertical="center"/>
    </xf>
    <xf numFmtId="0" fontId="20" fillId="0" borderId="109" xfId="0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" fontId="20" fillId="0" borderId="27" xfId="8" applyNumberFormat="1" applyFont="1" applyFill="1" applyBorder="1" applyAlignment="1">
      <alignment horizontal="center" vertical="center" wrapText="1"/>
    </xf>
    <xf numFmtId="1" fontId="20" fillId="0" borderId="16" xfId="8" applyNumberFormat="1" applyFont="1" applyFill="1" applyBorder="1" applyAlignment="1">
      <alignment horizontal="center" vertical="center" wrapText="1"/>
    </xf>
    <xf numFmtId="1" fontId="20" fillId="0" borderId="17" xfId="8" applyNumberFormat="1" applyFont="1" applyFill="1" applyBorder="1" applyAlignment="1">
      <alignment horizontal="center" vertical="center" wrapText="1"/>
    </xf>
    <xf numFmtId="1" fontId="20" fillId="0" borderId="17" xfId="0" applyNumberFormat="1" applyFont="1" applyBorder="1" applyAlignment="1">
      <alignment horizontal="center" vertical="center"/>
    </xf>
    <xf numFmtId="1" fontId="20" fillId="0" borderId="13" xfId="0" applyNumberFormat="1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4" fontId="54" fillId="14" borderId="0" xfId="0" applyNumberFormat="1" applyFont="1" applyFill="1" applyAlignment="1">
      <alignment horizontal="center" vertical="center"/>
    </xf>
    <xf numFmtId="14" fontId="54" fillId="15" borderId="0" xfId="0" applyNumberFormat="1" applyFont="1" applyFill="1" applyAlignment="1">
      <alignment horizontal="center" vertical="center"/>
    </xf>
    <xf numFmtId="2" fontId="54" fillId="15" borderId="13" xfId="7" applyNumberFormat="1" applyFont="1" applyFill="1" applyBorder="1" applyAlignment="1">
      <alignment horizontal="center" vertical="center" wrapText="1"/>
    </xf>
    <xf numFmtId="2" fontId="54" fillId="15" borderId="11" xfId="7" applyNumberFormat="1" applyFont="1" applyFill="1" applyBorder="1" applyAlignment="1">
      <alignment horizontal="center" vertical="center" wrapText="1"/>
    </xf>
    <xf numFmtId="14" fontId="54" fillId="15" borderId="28" xfId="0" applyNumberFormat="1" applyFont="1" applyFill="1" applyBorder="1" applyAlignment="1">
      <alignment horizontal="center" vertical="center"/>
    </xf>
    <xf numFmtId="14" fontId="54" fillId="15" borderId="22" xfId="0" applyNumberFormat="1" applyFont="1" applyFill="1" applyBorder="1" applyAlignment="1">
      <alignment horizontal="center" vertical="center"/>
    </xf>
    <xf numFmtId="2" fontId="54" fillId="15" borderId="21" xfId="7" applyNumberFormat="1" applyFont="1" applyFill="1" applyBorder="1" applyAlignment="1">
      <alignment horizontal="center" vertical="center" wrapText="1"/>
    </xf>
    <xf numFmtId="2" fontId="54" fillId="15" borderId="38" xfId="7" applyNumberFormat="1" applyFont="1" applyFill="1" applyBorder="1" applyAlignment="1">
      <alignment horizontal="center" vertical="center" wrapText="1"/>
    </xf>
    <xf numFmtId="14" fontId="54" fillId="15" borderId="3" xfId="0" applyNumberFormat="1" applyFont="1" applyFill="1" applyBorder="1" applyAlignment="1">
      <alignment horizontal="center" vertical="center"/>
    </xf>
    <xf numFmtId="14" fontId="54" fillId="14" borderId="10" xfId="7" applyNumberFormat="1" applyFont="1" applyFill="1" applyBorder="1" applyAlignment="1">
      <alignment horizontal="center" vertical="center" wrapText="1"/>
    </xf>
    <xf numFmtId="0" fontId="54" fillId="14" borderId="10" xfId="7" applyNumberFormat="1" applyFont="1" applyFill="1" applyBorder="1" applyAlignment="1">
      <alignment horizontal="center" vertical="center" wrapText="1"/>
    </xf>
    <xf numFmtId="14" fontId="54" fillId="14" borderId="23" xfId="0" applyNumberFormat="1" applyFont="1" applyFill="1" applyBorder="1" applyAlignment="1">
      <alignment horizontal="center" vertical="center"/>
    </xf>
    <xf numFmtId="0" fontId="54" fillId="14" borderId="26" xfId="0" applyFont="1" applyFill="1" applyBorder="1" applyAlignment="1">
      <alignment horizontal="center" vertical="center"/>
    </xf>
    <xf numFmtId="0" fontId="21" fillId="18" borderId="25" xfId="0" applyFont="1" applyFill="1" applyBorder="1" applyAlignment="1">
      <alignment horizontal="center" vertical="center"/>
    </xf>
    <xf numFmtId="0" fontId="21" fillId="19" borderId="25" xfId="0" applyFont="1" applyFill="1" applyBorder="1" applyAlignment="1">
      <alignment horizontal="center" vertical="center"/>
    </xf>
    <xf numFmtId="14" fontId="54" fillId="19" borderId="13" xfId="0" applyNumberFormat="1" applyFont="1" applyFill="1" applyBorder="1" applyAlignment="1">
      <alignment horizontal="center" vertical="center"/>
    </xf>
    <xf numFmtId="2" fontId="54" fillId="19" borderId="36" xfId="7" applyNumberFormat="1" applyFont="1" applyFill="1" applyBorder="1" applyAlignment="1">
      <alignment horizontal="center" vertical="center" wrapText="1"/>
    </xf>
    <xf numFmtId="14" fontId="54" fillId="19" borderId="11" xfId="7" applyNumberFormat="1" applyFont="1" applyFill="1" applyBorder="1" applyAlignment="1">
      <alignment horizontal="center" vertical="center" wrapText="1"/>
    </xf>
    <xf numFmtId="2" fontId="54" fillId="19" borderId="9" xfId="7" applyNumberFormat="1" applyFont="1" applyFill="1" applyBorder="1" applyAlignment="1">
      <alignment horizontal="center" vertical="center" wrapText="1"/>
    </xf>
    <xf numFmtId="0" fontId="54" fillId="19" borderId="11" xfId="7" applyNumberFormat="1" applyFont="1" applyFill="1" applyBorder="1" applyAlignment="1">
      <alignment horizontal="center" vertical="center" wrapText="1"/>
    </xf>
    <xf numFmtId="0" fontId="54" fillId="19" borderId="11" xfId="0" applyFont="1" applyFill="1" applyBorder="1" applyAlignment="1">
      <alignment horizontal="center" vertical="center"/>
    </xf>
    <xf numFmtId="2" fontId="54" fillId="19" borderId="7" xfId="7" applyNumberFormat="1" applyFont="1" applyFill="1" applyBorder="1" applyAlignment="1">
      <alignment horizontal="center" vertical="center" wrapText="1"/>
    </xf>
    <xf numFmtId="0" fontId="54" fillId="19" borderId="13" xfId="0" applyFont="1" applyFill="1" applyBorder="1" applyAlignment="1">
      <alignment horizontal="center" vertical="center"/>
    </xf>
    <xf numFmtId="2" fontId="54" fillId="19" borderId="3" xfId="7" applyNumberFormat="1" applyFont="1" applyFill="1" applyBorder="1" applyAlignment="1">
      <alignment horizontal="center" vertical="center" wrapText="1"/>
    </xf>
    <xf numFmtId="2" fontId="54" fillId="19" borderId="0" xfId="7" applyNumberFormat="1" applyFont="1" applyFill="1" applyBorder="1" applyAlignment="1">
      <alignment horizontal="center" vertical="center" wrapText="1"/>
    </xf>
    <xf numFmtId="49" fontId="20" fillId="0" borderId="23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6" fontId="20" fillId="0" borderId="18" xfId="0" applyNumberFormat="1" applyFont="1" applyBorder="1" applyAlignment="1">
      <alignment horizontal="left" vertical="center"/>
    </xf>
    <xf numFmtId="166" fontId="20" fillId="0" borderId="20" xfId="0" applyNumberFormat="1" applyFont="1" applyBorder="1" applyAlignment="1">
      <alignment horizontal="left" vertical="center" wrapText="1"/>
    </xf>
    <xf numFmtId="49" fontId="20" fillId="0" borderId="23" xfId="0" applyNumberFormat="1" applyFont="1" applyBorder="1" applyAlignment="1">
      <alignment vertical="center"/>
    </xf>
    <xf numFmtId="49" fontId="20" fillId="0" borderId="0" xfId="0" applyNumberFormat="1" applyFont="1" applyAlignment="1">
      <alignment vertical="center"/>
    </xf>
    <xf numFmtId="166" fontId="20" fillId="0" borderId="19" xfId="0" applyNumberFormat="1" applyFont="1" applyBorder="1" applyAlignment="1">
      <alignment horizontal="left" vertical="center" wrapText="1"/>
    </xf>
    <xf numFmtId="166" fontId="20" fillId="0" borderId="20" xfId="0" applyNumberFormat="1" applyFont="1" applyBorder="1" applyAlignment="1">
      <alignment horizontal="left" vertical="center"/>
    </xf>
    <xf numFmtId="166" fontId="20" fillId="0" borderId="18" xfId="0" applyNumberFormat="1" applyFont="1" applyBorder="1" applyAlignment="1">
      <alignment horizontal="left" vertical="center" wrapText="1"/>
    </xf>
    <xf numFmtId="49" fontId="20" fillId="0" borderId="10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>
      <alignment horizontal="center" vertical="center"/>
    </xf>
    <xf numFmtId="166" fontId="20" fillId="0" borderId="19" xfId="0" applyNumberFormat="1" applyFont="1" applyBorder="1" applyAlignment="1">
      <alignment horizontal="left" vertical="center"/>
    </xf>
    <xf numFmtId="14" fontId="54" fillId="14" borderId="2" xfId="0" applyNumberFormat="1" applyFont="1" applyFill="1" applyBorder="1" applyAlignment="1">
      <alignment horizontal="center" vertical="center"/>
    </xf>
    <xf numFmtId="14" fontId="54" fillId="14" borderId="4" xfId="0" applyNumberFormat="1" applyFont="1" applyFill="1" applyBorder="1" applyAlignment="1">
      <alignment horizontal="center" vertical="center"/>
    </xf>
    <xf numFmtId="2" fontId="54" fillId="19" borderId="23" xfId="7" applyNumberFormat="1" applyFont="1" applyFill="1" applyBorder="1" applyAlignment="1">
      <alignment horizontal="center" vertical="center" wrapText="1"/>
    </xf>
    <xf numFmtId="0" fontId="54" fillId="19" borderId="8" xfId="0" applyFont="1" applyFill="1" applyBorder="1" applyAlignment="1">
      <alignment horizontal="center" vertical="center"/>
    </xf>
    <xf numFmtId="14" fontId="54" fillId="19" borderId="18" xfId="0" applyNumberFormat="1" applyFont="1" applyFill="1" applyBorder="1" applyAlignment="1">
      <alignment horizontal="center" vertical="center"/>
    </xf>
    <xf numFmtId="14" fontId="54" fillId="19" borderId="20" xfId="0" applyNumberFormat="1" applyFont="1" applyFill="1" applyBorder="1" applyAlignment="1">
      <alignment horizontal="center" vertical="center"/>
    </xf>
    <xf numFmtId="0" fontId="54" fillId="14" borderId="10" xfId="0" applyFont="1" applyFill="1" applyBorder="1" applyAlignment="1">
      <alignment horizontal="center" vertical="center"/>
    </xf>
    <xf numFmtId="2" fontId="54" fillId="14" borderId="23" xfId="7" applyNumberFormat="1" applyFont="1" applyFill="1" applyBorder="1" applyAlignment="1">
      <alignment horizontal="center" vertical="center" wrapText="1"/>
    </xf>
    <xf numFmtId="0" fontId="54" fillId="14" borderId="20" xfId="0" applyFont="1" applyFill="1" applyBorder="1" applyAlignment="1">
      <alignment horizontal="center" vertical="center"/>
    </xf>
    <xf numFmtId="0" fontId="54" fillId="14" borderId="4" xfId="0" applyFont="1" applyFill="1" applyBorder="1" applyAlignment="1">
      <alignment horizontal="center" vertical="center"/>
    </xf>
    <xf numFmtId="0" fontId="54" fillId="14" borderId="30" xfId="0" applyFont="1" applyFill="1" applyBorder="1" applyAlignment="1">
      <alignment horizontal="center" vertical="center"/>
    </xf>
    <xf numFmtId="14" fontId="54" fillId="15" borderId="2" xfId="0" applyNumberFormat="1" applyFont="1" applyFill="1" applyBorder="1" applyAlignment="1">
      <alignment horizontal="center" vertical="center"/>
    </xf>
    <xf numFmtId="2" fontId="54" fillId="19" borderId="26" xfId="7" applyNumberFormat="1" applyFont="1" applyFill="1" applyBorder="1" applyAlignment="1">
      <alignment horizontal="center" vertical="center" wrapText="1"/>
    </xf>
    <xf numFmtId="14" fontId="54" fillId="19" borderId="19" xfId="0" applyNumberFormat="1" applyFont="1" applyFill="1" applyBorder="1" applyAlignment="1">
      <alignment horizontal="center" vertical="center"/>
    </xf>
    <xf numFmtId="14" fontId="54" fillId="14" borderId="5" xfId="0" applyNumberFormat="1" applyFont="1" applyFill="1" applyBorder="1" applyAlignment="1">
      <alignment horizontal="center" vertical="center"/>
    </xf>
    <xf numFmtId="14" fontId="54" fillId="14" borderId="57" xfId="0" applyNumberFormat="1" applyFont="1" applyFill="1" applyBorder="1" applyAlignment="1">
      <alignment horizontal="center" vertical="center"/>
    </xf>
    <xf numFmtId="2" fontId="54" fillId="19" borderId="28" xfId="7" applyNumberFormat="1" applyFont="1" applyFill="1" applyBorder="1" applyAlignment="1">
      <alignment horizontal="center" vertical="center" wrapText="1"/>
    </xf>
    <xf numFmtId="2" fontId="54" fillId="19" borderId="22" xfId="7" applyNumberFormat="1" applyFont="1" applyFill="1" applyBorder="1" applyAlignment="1">
      <alignment horizontal="center" vertical="center" wrapText="1"/>
    </xf>
    <xf numFmtId="2" fontId="54" fillId="19" borderId="35" xfId="7" applyNumberFormat="1" applyFont="1" applyFill="1" applyBorder="1" applyAlignment="1">
      <alignment horizontal="center" vertical="center" wrapText="1"/>
    </xf>
    <xf numFmtId="2" fontId="54" fillId="19" borderId="29" xfId="7" applyNumberFormat="1" applyFont="1" applyFill="1" applyBorder="1" applyAlignment="1">
      <alignment horizontal="center" vertical="center" wrapText="1"/>
    </xf>
    <xf numFmtId="0" fontId="54" fillId="19" borderId="20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2" fontId="54" fillId="14" borderId="2" xfId="7" applyNumberFormat="1" applyFont="1" applyFill="1" applyBorder="1" applyAlignment="1">
      <alignment horizontal="center" vertical="center" wrapText="1"/>
    </xf>
    <xf numFmtId="2" fontId="54" fillId="14" borderId="30" xfId="7" applyNumberFormat="1" applyFont="1" applyFill="1" applyBorder="1" applyAlignment="1">
      <alignment horizontal="center" vertical="center" wrapText="1"/>
    </xf>
    <xf numFmtId="2" fontId="54" fillId="14" borderId="58" xfId="7" applyNumberFormat="1" applyFont="1" applyFill="1" applyBorder="1" applyAlignment="1">
      <alignment horizontal="center" vertical="center" wrapText="1"/>
    </xf>
    <xf numFmtId="2" fontId="54" fillId="14" borderId="4" xfId="7" applyNumberFormat="1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53" fillId="18" borderId="18" xfId="7" applyNumberFormat="1" applyFont="1" applyFill="1" applyBorder="1" applyAlignment="1">
      <alignment horizontal="center" vertical="center" wrapText="1"/>
    </xf>
    <xf numFmtId="0" fontId="53" fillId="18" borderId="19" xfId="7" applyNumberFormat="1" applyFont="1" applyFill="1" applyBorder="1" applyAlignment="1">
      <alignment horizontal="center" vertical="center" wrapText="1"/>
    </xf>
    <xf numFmtId="14" fontId="54" fillId="18" borderId="40" xfId="7" applyNumberFormat="1" applyFont="1" applyFill="1" applyBorder="1" applyAlignment="1">
      <alignment horizontal="center" vertical="center" wrapText="1"/>
    </xf>
    <xf numFmtId="14" fontId="54" fillId="18" borderId="41" xfId="7" applyNumberFormat="1" applyFont="1" applyFill="1" applyBorder="1" applyAlignment="1">
      <alignment horizontal="center" vertical="center" wrapText="1"/>
    </xf>
    <xf numFmtId="14" fontId="54" fillId="18" borderId="19" xfId="0" applyNumberFormat="1" applyFont="1" applyFill="1" applyBorder="1" applyAlignment="1">
      <alignment horizontal="center" vertical="center"/>
    </xf>
    <xf numFmtId="0" fontId="54" fillId="18" borderId="19" xfId="0" applyFont="1" applyFill="1" applyBorder="1" applyAlignment="1">
      <alignment horizontal="center" vertical="center"/>
    </xf>
    <xf numFmtId="14" fontId="54" fillId="18" borderId="2" xfId="0" applyNumberFormat="1" applyFont="1" applyFill="1" applyBorder="1" applyAlignment="1">
      <alignment horizontal="center" vertical="center"/>
    </xf>
    <xf numFmtId="0" fontId="54" fillId="18" borderId="4" xfId="0" applyFont="1" applyFill="1" applyBorder="1" applyAlignment="1">
      <alignment horizontal="center" vertical="center"/>
    </xf>
    <xf numFmtId="0" fontId="54" fillId="18" borderId="20" xfId="0" applyFont="1" applyFill="1" applyBorder="1" applyAlignment="1">
      <alignment horizontal="center" vertical="center"/>
    </xf>
    <xf numFmtId="0" fontId="54" fillId="18" borderId="19" xfId="7" applyNumberFormat="1" applyFont="1" applyFill="1" applyBorder="1" applyAlignment="1">
      <alignment horizontal="center" vertical="center" wrapText="1"/>
    </xf>
    <xf numFmtId="14" fontId="54" fillId="0" borderId="6" xfId="7" applyNumberFormat="1" applyFont="1" applyFill="1" applyBorder="1" applyAlignment="1">
      <alignment horizontal="center" vertical="center" wrapText="1"/>
    </xf>
    <xf numFmtId="0" fontId="54" fillId="0" borderId="8" xfId="7" applyNumberFormat="1" applyFont="1" applyFill="1" applyBorder="1" applyAlignment="1">
      <alignment horizontal="center" vertical="center" wrapText="1"/>
    </xf>
    <xf numFmtId="0" fontId="54" fillId="0" borderId="11" xfId="7" applyNumberFormat="1" applyFont="1" applyFill="1" applyBorder="1" applyAlignment="1">
      <alignment horizontal="center" vertical="center" wrapText="1"/>
    </xf>
    <xf numFmtId="2" fontId="54" fillId="0" borderId="23" xfId="7" applyNumberFormat="1" applyFont="1" applyFill="1" applyBorder="1" applyAlignment="1">
      <alignment horizontal="center" vertical="center" wrapText="1"/>
    </xf>
    <xf numFmtId="2" fontId="54" fillId="0" borderId="10" xfId="7" applyNumberFormat="1" applyFont="1" applyFill="1" applyBorder="1" applyAlignment="1">
      <alignment horizontal="center" vertical="center" wrapText="1"/>
    </xf>
    <xf numFmtId="2" fontId="54" fillId="0" borderId="0" xfId="7" applyNumberFormat="1" applyFont="1" applyFill="1" applyBorder="1" applyAlignment="1">
      <alignment horizontal="center" vertical="center" wrapText="1"/>
    </xf>
    <xf numFmtId="2" fontId="54" fillId="0" borderId="18" xfId="7" applyNumberFormat="1" applyFont="1" applyFill="1" applyBorder="1" applyAlignment="1">
      <alignment horizontal="center" vertical="center" wrapText="1"/>
    </xf>
    <xf numFmtId="2" fontId="54" fillId="0" borderId="20" xfId="7" applyNumberFormat="1" applyFont="1" applyFill="1" applyBorder="1" applyAlignment="1">
      <alignment horizontal="center" vertical="center" wrapText="1"/>
    </xf>
    <xf numFmtId="2" fontId="54" fillId="0" borderId="38" xfId="7" applyNumberFormat="1" applyFont="1" applyFill="1" applyBorder="1" applyAlignment="1">
      <alignment horizontal="center" vertical="center" wrapText="1"/>
    </xf>
    <xf numFmtId="2" fontId="54" fillId="0" borderId="3" xfId="7" applyNumberFormat="1" applyFont="1" applyFill="1" applyBorder="1" applyAlignment="1">
      <alignment horizontal="center" vertical="center" wrapText="1"/>
    </xf>
    <xf numFmtId="2" fontId="54" fillId="0" borderId="59" xfId="7" applyNumberFormat="1" applyFont="1" applyFill="1" applyBorder="1" applyAlignment="1">
      <alignment horizontal="center" vertical="center" wrapText="1"/>
    </xf>
    <xf numFmtId="0" fontId="21" fillId="18" borderId="38" xfId="0" applyFont="1" applyFill="1" applyBorder="1" applyAlignment="1">
      <alignment horizontal="center" vertical="center"/>
    </xf>
    <xf numFmtId="0" fontId="53" fillId="18" borderId="3" xfId="7" applyNumberFormat="1" applyFont="1" applyFill="1" applyBorder="1" applyAlignment="1">
      <alignment horizontal="center" vertical="center" wrapText="1"/>
    </xf>
    <xf numFmtId="0" fontId="53" fillId="18" borderId="0" xfId="7" applyNumberFormat="1" applyFont="1" applyFill="1" applyBorder="1" applyAlignment="1">
      <alignment horizontal="center" vertical="center" wrapText="1"/>
    </xf>
    <xf numFmtId="14" fontId="54" fillId="18" borderId="23" xfId="7" applyNumberFormat="1" applyFont="1" applyFill="1" applyBorder="1" applyAlignment="1">
      <alignment horizontal="center" vertical="center" wrapText="1"/>
    </xf>
    <xf numFmtId="14" fontId="54" fillId="18" borderId="10" xfId="7" applyNumberFormat="1" applyFont="1" applyFill="1" applyBorder="1" applyAlignment="1">
      <alignment horizontal="center" vertical="center" wrapText="1"/>
    </xf>
    <xf numFmtId="14" fontId="54" fillId="18" borderId="0" xfId="0" applyNumberFormat="1" applyFont="1" applyFill="1" applyAlignment="1">
      <alignment horizontal="center" vertical="center"/>
    </xf>
    <xf numFmtId="0" fontId="54" fillId="18" borderId="0" xfId="7" applyNumberFormat="1" applyFont="1" applyFill="1" applyBorder="1" applyAlignment="1">
      <alignment horizontal="center" vertical="center" wrapText="1"/>
    </xf>
    <xf numFmtId="0" fontId="54" fillId="18" borderId="0" xfId="0" applyFont="1" applyFill="1" applyAlignment="1">
      <alignment horizontal="center" vertical="center"/>
    </xf>
    <xf numFmtId="14" fontId="54" fillId="18" borderId="23" xfId="0" applyNumberFormat="1" applyFont="1" applyFill="1" applyBorder="1" applyAlignment="1">
      <alignment horizontal="center" vertical="center"/>
    </xf>
    <xf numFmtId="14" fontId="54" fillId="18" borderId="28" xfId="0" applyNumberFormat="1" applyFont="1" applyFill="1" applyBorder="1" applyAlignment="1">
      <alignment horizontal="center" vertical="center"/>
    </xf>
    <xf numFmtId="0" fontId="54" fillId="18" borderId="22" xfId="0" applyFont="1" applyFill="1" applyBorder="1" applyAlignment="1">
      <alignment horizontal="center" vertical="center"/>
    </xf>
    <xf numFmtId="14" fontId="54" fillId="18" borderId="3" xfId="0" applyNumberFormat="1" applyFont="1" applyFill="1" applyBorder="1" applyAlignment="1">
      <alignment horizontal="center" vertical="center"/>
    </xf>
    <xf numFmtId="0" fontId="54" fillId="18" borderId="26" xfId="0" applyFont="1" applyFill="1" applyBorder="1" applyAlignment="1">
      <alignment horizontal="center" vertical="center"/>
    </xf>
    <xf numFmtId="0" fontId="54" fillId="18" borderId="3" xfId="0" applyFont="1" applyFill="1" applyBorder="1" applyAlignment="1">
      <alignment horizontal="center" vertical="center"/>
    </xf>
    <xf numFmtId="14" fontId="54" fillId="20" borderId="19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4" fontId="54" fillId="20" borderId="13" xfId="0" applyNumberFormat="1" applyFont="1" applyFill="1" applyBorder="1" applyAlignment="1">
      <alignment horizontal="center" vertical="center"/>
    </xf>
    <xf numFmtId="14" fontId="54" fillId="20" borderId="40" xfId="7" applyNumberFormat="1" applyFont="1" applyFill="1" applyBorder="1" applyAlignment="1">
      <alignment horizontal="center" vertical="center" wrapText="1"/>
    </xf>
    <xf numFmtId="14" fontId="54" fillId="21" borderId="40" xfId="7" applyNumberFormat="1" applyFont="1" applyFill="1" applyBorder="1" applyAlignment="1">
      <alignment horizontal="center" vertical="center" wrapText="1"/>
    </xf>
    <xf numFmtId="14" fontId="54" fillId="20" borderId="18" xfId="0" applyNumberFormat="1" applyFont="1" applyFill="1" applyBorder="1" applyAlignment="1">
      <alignment horizontal="center" vertical="center"/>
    </xf>
    <xf numFmtId="49" fontId="20" fillId="20" borderId="39" xfId="0" applyNumberFormat="1" applyFont="1" applyFill="1" applyBorder="1" applyAlignment="1">
      <alignment horizontal="center" vertical="center"/>
    </xf>
    <xf numFmtId="0" fontId="21" fillId="22" borderId="48" xfId="7" applyNumberFormat="1" applyFont="1" applyFill="1" applyBorder="1" applyAlignment="1">
      <alignment horizontal="center" vertical="center"/>
    </xf>
    <xf numFmtId="0" fontId="21" fillId="22" borderId="27" xfId="7" applyNumberFormat="1" applyFont="1" applyFill="1" applyBorder="1" applyAlignment="1">
      <alignment horizontal="center" vertical="center" wrapText="1"/>
    </xf>
    <xf numFmtId="14" fontId="20" fillId="19" borderId="13" xfId="0" applyNumberFormat="1" applyFont="1" applyFill="1" applyBorder="1" applyAlignment="1">
      <alignment horizontal="center" vertical="center"/>
    </xf>
    <xf numFmtId="2" fontId="20" fillId="19" borderId="36" xfId="7" applyNumberFormat="1" applyFont="1" applyFill="1" applyBorder="1" applyAlignment="1">
      <alignment horizontal="center" vertical="center" wrapText="1"/>
    </xf>
    <xf numFmtId="2" fontId="20" fillId="15" borderId="25" xfId="7" applyNumberFormat="1" applyFont="1" applyFill="1" applyBorder="1" applyAlignment="1">
      <alignment horizontal="center" vertical="center" wrapText="1"/>
    </xf>
    <xf numFmtId="0" fontId="20" fillId="19" borderId="13" xfId="0" applyFont="1" applyFill="1" applyBorder="1" applyAlignment="1">
      <alignment horizontal="center" vertical="center"/>
    </xf>
    <xf numFmtId="14" fontId="20" fillId="19" borderId="18" xfId="0" applyNumberFormat="1" applyFont="1" applyFill="1" applyBorder="1" applyAlignment="1">
      <alignment horizontal="center" vertical="center"/>
    </xf>
    <xf numFmtId="2" fontId="20" fillId="19" borderId="23" xfId="7" applyNumberFormat="1" applyFont="1" applyFill="1" applyBorder="1" applyAlignment="1">
      <alignment horizontal="center" vertical="center" wrapText="1"/>
    </xf>
    <xf numFmtId="2" fontId="20" fillId="19" borderId="3" xfId="7" applyNumberFormat="1" applyFont="1" applyFill="1" applyBorder="1" applyAlignment="1">
      <alignment horizontal="center" vertical="center" wrapText="1"/>
    </xf>
    <xf numFmtId="2" fontId="20" fillId="19" borderId="0" xfId="7" applyNumberFormat="1" applyFont="1" applyFill="1" applyBorder="1" applyAlignment="1">
      <alignment horizontal="center" vertical="center" wrapText="1"/>
    </xf>
    <xf numFmtId="1" fontId="20" fillId="14" borderId="25" xfId="7" applyNumberFormat="1" applyFont="1" applyFill="1" applyBorder="1" applyAlignment="1">
      <alignment horizontal="center" vertical="center" wrapText="1"/>
    </xf>
    <xf numFmtId="1" fontId="46" fillId="0" borderId="25" xfId="0" applyNumberFormat="1" applyFont="1" applyBorder="1" applyAlignment="1">
      <alignment horizontal="center" vertical="center"/>
    </xf>
    <xf numFmtId="0" fontId="46" fillId="0" borderId="0" xfId="0" applyFont="1"/>
    <xf numFmtId="1" fontId="20" fillId="14" borderId="25" xfId="0" applyNumberFormat="1" applyFont="1" applyFill="1" applyBorder="1" applyAlignment="1">
      <alignment horizontal="center" vertical="center"/>
    </xf>
    <xf numFmtId="14" fontId="20" fillId="0" borderId="25" xfId="0" applyNumberFormat="1" applyFont="1" applyBorder="1" applyAlignment="1">
      <alignment horizontal="center" vertical="center"/>
    </xf>
    <xf numFmtId="0" fontId="52" fillId="22" borderId="18" xfId="0" applyFont="1" applyFill="1" applyBorder="1" applyAlignment="1">
      <alignment horizontal="center" vertical="center" wrapText="1"/>
    </xf>
    <xf numFmtId="0" fontId="21" fillId="14" borderId="18" xfId="0" applyFont="1" applyFill="1" applyBorder="1" applyAlignment="1">
      <alignment horizontal="center" vertical="center" wrapText="1"/>
    </xf>
    <xf numFmtId="2" fontId="20" fillId="14" borderId="25" xfId="7" applyNumberFormat="1" applyFont="1" applyFill="1" applyBorder="1" applyAlignment="1">
      <alignment horizontal="center" vertical="center" wrapText="1"/>
    </xf>
    <xf numFmtId="14" fontId="20" fillId="15" borderId="25" xfId="0" applyNumberFormat="1" applyFont="1" applyFill="1" applyBorder="1" applyAlignment="1">
      <alignment horizontal="center" vertical="center"/>
    </xf>
    <xf numFmtId="14" fontId="20" fillId="18" borderId="25" xfId="7" applyNumberFormat="1" applyFont="1" applyFill="1" applyBorder="1" applyAlignment="1">
      <alignment horizontal="center" vertical="center" wrapText="1"/>
    </xf>
    <xf numFmtId="14" fontId="20" fillId="18" borderId="25" xfId="0" applyNumberFormat="1" applyFont="1" applyFill="1" applyBorder="1" applyAlignment="1">
      <alignment horizontal="center" vertical="center"/>
    </xf>
    <xf numFmtId="14" fontId="20" fillId="21" borderId="25" xfId="7" applyNumberFormat="1" applyFont="1" applyFill="1" applyBorder="1" applyAlignment="1">
      <alignment horizontal="center" vertical="center" wrapText="1"/>
    </xf>
    <xf numFmtId="14" fontId="20" fillId="20" borderId="25" xfId="0" applyNumberFormat="1" applyFont="1" applyFill="1" applyBorder="1" applyAlignment="1">
      <alignment horizontal="center" vertical="center"/>
    </xf>
    <xf numFmtId="14" fontId="20" fillId="20" borderId="25" xfId="7" applyNumberFormat="1" applyFont="1" applyFill="1" applyBorder="1" applyAlignment="1">
      <alignment horizontal="center" vertical="center" wrapText="1"/>
    </xf>
    <xf numFmtId="0" fontId="20" fillId="18" borderId="25" xfId="0" applyFont="1" applyFill="1" applyBorder="1" applyAlignment="1">
      <alignment horizontal="center" vertical="center"/>
    </xf>
    <xf numFmtId="166" fontId="21" fillId="0" borderId="18" xfId="0" applyNumberFormat="1" applyFont="1" applyBorder="1" applyAlignment="1">
      <alignment horizontal="left" vertical="center"/>
    </xf>
    <xf numFmtId="49" fontId="21" fillId="0" borderId="39" xfId="0" applyNumberFormat="1" applyFont="1" applyBorder="1" applyAlignment="1">
      <alignment horizontal="center" vertical="center"/>
    </xf>
    <xf numFmtId="14" fontId="21" fillId="19" borderId="18" xfId="0" applyNumberFormat="1" applyFont="1" applyFill="1" applyBorder="1" applyAlignment="1">
      <alignment horizontal="center" vertical="center"/>
    </xf>
    <xf numFmtId="2" fontId="21" fillId="19" borderId="23" xfId="7" applyNumberFormat="1" applyFont="1" applyFill="1" applyBorder="1" applyAlignment="1">
      <alignment horizontal="center" vertical="center" wrapText="1"/>
    </xf>
    <xf numFmtId="2" fontId="21" fillId="15" borderId="25" xfId="7" applyNumberFormat="1" applyFont="1" applyFill="1" applyBorder="1" applyAlignment="1">
      <alignment horizontal="center" vertical="center" wrapText="1"/>
    </xf>
    <xf numFmtId="14" fontId="21" fillId="0" borderId="25" xfId="0" applyNumberFormat="1" applyFont="1" applyBorder="1" applyAlignment="1">
      <alignment horizontal="center" vertical="center"/>
    </xf>
    <xf numFmtId="2" fontId="21" fillId="14" borderId="25" xfId="7" applyNumberFormat="1" applyFont="1" applyFill="1" applyBorder="1" applyAlignment="1">
      <alignment horizontal="center" vertical="center" wrapText="1"/>
    </xf>
    <xf numFmtId="1" fontId="21" fillId="14" borderId="25" xfId="7" applyNumberFormat="1" applyFont="1" applyFill="1" applyBorder="1" applyAlignment="1">
      <alignment horizontal="center" vertical="center" wrapText="1"/>
    </xf>
    <xf numFmtId="14" fontId="21" fillId="21" borderId="25" xfId="7" applyNumberFormat="1" applyFont="1" applyFill="1" applyBorder="1" applyAlignment="1">
      <alignment horizontal="center" vertical="center" wrapText="1"/>
    </xf>
    <xf numFmtId="14" fontId="21" fillId="18" borderId="25" xfId="0" applyNumberFormat="1" applyFont="1" applyFill="1" applyBorder="1" applyAlignment="1">
      <alignment horizontal="center" vertical="center"/>
    </xf>
    <xf numFmtId="1" fontId="52" fillId="0" borderId="25" xfId="0" applyNumberFormat="1" applyFont="1" applyBorder="1" applyAlignment="1">
      <alignment horizontal="center" vertical="center"/>
    </xf>
    <xf numFmtId="1" fontId="21" fillId="14" borderId="25" xfId="0" applyNumberFormat="1" applyFont="1" applyFill="1" applyBorder="1" applyAlignment="1">
      <alignment horizontal="center" vertical="center"/>
    </xf>
    <xf numFmtId="49" fontId="21" fillId="0" borderId="40" xfId="0" applyNumberFormat="1" applyFont="1" applyBorder="1" applyAlignment="1">
      <alignment horizontal="center" vertical="center" wrapText="1"/>
    </xf>
    <xf numFmtId="14" fontId="21" fillId="19" borderId="13" xfId="0" applyNumberFormat="1" applyFont="1" applyFill="1" applyBorder="1" applyAlignment="1">
      <alignment horizontal="center" vertical="center"/>
    </xf>
    <xf numFmtId="2" fontId="21" fillId="19" borderId="36" xfId="7" applyNumberFormat="1" applyFont="1" applyFill="1" applyBorder="1" applyAlignment="1">
      <alignment horizontal="center" vertical="center" wrapText="1"/>
    </xf>
    <xf numFmtId="14" fontId="21" fillId="15" borderId="25" xfId="0" applyNumberFormat="1" applyFont="1" applyFill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49" fontId="21" fillId="0" borderId="4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5" fillId="11" borderId="25" xfId="0" applyFont="1" applyFill="1" applyBorder="1" applyAlignment="1">
      <alignment horizontal="center" vertical="center"/>
    </xf>
    <xf numFmtId="14" fontId="29" fillId="0" borderId="25" xfId="0" applyNumberFormat="1" applyFont="1" applyBorder="1" applyAlignment="1">
      <alignment vertical="center"/>
    </xf>
    <xf numFmtId="1" fontId="29" fillId="0" borderId="25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14" fontId="55" fillId="0" borderId="25" xfId="0" applyNumberFormat="1" applyFont="1" applyBorder="1" applyAlignment="1">
      <alignment vertical="center"/>
    </xf>
    <xf numFmtId="1" fontId="55" fillId="0" borderId="25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vertical="center"/>
    </xf>
    <xf numFmtId="0" fontId="55" fillId="0" borderId="25" xfId="0" applyFont="1" applyBorder="1" applyAlignment="1">
      <alignment vertical="center"/>
    </xf>
    <xf numFmtId="0" fontId="29" fillId="0" borderId="25" xfId="0" applyFont="1" applyBorder="1" applyAlignment="1">
      <alignment horizontal="center" vertical="center"/>
    </xf>
    <xf numFmtId="0" fontId="34" fillId="23" borderId="73" xfId="7" applyNumberFormat="1" applyFont="1" applyFill="1" applyBorder="1" applyAlignment="1"/>
    <xf numFmtId="0" fontId="32" fillId="23" borderId="20" xfId="0" applyFont="1" applyFill="1" applyBorder="1"/>
    <xf numFmtId="0" fontId="32" fillId="23" borderId="20" xfId="0" applyFont="1" applyFill="1" applyBorder="1" applyAlignment="1">
      <alignment horizontal="center"/>
    </xf>
    <xf numFmtId="0" fontId="29" fillId="0" borderId="25" xfId="2" applyFont="1" applyBorder="1" applyAlignment="1">
      <alignment horizontal="right" vertical="center"/>
    </xf>
    <xf numFmtId="166" fontId="29" fillId="0" borderId="25" xfId="2" applyNumberFormat="1" applyFont="1" applyBorder="1" applyAlignment="1">
      <alignment vertical="center"/>
    </xf>
    <xf numFmtId="0" fontId="29" fillId="0" borderId="25" xfId="7" applyNumberFormat="1" applyFont="1" applyFill="1" applyBorder="1" applyAlignment="1">
      <alignment vertical="center"/>
    </xf>
    <xf numFmtId="0" fontId="56" fillId="0" borderId="0" xfId="0" applyFont="1"/>
    <xf numFmtId="14" fontId="35" fillId="0" borderId="0" xfId="7" applyNumberFormat="1" applyFont="1" applyFill="1" applyBorder="1" applyAlignment="1">
      <alignment horizontal="center" vertical="center" wrapText="1"/>
    </xf>
    <xf numFmtId="14" fontId="57" fillId="0" borderId="0" xfId="2" applyNumberFormat="1" applyFont="1" applyAlignment="1">
      <alignment horizontal="center"/>
    </xf>
    <xf numFmtId="1" fontId="57" fillId="0" borderId="0" xfId="2" applyNumberFormat="1" applyFont="1" applyAlignment="1">
      <alignment horizontal="center"/>
    </xf>
    <xf numFmtId="0" fontId="56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2" fontId="21" fillId="19" borderId="55" xfId="7" applyNumberFormat="1" applyFont="1" applyFill="1" applyBorder="1" applyAlignment="1">
      <alignment horizontal="center" vertical="center" wrapText="1"/>
    </xf>
    <xf numFmtId="14" fontId="20" fillId="14" borderId="25" xfId="7" applyNumberFormat="1" applyFont="1" applyFill="1" applyBorder="1" applyAlignment="1">
      <alignment horizontal="center" vertical="center" wrapText="1"/>
    </xf>
    <xf numFmtId="14" fontId="20" fillId="14" borderId="25" xfId="0" applyNumberFormat="1" applyFont="1" applyFill="1" applyBorder="1" applyAlignment="1">
      <alignment horizontal="center" vertical="center"/>
    </xf>
    <xf numFmtId="14" fontId="21" fillId="14" borderId="25" xfId="0" applyNumberFormat="1" applyFont="1" applyFill="1" applyBorder="1" applyAlignment="1">
      <alignment horizontal="center" vertical="center"/>
    </xf>
    <xf numFmtId="49" fontId="20" fillId="20" borderId="25" xfId="0" applyNumberFormat="1" applyFont="1" applyFill="1" applyBorder="1" applyAlignment="1">
      <alignment horizontal="center" vertical="center"/>
    </xf>
    <xf numFmtId="0" fontId="21" fillId="19" borderId="59" xfId="0" applyFont="1" applyFill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17" borderId="111" xfId="0" applyFont="1" applyFill="1" applyBorder="1" applyAlignment="1">
      <alignment horizontal="left" vertical="center"/>
    </xf>
    <xf numFmtId="0" fontId="21" fillId="17" borderId="59" xfId="0" applyFont="1" applyFill="1" applyBorder="1" applyAlignment="1">
      <alignment vertical="center"/>
    </xf>
    <xf numFmtId="0" fontId="21" fillId="17" borderId="112" xfId="0" applyFont="1" applyFill="1" applyBorder="1" applyAlignment="1">
      <alignment vertical="center"/>
    </xf>
    <xf numFmtId="0" fontId="21" fillId="17" borderId="113" xfId="0" applyFont="1" applyFill="1" applyBorder="1" applyAlignment="1">
      <alignment vertical="center"/>
    </xf>
    <xf numFmtId="0" fontId="21" fillId="18" borderId="114" xfId="0" applyFont="1" applyFill="1" applyBorder="1" applyAlignment="1">
      <alignment vertical="center"/>
    </xf>
    <xf numFmtId="0" fontId="24" fillId="18" borderId="26" xfId="0" applyFont="1" applyFill="1" applyBorder="1" applyAlignment="1">
      <alignment horizontal="left" vertical="center"/>
    </xf>
    <xf numFmtId="0" fontId="24" fillId="17" borderId="55" xfId="0" applyFont="1" applyFill="1" applyBorder="1" applyAlignment="1">
      <alignment horizontal="left" vertical="center"/>
    </xf>
    <xf numFmtId="0" fontId="24" fillId="19" borderId="55" xfId="0" applyFont="1" applyFill="1" applyBorder="1" applyAlignment="1">
      <alignment horizontal="left" vertical="center"/>
    </xf>
    <xf numFmtId="0" fontId="21" fillId="18" borderId="28" xfId="7" applyNumberFormat="1" applyFont="1" applyFill="1" applyBorder="1" applyAlignment="1">
      <alignment horizontal="center" vertical="center" wrapText="1"/>
    </xf>
    <xf numFmtId="0" fontId="21" fillId="18" borderId="3" xfId="7" applyNumberFormat="1" applyFont="1" applyFill="1" applyBorder="1" applyAlignment="1">
      <alignment horizontal="center" vertical="center" wrapText="1"/>
    </xf>
    <xf numFmtId="0" fontId="21" fillId="19" borderId="16" xfId="7" applyNumberFormat="1" applyFont="1" applyFill="1" applyBorder="1" applyAlignment="1">
      <alignment horizontal="center" vertical="center" wrapText="1"/>
    </xf>
    <xf numFmtId="14" fontId="21" fillId="19" borderId="16" xfId="7" applyNumberFormat="1" applyFont="1" applyFill="1" applyBorder="1" applyAlignment="1">
      <alignment horizontal="center" vertical="center" wrapText="1"/>
    </xf>
    <xf numFmtId="0" fontId="21" fillId="17" borderId="16" xfId="7" applyNumberFormat="1" applyFont="1" applyFill="1" applyBorder="1" applyAlignment="1">
      <alignment horizontal="center" vertical="center" wrapText="1"/>
    </xf>
    <xf numFmtId="14" fontId="21" fillId="17" borderId="16" xfId="7" applyNumberFormat="1" applyFont="1" applyFill="1" applyBorder="1" applyAlignment="1">
      <alignment horizontal="center" vertical="center" wrapText="1"/>
    </xf>
    <xf numFmtId="14" fontId="21" fillId="17" borderId="7" xfId="7" applyNumberFormat="1" applyFont="1" applyFill="1" applyBorder="1" applyAlignment="1">
      <alignment horizontal="center" vertical="center" wrapText="1"/>
    </xf>
    <xf numFmtId="14" fontId="24" fillId="17" borderId="19" xfId="7" applyNumberFormat="1" applyFont="1" applyFill="1" applyBorder="1" applyAlignment="1">
      <alignment horizontal="center" vertical="center" wrapText="1"/>
    </xf>
    <xf numFmtId="1" fontId="18" fillId="10" borderId="25" xfId="8" applyNumberFormat="1" applyFont="1" applyFill="1" applyBorder="1" applyAlignment="1">
      <alignment horizontal="center" vertical="center" wrapText="1"/>
    </xf>
    <xf numFmtId="14" fontId="20" fillId="0" borderId="0" xfId="0" applyNumberFormat="1" applyFont="1"/>
    <xf numFmtId="0" fontId="19" fillId="0" borderId="115" xfId="0" applyFont="1" applyBorder="1" applyAlignment="1">
      <alignment vertical="center"/>
    </xf>
    <xf numFmtId="0" fontId="19" fillId="0" borderId="116" xfId="0" applyFont="1" applyBorder="1" applyAlignment="1">
      <alignment vertical="center"/>
    </xf>
    <xf numFmtId="0" fontId="19" fillId="0" borderId="116" xfId="0" applyFont="1" applyBorder="1" applyAlignment="1">
      <alignment vertical="center" wrapText="1"/>
    </xf>
    <xf numFmtId="0" fontId="19" fillId="0" borderId="116" xfId="0" applyFont="1" applyBorder="1" applyAlignment="1">
      <alignment horizontal="center" vertical="center"/>
    </xf>
    <xf numFmtId="0" fontId="47" fillId="0" borderId="116" xfId="0" applyFont="1" applyBorder="1" applyAlignment="1">
      <alignment vertical="center"/>
    </xf>
    <xf numFmtId="0" fontId="19" fillId="0" borderId="117" xfId="0" applyFont="1" applyBorder="1" applyAlignment="1">
      <alignment vertical="center"/>
    </xf>
    <xf numFmtId="0" fontId="19" fillId="0" borderId="118" xfId="0" applyFont="1" applyBorder="1" applyAlignment="1">
      <alignment vertical="center"/>
    </xf>
    <xf numFmtId="0" fontId="19" fillId="0" borderId="118" xfId="0" applyFont="1" applyBorder="1" applyAlignment="1">
      <alignment horizontal="center" vertical="center"/>
    </xf>
    <xf numFmtId="0" fontId="47" fillId="0" borderId="118" xfId="0" applyFont="1" applyBorder="1" applyAlignment="1">
      <alignment vertical="center"/>
    </xf>
    <xf numFmtId="0" fontId="18" fillId="10" borderId="25" xfId="7" applyNumberFormat="1" applyFont="1" applyFill="1" applyBorder="1" applyAlignment="1">
      <alignment vertical="center"/>
    </xf>
    <xf numFmtId="1" fontId="18" fillId="14" borderId="25" xfId="8" applyNumberFormat="1" applyFont="1" applyFill="1" applyBorder="1" applyAlignment="1">
      <alignment horizontal="center" vertical="center" wrapText="1"/>
    </xf>
    <xf numFmtId="0" fontId="18" fillId="14" borderId="25" xfId="7" applyNumberFormat="1" applyFont="1" applyFill="1" applyBorder="1" applyAlignment="1">
      <alignment horizontal="center" vertical="center" wrapText="1"/>
    </xf>
    <xf numFmtId="41" fontId="22" fillId="14" borderId="25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41" fontId="22" fillId="0" borderId="9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8" fillId="10" borderId="55" xfId="7" applyNumberFormat="1" applyFont="1" applyFill="1" applyBorder="1" applyAlignment="1">
      <alignment vertical="center"/>
    </xf>
    <xf numFmtId="41" fontId="22" fillId="0" borderId="25" xfId="1" applyNumberFormat="1" applyFont="1" applyFill="1" applyBorder="1" applyAlignment="1">
      <alignment horizontal="center" vertical="center"/>
    </xf>
    <xf numFmtId="0" fontId="18" fillId="17" borderId="38" xfId="0" applyFont="1" applyFill="1" applyBorder="1" applyAlignment="1">
      <alignment horizontal="center" vertical="center"/>
    </xf>
    <xf numFmtId="0" fontId="18" fillId="17" borderId="25" xfId="0" applyFont="1" applyFill="1" applyBorder="1" applyAlignment="1">
      <alignment horizontal="center" vertical="center"/>
    </xf>
    <xf numFmtId="0" fontId="18" fillId="17" borderId="55" xfId="0" applyFont="1" applyFill="1" applyBorder="1" applyAlignment="1">
      <alignment horizontal="center" vertical="center"/>
    </xf>
    <xf numFmtId="1" fontId="58" fillId="10" borderId="25" xfId="8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19" fillId="0" borderId="117" xfId="7" applyNumberFormat="1" applyFont="1" applyFill="1" applyBorder="1" applyAlignment="1">
      <alignment vertical="center"/>
    </xf>
    <xf numFmtId="166" fontId="19" fillId="0" borderId="118" xfId="0" applyNumberFormat="1" applyFont="1" applyBorder="1" applyAlignment="1">
      <alignment vertical="center" wrapText="1"/>
    </xf>
    <xf numFmtId="166" fontId="19" fillId="0" borderId="118" xfId="0" applyNumberFormat="1" applyFont="1" applyBorder="1" applyAlignment="1">
      <alignment vertical="center"/>
    </xf>
    <xf numFmtId="14" fontId="19" fillId="14" borderId="25" xfId="0" applyNumberFormat="1" applyFont="1" applyFill="1" applyBorder="1" applyAlignment="1">
      <alignment horizontal="center" vertical="center"/>
    </xf>
    <xf numFmtId="0" fontId="59" fillId="0" borderId="92" xfId="0" applyFont="1" applyBorder="1" applyAlignment="1">
      <alignment vertical="center"/>
    </xf>
    <xf numFmtId="0" fontId="59" fillId="0" borderId="118" xfId="0" applyFont="1" applyBorder="1" applyAlignment="1">
      <alignment vertical="center"/>
    </xf>
    <xf numFmtId="0" fontId="59" fillId="0" borderId="116" xfId="0" applyFont="1" applyBorder="1" applyAlignment="1">
      <alignment vertical="center"/>
    </xf>
    <xf numFmtId="41" fontId="60" fillId="0" borderId="25" xfId="1" applyNumberFormat="1" applyFont="1" applyFill="1" applyBorder="1" applyAlignment="1">
      <alignment horizontal="center" vertical="center"/>
    </xf>
    <xf numFmtId="0" fontId="59" fillId="19" borderId="118" xfId="0" applyFont="1" applyFill="1" applyBorder="1" applyAlignment="1">
      <alignment vertical="center"/>
    </xf>
    <xf numFmtId="14" fontId="19" fillId="0" borderId="0" xfId="0" applyNumberFormat="1" applyFont="1" applyAlignment="1">
      <alignment horizontal="center" vertical="center"/>
    </xf>
    <xf numFmtId="14" fontId="18" fillId="21" borderId="0" xfId="0" applyNumberFormat="1" applyFont="1" applyFill="1" applyAlignment="1">
      <alignment horizontal="center" vertical="center"/>
    </xf>
    <xf numFmtId="14" fontId="18" fillId="21" borderId="25" xfId="0" applyNumberFormat="1" applyFont="1" applyFill="1" applyBorder="1" applyAlignment="1">
      <alignment horizontal="center" vertical="center"/>
    </xf>
    <xf numFmtId="14" fontId="18" fillId="19" borderId="2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19" borderId="92" xfId="0" applyFont="1" applyFill="1" applyBorder="1" applyAlignment="1">
      <alignment vertical="center"/>
    </xf>
    <xf numFmtId="16" fontId="19" fillId="0" borderId="0" xfId="0" applyNumberFormat="1" applyFont="1"/>
    <xf numFmtId="43" fontId="1" fillId="0" borderId="0" xfId="1"/>
    <xf numFmtId="43" fontId="22" fillId="0" borderId="0" xfId="1" applyFont="1" applyBorder="1" applyAlignment="1">
      <alignment vertical="center"/>
    </xf>
    <xf numFmtId="43" fontId="60" fillId="0" borderId="0" xfId="1" applyFont="1" applyBorder="1" applyAlignment="1">
      <alignment vertical="center"/>
    </xf>
    <xf numFmtId="0" fontId="19" fillId="0" borderId="118" xfId="0" applyFont="1" applyBorder="1" applyAlignment="1">
      <alignment horizontal="right" vertical="center"/>
    </xf>
    <xf numFmtId="14" fontId="19" fillId="0" borderId="0" xfId="0" applyNumberFormat="1" applyFont="1" applyAlignment="1">
      <alignment horizontal="center"/>
    </xf>
    <xf numFmtId="1" fontId="19" fillId="0" borderId="25" xfId="0" applyNumberFormat="1" applyFont="1" applyBorder="1" applyAlignment="1">
      <alignment horizontal="center"/>
    </xf>
    <xf numFmtId="1" fontId="19" fillId="21" borderId="25" xfId="0" applyNumberFormat="1" applyFont="1" applyFill="1" applyBorder="1" applyAlignment="1">
      <alignment horizontal="center"/>
    </xf>
    <xf numFmtId="0" fontId="18" fillId="21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0" fontId="59" fillId="0" borderId="92" xfId="0" applyFont="1" applyBorder="1" applyAlignment="1">
      <alignment horizontal="center" vertical="center"/>
    </xf>
    <xf numFmtId="0" fontId="59" fillId="0" borderId="92" xfId="0" applyFont="1" applyBorder="1" applyAlignment="1">
      <alignment horizontal="right" vertical="center"/>
    </xf>
    <xf numFmtId="0" fontId="59" fillId="0" borderId="118" xfId="0" applyFont="1" applyBorder="1" applyAlignment="1">
      <alignment horizontal="center" vertical="center"/>
    </xf>
    <xf numFmtId="41" fontId="60" fillId="14" borderId="25" xfId="1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41" fontId="22" fillId="0" borderId="18" xfId="1" applyNumberFormat="1" applyFont="1" applyFill="1" applyBorder="1" applyAlignment="1">
      <alignment horizontal="center" vertical="center"/>
    </xf>
    <xf numFmtId="14" fontId="19" fillId="14" borderId="18" xfId="0" applyNumberFormat="1" applyFont="1" applyFill="1" applyBorder="1" applyAlignment="1">
      <alignment horizontal="center" vertical="center"/>
    </xf>
    <xf numFmtId="41" fontId="22" fillId="14" borderId="18" xfId="1" applyNumberFormat="1" applyFont="1" applyFill="1" applyBorder="1" applyAlignment="1">
      <alignment horizontal="center" vertical="center"/>
    </xf>
    <xf numFmtId="0" fontId="19" fillId="0" borderId="119" xfId="7" applyNumberFormat="1" applyFont="1" applyFill="1" applyBorder="1" applyAlignment="1">
      <alignment vertical="center"/>
    </xf>
    <xf numFmtId="0" fontId="19" fillId="0" borderId="120" xfId="0" applyFont="1" applyBorder="1" applyAlignment="1">
      <alignment vertical="center"/>
    </xf>
    <xf numFmtId="0" fontId="19" fillId="0" borderId="121" xfId="0" applyFont="1" applyBorder="1" applyAlignment="1">
      <alignment vertical="center"/>
    </xf>
    <xf numFmtId="0" fontId="19" fillId="0" borderId="119" xfId="0" applyFont="1" applyBorder="1" applyAlignment="1">
      <alignment vertical="center"/>
    </xf>
    <xf numFmtId="166" fontId="19" fillId="0" borderId="117" xfId="0" applyNumberFormat="1" applyFont="1" applyBorder="1" applyAlignment="1">
      <alignment vertical="center"/>
    </xf>
    <xf numFmtId="0" fontId="19" fillId="0" borderId="122" xfId="0" applyFont="1" applyBorder="1" applyAlignment="1">
      <alignment vertical="center"/>
    </xf>
    <xf numFmtId="0" fontId="19" fillId="0" borderId="123" xfId="0" applyFont="1" applyBorder="1" applyAlignment="1">
      <alignment vertical="center"/>
    </xf>
    <xf numFmtId="0" fontId="19" fillId="0" borderId="124" xfId="0" applyFont="1" applyBorder="1" applyAlignment="1">
      <alignment vertical="center"/>
    </xf>
    <xf numFmtId="41" fontId="22" fillId="0" borderId="20" xfId="1" applyNumberFormat="1" applyFont="1" applyFill="1" applyBorder="1" applyAlignment="1">
      <alignment horizontal="center" vertical="center"/>
    </xf>
    <xf numFmtId="14" fontId="19" fillId="14" borderId="20" xfId="0" applyNumberFormat="1" applyFont="1" applyFill="1" applyBorder="1" applyAlignment="1">
      <alignment horizontal="center" vertical="center"/>
    </xf>
    <xf numFmtId="41" fontId="22" fillId="14" borderId="20" xfId="1" applyNumberFormat="1" applyFont="1" applyFill="1" applyBorder="1" applyAlignment="1">
      <alignment horizontal="center" vertical="center"/>
    </xf>
    <xf numFmtId="166" fontId="19" fillId="0" borderId="125" xfId="0" applyNumberFormat="1" applyFont="1" applyBorder="1" applyAlignment="1">
      <alignment vertical="center"/>
    </xf>
    <xf numFmtId="0" fontId="18" fillId="10" borderId="18" xfId="7" applyNumberFormat="1" applyFont="1" applyFill="1" applyBorder="1" applyAlignment="1">
      <alignment vertical="center"/>
    </xf>
    <xf numFmtId="0" fontId="19" fillId="0" borderId="126" xfId="7" applyNumberFormat="1" applyFont="1" applyFill="1" applyBorder="1" applyAlignment="1">
      <alignment vertical="center"/>
    </xf>
    <xf numFmtId="0" fontId="19" fillId="0" borderId="127" xfId="0" applyFont="1" applyBorder="1" applyAlignment="1">
      <alignment vertical="center"/>
    </xf>
    <xf numFmtId="0" fontId="19" fillId="0" borderId="128" xfId="0" applyFont="1" applyBorder="1" applyAlignment="1">
      <alignment vertical="center"/>
    </xf>
    <xf numFmtId="0" fontId="19" fillId="0" borderId="126" xfId="0" applyFont="1" applyBorder="1" applyAlignment="1">
      <alignment vertical="center"/>
    </xf>
    <xf numFmtId="0" fontId="19" fillId="0" borderId="125" xfId="7" applyNumberFormat="1" applyFont="1" applyFill="1" applyBorder="1" applyAlignment="1">
      <alignment vertical="center"/>
    </xf>
    <xf numFmtId="0" fontId="19" fillId="0" borderId="129" xfId="0" applyFont="1" applyBorder="1" applyAlignment="1">
      <alignment vertical="center"/>
    </xf>
    <xf numFmtId="0" fontId="19" fillId="0" borderId="125" xfId="0" applyFont="1" applyBorder="1" applyAlignment="1">
      <alignment vertical="center"/>
    </xf>
    <xf numFmtId="166" fontId="19" fillId="0" borderId="126" xfId="0" applyNumberFormat="1" applyFont="1" applyBorder="1" applyAlignment="1">
      <alignment vertical="center" wrapText="1"/>
    </xf>
    <xf numFmtId="0" fontId="19" fillId="0" borderId="130" xfId="7" applyNumberFormat="1" applyFont="1" applyFill="1" applyBorder="1" applyAlignment="1">
      <alignment vertical="center"/>
    </xf>
    <xf numFmtId="0" fontId="19" fillId="0" borderId="131" xfId="0" applyFont="1" applyBorder="1" applyAlignment="1">
      <alignment vertical="center"/>
    </xf>
    <xf numFmtId="0" fontId="19" fillId="0" borderId="132" xfId="0" applyFont="1" applyBorder="1" applyAlignment="1">
      <alignment vertical="center"/>
    </xf>
    <xf numFmtId="0" fontId="19" fillId="0" borderId="130" xfId="0" applyFont="1" applyBorder="1" applyAlignment="1">
      <alignment vertical="center"/>
    </xf>
    <xf numFmtId="0" fontId="19" fillId="0" borderId="133" xfId="7" applyNumberFormat="1" applyFont="1" applyFill="1" applyBorder="1" applyAlignment="1">
      <alignment vertical="center"/>
    </xf>
    <xf numFmtId="0" fontId="19" fillId="0" borderId="134" xfId="0" applyFont="1" applyBorder="1" applyAlignment="1">
      <alignment vertical="center"/>
    </xf>
    <xf numFmtId="166" fontId="19" fillId="0" borderId="135" xfId="0" applyNumberFormat="1" applyFont="1" applyBorder="1" applyAlignment="1">
      <alignment vertical="center"/>
    </xf>
    <xf numFmtId="0" fontId="19" fillId="0" borderId="136" xfId="7" applyNumberFormat="1" applyFont="1" applyFill="1" applyBorder="1" applyAlignment="1">
      <alignment vertical="center"/>
    </xf>
    <xf numFmtId="0" fontId="47" fillId="0" borderId="137" xfId="0" applyFont="1" applyBorder="1" applyAlignment="1">
      <alignment vertical="center"/>
    </xf>
    <xf numFmtId="0" fontId="47" fillId="0" borderId="128" xfId="0" applyFont="1" applyBorder="1" applyAlignment="1">
      <alignment vertical="center"/>
    </xf>
    <xf numFmtId="0" fontId="47" fillId="0" borderId="135" xfId="0" applyFont="1" applyBorder="1" applyAlignment="1">
      <alignment vertical="center"/>
    </xf>
    <xf numFmtId="0" fontId="19" fillId="0" borderId="138" xfId="7" applyNumberFormat="1" applyFont="1" applyFill="1" applyBorder="1" applyAlignment="1">
      <alignment vertical="center"/>
    </xf>
    <xf numFmtId="166" fontId="19" fillId="0" borderId="117" xfId="0" applyNumberFormat="1" applyFont="1" applyBorder="1" applyAlignment="1">
      <alignment vertical="center" wrapText="1"/>
    </xf>
    <xf numFmtId="166" fontId="19" fillId="0" borderId="139" xfId="0" applyNumberFormat="1" applyFont="1" applyBorder="1" applyAlignment="1">
      <alignment vertical="center"/>
    </xf>
    <xf numFmtId="0" fontId="19" fillId="0" borderId="140" xfId="0" applyFont="1" applyBorder="1" applyAlignment="1">
      <alignment horizontal="center" vertical="center"/>
    </xf>
    <xf numFmtId="0" fontId="19" fillId="0" borderId="141" xfId="0" applyFont="1" applyBorder="1" applyAlignment="1">
      <alignment vertical="center"/>
    </xf>
    <xf numFmtId="0" fontId="19" fillId="0" borderId="141" xfId="0" applyFont="1" applyBorder="1" applyAlignment="1">
      <alignment horizontal="center" vertical="center"/>
    </xf>
    <xf numFmtId="0" fontId="19" fillId="0" borderId="139" xfId="0" applyFont="1" applyBorder="1" applyAlignment="1">
      <alignment vertical="center"/>
    </xf>
    <xf numFmtId="166" fontId="19" fillId="0" borderId="119" xfId="0" applyNumberFormat="1" applyFont="1" applyBorder="1" applyAlignment="1">
      <alignment vertical="center"/>
    </xf>
    <xf numFmtId="0" fontId="19" fillId="0" borderId="135" xfId="0" applyFont="1" applyBorder="1" applyAlignment="1">
      <alignment vertical="center"/>
    </xf>
    <xf numFmtId="0" fontId="19" fillId="0" borderId="142" xfId="0" applyFont="1" applyBorder="1" applyAlignment="1">
      <alignment horizontal="center" vertical="center"/>
    </xf>
    <xf numFmtId="0" fontId="18" fillId="22" borderId="55" xfId="7" applyNumberFormat="1" applyFont="1" applyFill="1" applyBorder="1" applyAlignment="1">
      <alignment vertical="center"/>
    </xf>
    <xf numFmtId="0" fontId="18" fillId="22" borderId="59" xfId="7" applyNumberFormat="1" applyFont="1" applyFill="1" applyBorder="1" applyAlignment="1">
      <alignment vertical="center"/>
    </xf>
    <xf numFmtId="0" fontId="18" fillId="22" borderId="38" xfId="7" applyNumberFormat="1" applyFont="1" applyFill="1" applyBorder="1" applyAlignment="1">
      <alignment vertical="center"/>
    </xf>
    <xf numFmtId="166" fontId="19" fillId="19" borderId="118" xfId="0" applyNumberFormat="1" applyFont="1" applyFill="1" applyBorder="1" applyAlignment="1">
      <alignment vertical="center"/>
    </xf>
    <xf numFmtId="166" fontId="19" fillId="19" borderId="118" xfId="0" applyNumberFormat="1" applyFont="1" applyFill="1" applyBorder="1" applyAlignment="1">
      <alignment vertical="center" wrapText="1"/>
    </xf>
    <xf numFmtId="0" fontId="19" fillId="19" borderId="124" xfId="7" applyNumberFormat="1" applyFont="1" applyFill="1" applyBorder="1" applyAlignment="1">
      <alignment vertical="center"/>
    </xf>
    <xf numFmtId="0" fontId="18" fillId="14" borderId="18" xfId="7" applyNumberFormat="1" applyFont="1" applyFill="1" applyBorder="1" applyAlignment="1">
      <alignment horizontal="center" vertical="center" wrapText="1"/>
    </xf>
    <xf numFmtId="0" fontId="18" fillId="22" borderId="59" xfId="0" applyFont="1" applyFill="1" applyBorder="1"/>
    <xf numFmtId="0" fontId="19" fillId="22" borderId="59" xfId="0" applyFont="1" applyFill="1" applyBorder="1"/>
    <xf numFmtId="17" fontId="18" fillId="10" borderId="25" xfId="0" applyNumberFormat="1" applyFont="1" applyFill="1" applyBorder="1" applyAlignment="1">
      <alignment vertical="center"/>
    </xf>
    <xf numFmtId="0" fontId="19" fillId="24" borderId="118" xfId="0" applyFont="1" applyFill="1" applyBorder="1" applyAlignment="1">
      <alignment vertical="center"/>
    </xf>
    <xf numFmtId="170" fontId="58" fillId="0" borderId="25" xfId="0" applyNumberFormat="1" applyFont="1" applyBorder="1" applyAlignment="1">
      <alignment vertical="center"/>
    </xf>
    <xf numFmtId="0" fontId="18" fillId="0" borderId="0" xfId="0" applyFont="1" applyAlignment="1">
      <alignment horizontal="center"/>
    </xf>
    <xf numFmtId="17" fontId="18" fillId="10" borderId="25" xfId="0" applyNumberFormat="1" applyFont="1" applyFill="1" applyBorder="1" applyAlignment="1">
      <alignment horizontal="center" vertical="center"/>
    </xf>
    <xf numFmtId="0" fontId="19" fillId="22" borderId="59" xfId="0" applyFont="1" applyFill="1" applyBorder="1" applyAlignment="1">
      <alignment horizontal="center"/>
    </xf>
    <xf numFmtId="49" fontId="19" fillId="0" borderId="118" xfId="0" applyNumberFormat="1" applyFont="1" applyBorder="1" applyAlignment="1">
      <alignment horizontal="center" vertical="center"/>
    </xf>
    <xf numFmtId="0" fontId="59" fillId="24" borderId="118" xfId="0" applyFont="1" applyFill="1" applyBorder="1" applyAlignment="1">
      <alignment vertical="center"/>
    </xf>
    <xf numFmtId="0" fontId="59" fillId="24" borderId="118" xfId="0" applyFont="1" applyFill="1" applyBorder="1" applyAlignment="1">
      <alignment horizontal="center" vertical="center"/>
    </xf>
    <xf numFmtId="0" fontId="59" fillId="0" borderId="132" xfId="0" applyFont="1" applyBorder="1" applyAlignment="1">
      <alignment vertical="center"/>
    </xf>
    <xf numFmtId="0" fontId="19" fillId="19" borderId="0" xfId="0" applyFont="1" applyFill="1" applyAlignment="1">
      <alignment horizontal="right" vertical="center"/>
    </xf>
    <xf numFmtId="166" fontId="19" fillId="19" borderId="92" xfId="0" applyNumberFormat="1" applyFont="1" applyFill="1" applyBorder="1" applyAlignment="1">
      <alignment vertical="center" wrapText="1"/>
    </xf>
    <xf numFmtId="0" fontId="19" fillId="19" borderId="92" xfId="7" applyNumberFormat="1" applyFont="1" applyFill="1" applyBorder="1" applyAlignment="1">
      <alignment vertical="center" wrapText="1"/>
    </xf>
    <xf numFmtId="0" fontId="19" fillId="19" borderId="92" xfId="0" applyFont="1" applyFill="1" applyBorder="1" applyAlignment="1">
      <alignment horizontal="center" vertical="center"/>
    </xf>
    <xf numFmtId="41" fontId="22" fillId="19" borderId="92" xfId="1" applyNumberFormat="1" applyFont="1" applyFill="1" applyBorder="1" applyAlignment="1">
      <alignment vertical="center"/>
    </xf>
    <xf numFmtId="41" fontId="22" fillId="19" borderId="91" xfId="1" applyNumberFormat="1" applyFont="1" applyFill="1" applyBorder="1" applyAlignment="1">
      <alignment vertical="center"/>
    </xf>
    <xf numFmtId="41" fontId="22" fillId="19" borderId="91" xfId="1" applyNumberFormat="1" applyFont="1" applyFill="1" applyBorder="1" applyAlignment="1">
      <alignment horizontal="center" vertical="center"/>
    </xf>
    <xf numFmtId="0" fontId="19" fillId="19" borderId="0" xfId="0" applyFont="1" applyFill="1"/>
    <xf numFmtId="166" fontId="59" fillId="0" borderId="118" xfId="0" applyNumberFormat="1" applyFont="1" applyBorder="1" applyAlignment="1">
      <alignment vertical="center"/>
    </xf>
    <xf numFmtId="0" fontId="19" fillId="0" borderId="143" xfId="0" applyFont="1" applyBorder="1" applyAlignment="1">
      <alignment vertical="center"/>
    </xf>
    <xf numFmtId="0" fontId="19" fillId="0" borderId="144" xfId="0" applyFont="1" applyBorder="1" applyAlignment="1">
      <alignment vertical="center"/>
    </xf>
    <xf numFmtId="0" fontId="19" fillId="0" borderId="138" xfId="0" applyFont="1" applyBorder="1" applyAlignment="1">
      <alignment vertical="center"/>
    </xf>
    <xf numFmtId="0" fontId="19" fillId="0" borderId="124" xfId="7" applyNumberFormat="1" applyFont="1" applyFill="1" applyBorder="1" applyAlignment="1">
      <alignment vertical="center"/>
    </xf>
    <xf numFmtId="0" fontId="59" fillId="0" borderId="91" xfId="0" applyFont="1" applyBorder="1" applyAlignment="1">
      <alignment vertical="center"/>
    </xf>
    <xf numFmtId="166" fontId="19" fillId="0" borderId="139" xfId="0" applyNumberFormat="1" applyFont="1" applyBorder="1" applyAlignment="1">
      <alignment vertical="center" wrapText="1"/>
    </xf>
    <xf numFmtId="0" fontId="19" fillId="0" borderId="140" xfId="0" applyFont="1" applyBorder="1" applyAlignment="1">
      <alignment vertical="center"/>
    </xf>
    <xf numFmtId="166" fontId="19" fillId="0" borderId="126" xfId="0" applyNumberFormat="1" applyFont="1" applyBorder="1" applyAlignment="1">
      <alignment vertical="center"/>
    </xf>
    <xf numFmtId="0" fontId="19" fillId="0" borderId="129" xfId="0" applyFont="1" applyBorder="1" applyAlignment="1">
      <alignment horizontal="center" vertical="center"/>
    </xf>
    <xf numFmtId="0" fontId="19" fillId="0" borderId="121" xfId="0" applyFont="1" applyBorder="1" applyAlignment="1">
      <alignment horizontal="center" vertical="center"/>
    </xf>
    <xf numFmtId="0" fontId="19" fillId="0" borderId="128" xfId="0" applyFont="1" applyBorder="1" applyAlignment="1">
      <alignment horizontal="center" vertical="center"/>
    </xf>
    <xf numFmtId="0" fontId="19" fillId="0" borderId="119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22" borderId="59" xfId="7" applyNumberFormat="1" applyFont="1" applyFill="1" applyBorder="1" applyAlignment="1">
      <alignment horizontal="center" vertical="center"/>
    </xf>
    <xf numFmtId="14" fontId="59" fillId="14" borderId="25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173" xfId="0" applyFont="1" applyBorder="1" applyAlignment="1">
      <alignment vertical="center"/>
    </xf>
    <xf numFmtId="0" fontId="19" fillId="0" borderId="137" xfId="0" applyFont="1" applyBorder="1" applyAlignment="1">
      <alignment vertical="center"/>
    </xf>
    <xf numFmtId="0" fontId="47" fillId="0" borderId="120" xfId="0" applyFont="1" applyBorder="1" applyAlignment="1">
      <alignment vertical="center"/>
    </xf>
    <xf numFmtId="0" fontId="47" fillId="0" borderId="121" xfId="0" applyFont="1" applyBorder="1" applyAlignment="1">
      <alignment vertical="center"/>
    </xf>
    <xf numFmtId="0" fontId="47" fillId="0" borderId="119" xfId="0" applyFont="1" applyBorder="1" applyAlignment="1">
      <alignment vertical="center"/>
    </xf>
    <xf numFmtId="0" fontId="19" fillId="0" borderId="92" xfId="0" applyFont="1" applyBorder="1"/>
    <xf numFmtId="0" fontId="59" fillId="0" borderId="144" xfId="0" applyFont="1" applyBorder="1" applyAlignment="1">
      <alignment vertical="center"/>
    </xf>
    <xf numFmtId="0" fontId="19" fillId="0" borderId="91" xfId="0" applyFont="1" applyBorder="1" applyAlignment="1">
      <alignment horizontal="center" vertical="center"/>
    </xf>
    <xf numFmtId="0" fontId="19" fillId="0" borderId="91" xfId="0" applyFont="1" applyBorder="1" applyAlignment="1">
      <alignment horizontal="right" vertical="center"/>
    </xf>
    <xf numFmtId="0" fontId="19" fillId="0" borderId="117" xfId="0" applyFont="1" applyBorder="1" applyAlignment="1">
      <alignment horizontal="center" vertical="center"/>
    </xf>
    <xf numFmtId="0" fontId="19" fillId="0" borderId="116" xfId="0" applyFont="1" applyBorder="1" applyAlignment="1">
      <alignment horizontal="right" vertical="center"/>
    </xf>
    <xf numFmtId="14" fontId="18" fillId="0" borderId="0" xfId="0" applyNumberFormat="1" applyFont="1"/>
    <xf numFmtId="2" fontId="19" fillId="0" borderId="0" xfId="0" applyNumberFormat="1" applyFont="1"/>
    <xf numFmtId="41" fontId="19" fillId="0" borderId="0" xfId="0" applyNumberFormat="1" applyFont="1"/>
    <xf numFmtId="0" fontId="19" fillId="0" borderId="0" xfId="0" applyFont="1" applyBorder="1"/>
    <xf numFmtId="1" fontId="18" fillId="10" borderId="25" xfId="8" applyNumberFormat="1" applyFont="1" applyFill="1" applyBorder="1" applyAlignment="1">
      <alignment horizontal="center" vertical="center" wrapText="1"/>
    </xf>
    <xf numFmtId="14" fontId="19" fillId="0" borderId="0" xfId="0" applyNumberFormat="1" applyFont="1" applyAlignment="1">
      <alignment horizontal="right"/>
    </xf>
    <xf numFmtId="0" fontId="59" fillId="0" borderId="0" xfId="0" applyFont="1" applyAlignment="1">
      <alignment horizontal="right" vertical="center"/>
    </xf>
    <xf numFmtId="0" fontId="59" fillId="0" borderId="117" xfId="7" applyNumberFormat="1" applyFont="1" applyFill="1" applyBorder="1" applyAlignment="1">
      <alignment vertical="center"/>
    </xf>
    <xf numFmtId="0" fontId="59" fillId="0" borderId="116" xfId="0" applyFont="1" applyBorder="1" applyAlignment="1">
      <alignment horizontal="center" vertical="center"/>
    </xf>
    <xf numFmtId="41" fontId="60" fillId="0" borderId="20" xfId="1" applyNumberFormat="1" applyFont="1" applyFill="1" applyBorder="1" applyAlignment="1">
      <alignment horizontal="center" vertical="center"/>
    </xf>
    <xf numFmtId="41" fontId="60" fillId="14" borderId="20" xfId="1" applyNumberFormat="1" applyFont="1" applyFill="1" applyBorder="1" applyAlignment="1">
      <alignment horizontal="center" vertical="center"/>
    </xf>
    <xf numFmtId="0" fontId="59" fillId="0" borderId="0" xfId="0" applyFont="1"/>
    <xf numFmtId="14" fontId="59" fillId="0" borderId="0" xfId="0" applyNumberFormat="1" applyFont="1"/>
    <xf numFmtId="1" fontId="18" fillId="10" borderId="25" xfId="8" applyNumberFormat="1" applyFont="1" applyFill="1" applyBorder="1" applyAlignment="1">
      <alignment horizontal="center" vertical="center" wrapText="1"/>
    </xf>
    <xf numFmtId="166" fontId="19" fillId="0" borderId="138" xfId="0" applyNumberFormat="1" applyFont="1" applyBorder="1" applyAlignment="1">
      <alignment vertical="center"/>
    </xf>
    <xf numFmtId="166" fontId="59" fillId="0" borderId="139" xfId="0" applyNumberFormat="1" applyFont="1" applyBorder="1" applyAlignment="1">
      <alignment vertical="center"/>
    </xf>
    <xf numFmtId="0" fontId="59" fillId="0" borderId="120" xfId="0" applyFont="1" applyBorder="1" applyAlignment="1">
      <alignment horizontal="center" vertical="center"/>
    </xf>
    <xf numFmtId="0" fontId="59" fillId="0" borderId="121" xfId="0" applyFont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166" fontId="19" fillId="0" borderId="124" xfId="0" applyNumberFormat="1" applyFont="1" applyBorder="1" applyAlignment="1">
      <alignment vertical="center"/>
    </xf>
    <xf numFmtId="0" fontId="19" fillId="0" borderId="118" xfId="7" applyNumberFormat="1" applyFont="1" applyFill="1" applyBorder="1" applyAlignment="1">
      <alignment vertical="center"/>
    </xf>
    <xf numFmtId="1" fontId="18" fillId="10" borderId="25" xfId="8" applyNumberFormat="1" applyFont="1" applyFill="1" applyBorder="1" applyAlignment="1">
      <alignment horizontal="center" vertical="center" wrapText="1"/>
    </xf>
    <xf numFmtId="165" fontId="10" fillId="0" borderId="14" xfId="8" applyNumberFormat="1" applyFont="1" applyFill="1" applyBorder="1" applyAlignment="1">
      <alignment horizontal="center" vertical="center" wrapText="1"/>
    </xf>
    <xf numFmtId="165" fontId="10" fillId="0" borderId="16" xfId="8" applyNumberFormat="1" applyFont="1" applyFill="1" applyBorder="1" applyAlignment="1">
      <alignment horizontal="center" vertical="center" wrapText="1"/>
    </xf>
    <xf numFmtId="165" fontId="10" fillId="0" borderId="17" xfId="8" applyNumberFormat="1" applyFont="1" applyFill="1" applyBorder="1" applyAlignment="1">
      <alignment horizontal="center" vertical="center" wrapText="1"/>
    </xf>
    <xf numFmtId="0" fontId="45" fillId="14" borderId="14" xfId="7" applyNumberFormat="1" applyFont="1" applyFill="1" applyBorder="1" applyAlignment="1">
      <alignment horizontal="center" vertical="center" wrapText="1"/>
    </xf>
    <xf numFmtId="0" fontId="45" fillId="14" borderId="16" xfId="7" applyNumberFormat="1" applyFont="1" applyFill="1" applyBorder="1" applyAlignment="1">
      <alignment horizontal="center" vertical="center" wrapText="1"/>
    </xf>
    <xf numFmtId="0" fontId="45" fillId="14" borderId="17" xfId="7" applyNumberFormat="1" applyFont="1" applyFill="1" applyBorder="1" applyAlignment="1">
      <alignment horizontal="center" vertical="center" wrapText="1"/>
    </xf>
    <xf numFmtId="14" fontId="10" fillId="0" borderId="31" xfId="7" applyNumberFormat="1" applyFont="1" applyFill="1" applyBorder="1" applyAlignment="1">
      <alignment horizontal="center" vertical="center" wrapText="1"/>
    </xf>
    <xf numFmtId="14" fontId="10" fillId="0" borderId="32" xfId="7" applyNumberFormat="1" applyFont="1" applyFill="1" applyBorder="1" applyAlignment="1">
      <alignment horizontal="center" vertical="center" wrapText="1"/>
    </xf>
    <xf numFmtId="14" fontId="10" fillId="0" borderId="33" xfId="7" applyNumberFormat="1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right" vertical="center"/>
    </xf>
    <xf numFmtId="0" fontId="10" fillId="0" borderId="45" xfId="7" applyNumberFormat="1" applyFont="1" applyFill="1" applyBorder="1" applyAlignment="1">
      <alignment horizontal="left" vertical="center"/>
    </xf>
    <xf numFmtId="0" fontId="10" fillId="0" borderId="15" xfId="7" applyNumberFormat="1" applyFont="1" applyFill="1" applyBorder="1" applyAlignment="1">
      <alignment horizontal="left" vertical="center"/>
    </xf>
    <xf numFmtId="0" fontId="10" fillId="0" borderId="49" xfId="7" applyNumberFormat="1" applyFont="1" applyFill="1" applyBorder="1" applyAlignment="1">
      <alignment horizontal="left" vertical="center"/>
    </xf>
    <xf numFmtId="1" fontId="44" fillId="0" borderId="14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166" fontId="10" fillId="0" borderId="45" xfId="0" applyNumberFormat="1" applyFont="1" applyBorder="1" applyAlignment="1">
      <alignment horizontal="left" vertical="center"/>
    </xf>
    <xf numFmtId="166" fontId="10" fillId="0" borderId="15" xfId="0" applyNumberFormat="1" applyFont="1" applyBorder="1" applyAlignment="1">
      <alignment horizontal="left" vertical="center"/>
    </xf>
    <xf numFmtId="166" fontId="10" fillId="0" borderId="51" xfId="0" applyNumberFormat="1" applyFont="1" applyBorder="1" applyAlignment="1">
      <alignment horizontal="left" vertical="center"/>
    </xf>
    <xf numFmtId="166" fontId="10" fillId="0" borderId="45" xfId="0" applyNumberFormat="1" applyFont="1" applyBorder="1" applyAlignment="1">
      <alignment horizontal="left" vertical="center" wrapText="1"/>
    </xf>
    <xf numFmtId="166" fontId="10" fillId="0" borderId="15" xfId="0" applyNumberFormat="1" applyFont="1" applyBorder="1" applyAlignment="1">
      <alignment horizontal="left" vertical="center" wrapText="1"/>
    </xf>
    <xf numFmtId="166" fontId="10" fillId="0" borderId="49" xfId="0" applyNumberFormat="1" applyFont="1" applyBorder="1" applyAlignment="1">
      <alignment horizontal="left" vertical="center" wrapText="1"/>
    </xf>
    <xf numFmtId="0" fontId="10" fillId="0" borderId="79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/>
    </xf>
    <xf numFmtId="0" fontId="10" fillId="0" borderId="77" xfId="0" applyFont="1" applyBorder="1" applyAlignment="1">
      <alignment horizontal="center"/>
    </xf>
    <xf numFmtId="0" fontId="10" fillId="0" borderId="78" xfId="0" applyFont="1" applyBorder="1" applyAlignment="1">
      <alignment horizontal="center"/>
    </xf>
    <xf numFmtId="0" fontId="10" fillId="0" borderId="100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10" fillId="0" borderId="145" xfId="0" applyFont="1" applyBorder="1" applyAlignment="1">
      <alignment horizontal="center" vertical="center"/>
    </xf>
    <xf numFmtId="0" fontId="10" fillId="0" borderId="108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146" xfId="0" applyFont="1" applyBorder="1" applyAlignment="1">
      <alignment horizontal="center" vertical="center"/>
    </xf>
    <xf numFmtId="0" fontId="10" fillId="0" borderId="102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0" fontId="10" fillId="0" borderId="147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148" xfId="0" applyFont="1" applyBorder="1" applyAlignment="1">
      <alignment horizontal="center" vertical="center"/>
    </xf>
    <xf numFmtId="1" fontId="10" fillId="0" borderId="18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41" fillId="0" borderId="82" xfId="0" applyFont="1" applyBorder="1" applyAlignment="1">
      <alignment horizontal="center" vertical="center"/>
    </xf>
    <xf numFmtId="0" fontId="41" fillId="0" borderId="83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44" fillId="0" borderId="18" xfId="0" applyNumberFormat="1" applyFont="1" applyBorder="1" applyAlignment="1">
      <alignment horizontal="center" vertical="center"/>
    </xf>
    <xf numFmtId="1" fontId="44" fillId="0" borderId="19" xfId="0" applyNumberFormat="1" applyFont="1" applyBorder="1" applyAlignment="1">
      <alignment horizontal="center" vertical="center"/>
    </xf>
    <xf numFmtId="1" fontId="44" fillId="0" borderId="20" xfId="0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149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" fontId="10" fillId="0" borderId="43" xfId="0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66" fontId="10" fillId="0" borderId="18" xfId="0" applyNumberFormat="1" applyFont="1" applyBorder="1" applyAlignment="1">
      <alignment horizontal="left" vertical="center"/>
    </xf>
    <xf numFmtId="166" fontId="10" fillId="0" borderId="19" xfId="0" applyNumberFormat="1" applyFont="1" applyBorder="1" applyAlignment="1">
      <alignment horizontal="left" vertical="center"/>
    </xf>
    <xf numFmtId="166" fontId="10" fillId="0" borderId="20" xfId="0" applyNumberFormat="1" applyFont="1" applyBorder="1" applyAlignment="1">
      <alignment horizontal="left" vertical="center"/>
    </xf>
    <xf numFmtId="49" fontId="10" fillId="0" borderId="24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0" fontId="45" fillId="14" borderId="2" xfId="0" applyFont="1" applyFill="1" applyBorder="1" applyAlignment="1">
      <alignment horizontal="center" vertical="center"/>
    </xf>
    <xf numFmtId="0" fontId="45" fillId="14" borderId="30" xfId="0" applyFont="1" applyFill="1" applyBorder="1" applyAlignment="1">
      <alignment horizontal="center" vertical="center"/>
    </xf>
    <xf numFmtId="0" fontId="45" fillId="14" borderId="4" xfId="0" applyFont="1" applyFill="1" applyBorder="1" applyAlignment="1">
      <alignment horizontal="center" vertical="center"/>
    </xf>
    <xf numFmtId="0" fontId="10" fillId="0" borderId="109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10" fillId="0" borderId="150" xfId="0" applyFont="1" applyBorder="1" applyAlignment="1">
      <alignment horizontal="center" vertical="center"/>
    </xf>
    <xf numFmtId="0" fontId="10" fillId="0" borderId="151" xfId="0" applyFont="1" applyBorder="1" applyAlignment="1">
      <alignment horizontal="center" vertical="center"/>
    </xf>
    <xf numFmtId="0" fontId="10" fillId="0" borderId="152" xfId="0" applyFont="1" applyBorder="1" applyAlignment="1">
      <alignment horizontal="center" vertical="center"/>
    </xf>
    <xf numFmtId="0" fontId="10" fillId="0" borderId="153" xfId="0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0" fontId="10" fillId="0" borderId="80" xfId="0" applyFont="1" applyBorder="1" applyAlignment="1">
      <alignment horizontal="center"/>
    </xf>
    <xf numFmtId="0" fontId="10" fillId="0" borderId="81" xfId="0" applyFont="1" applyBorder="1" applyAlignment="1">
      <alignment horizontal="center"/>
    </xf>
    <xf numFmtId="166" fontId="10" fillId="0" borderId="44" xfId="0" applyNumberFormat="1" applyFont="1" applyBorder="1" applyAlignment="1">
      <alignment horizontal="left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0" fontId="45" fillId="14" borderId="14" xfId="0" applyFont="1" applyFill="1" applyBorder="1" applyAlignment="1">
      <alignment horizontal="center" vertical="center"/>
    </xf>
    <xf numFmtId="0" fontId="45" fillId="14" borderId="16" xfId="0" applyFont="1" applyFill="1" applyBorder="1" applyAlignment="1">
      <alignment horizontal="center" vertical="center"/>
    </xf>
    <xf numFmtId="0" fontId="45" fillId="14" borderId="17" xfId="0" applyFont="1" applyFill="1" applyBorder="1" applyAlignment="1">
      <alignment horizontal="center" vertical="center"/>
    </xf>
    <xf numFmtId="0" fontId="45" fillId="14" borderId="13" xfId="0" applyFont="1" applyFill="1" applyBorder="1" applyAlignment="1">
      <alignment horizontal="center" vertical="center"/>
    </xf>
    <xf numFmtId="0" fontId="45" fillId="14" borderId="8" xfId="0" applyFont="1" applyFill="1" applyBorder="1" applyAlignment="1">
      <alignment horizontal="center" vertical="center"/>
    </xf>
    <xf numFmtId="0" fontId="45" fillId="14" borderId="11" xfId="0" applyFont="1" applyFill="1" applyBorder="1" applyAlignment="1">
      <alignment horizontal="center" vertical="center"/>
    </xf>
    <xf numFmtId="1" fontId="10" fillId="0" borderId="41" xfId="0" applyNumberFormat="1" applyFont="1" applyBorder="1" applyAlignment="1">
      <alignment horizontal="center" vertical="center"/>
    </xf>
    <xf numFmtId="1" fontId="10" fillId="0" borderId="39" xfId="0" applyNumberFormat="1" applyFont="1" applyBorder="1" applyAlignment="1">
      <alignment horizontal="center" vertical="center"/>
    </xf>
    <xf numFmtId="1" fontId="10" fillId="0" borderId="60" xfId="0" applyNumberFormat="1" applyFont="1" applyBorder="1" applyAlignment="1">
      <alignment horizontal="center" vertical="center"/>
    </xf>
    <xf numFmtId="1" fontId="44" fillId="0" borderId="8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154" xfId="0" applyFont="1" applyBorder="1" applyAlignment="1">
      <alignment horizontal="center" vertical="center"/>
    </xf>
    <xf numFmtId="166" fontId="10" fillId="0" borderId="49" xfId="0" applyNumberFormat="1" applyFont="1" applyBorder="1" applyAlignment="1">
      <alignment horizontal="left" vertical="center"/>
    </xf>
    <xf numFmtId="49" fontId="10" fillId="0" borderId="41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1" fontId="44" fillId="0" borderId="2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55" xfId="0" applyFont="1" applyBorder="1" applyAlignment="1">
      <alignment horizontal="center" vertical="center"/>
    </xf>
    <xf numFmtId="0" fontId="10" fillId="0" borderId="156" xfId="0" applyFont="1" applyBorder="1" applyAlignment="1">
      <alignment horizontal="center" vertical="center"/>
    </xf>
    <xf numFmtId="0" fontId="10" fillId="0" borderId="157" xfId="0" applyFont="1" applyBorder="1" applyAlignment="1">
      <alignment horizontal="center" vertical="center"/>
    </xf>
    <xf numFmtId="166" fontId="10" fillId="0" borderId="25" xfId="0" applyNumberFormat="1" applyFont="1" applyBorder="1" applyAlignment="1">
      <alignment horizontal="left" vertical="center" wrapText="1"/>
    </xf>
    <xf numFmtId="0" fontId="45" fillId="14" borderId="7" xfId="0" applyFont="1" applyFill="1" applyBorder="1" applyAlignment="1">
      <alignment horizontal="center" vertical="center"/>
    </xf>
    <xf numFmtId="0" fontId="45" fillId="14" borderId="9" xfId="0" applyFont="1" applyFill="1" applyBorder="1" applyAlignment="1">
      <alignment horizontal="center" vertical="center"/>
    </xf>
    <xf numFmtId="0" fontId="41" fillId="0" borderId="76" xfId="0" applyFont="1" applyBorder="1" applyAlignment="1">
      <alignment horizontal="center" vertical="center"/>
    </xf>
    <xf numFmtId="0" fontId="41" fillId="0" borderId="77" xfId="0" applyFont="1" applyBorder="1" applyAlignment="1">
      <alignment horizontal="center" vertical="center"/>
    </xf>
    <xf numFmtId="0" fontId="41" fillId="0" borderId="78" xfId="0" applyFont="1" applyBorder="1" applyAlignment="1">
      <alignment horizontal="center" vertical="center"/>
    </xf>
    <xf numFmtId="0" fontId="41" fillId="0" borderId="79" xfId="0" applyFont="1" applyBorder="1" applyAlignment="1">
      <alignment horizontal="center" vertical="center"/>
    </xf>
    <xf numFmtId="0" fontId="41" fillId="0" borderId="80" xfId="0" applyFont="1" applyBorder="1" applyAlignment="1">
      <alignment horizontal="center" vertical="center"/>
    </xf>
    <xf numFmtId="0" fontId="41" fillId="0" borderId="81" xfId="0" applyFont="1" applyBorder="1" applyAlignment="1">
      <alignment horizontal="center" vertical="center"/>
    </xf>
    <xf numFmtId="166" fontId="10" fillId="0" borderId="44" xfId="0" applyNumberFormat="1" applyFont="1" applyBorder="1" applyAlignment="1">
      <alignment horizontal="left" vertical="center" wrapText="1"/>
    </xf>
    <xf numFmtId="49" fontId="10" fillId="0" borderId="42" xfId="0" applyNumberFormat="1" applyFont="1" applyBorder="1" applyAlignment="1">
      <alignment horizontal="center" vertical="center"/>
    </xf>
    <xf numFmtId="49" fontId="10" fillId="0" borderId="60" xfId="0" applyNumberFormat="1" applyFont="1" applyBorder="1" applyAlignment="1">
      <alignment horizontal="center" vertical="center"/>
    </xf>
    <xf numFmtId="0" fontId="45" fillId="14" borderId="18" xfId="0" applyFont="1" applyFill="1" applyBorder="1" applyAlignment="1">
      <alignment horizontal="center" vertical="center"/>
    </xf>
    <xf numFmtId="0" fontId="45" fillId="14" borderId="19" xfId="0" applyFont="1" applyFill="1" applyBorder="1" applyAlignment="1">
      <alignment horizontal="center" vertical="center"/>
    </xf>
    <xf numFmtId="0" fontId="45" fillId="14" borderId="20" xfId="0" applyFont="1" applyFill="1" applyBorder="1" applyAlignment="1">
      <alignment horizontal="center" vertical="center"/>
    </xf>
    <xf numFmtId="1" fontId="10" fillId="0" borderId="17" xfId="0" applyNumberFormat="1" applyFont="1" applyBorder="1" applyAlignment="1">
      <alignment horizontal="center" vertical="center"/>
    </xf>
    <xf numFmtId="1" fontId="44" fillId="0" borderId="16" xfId="0" applyNumberFormat="1" applyFont="1" applyBorder="1" applyAlignment="1">
      <alignment horizontal="center" vertical="center"/>
    </xf>
    <xf numFmtId="0" fontId="45" fillId="14" borderId="36" xfId="0" applyFont="1" applyFill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/>
    </xf>
    <xf numFmtId="1" fontId="44" fillId="0" borderId="17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1" fontId="10" fillId="0" borderId="44" xfId="0" applyNumberFormat="1" applyFont="1" applyBorder="1" applyAlignment="1">
      <alignment horizontal="center" vertical="center"/>
    </xf>
    <xf numFmtId="1" fontId="10" fillId="0" borderId="42" xfId="0" applyNumberFormat="1" applyFont="1" applyBorder="1" applyAlignment="1">
      <alignment horizontal="center" vertical="center"/>
    </xf>
    <xf numFmtId="1" fontId="44" fillId="0" borderId="13" xfId="0" applyNumberFormat="1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wrapText="1"/>
    </xf>
    <xf numFmtId="0" fontId="10" fillId="0" borderId="81" xfId="0" applyFont="1" applyBorder="1" applyAlignment="1">
      <alignment horizontal="center" vertical="center" wrapText="1"/>
    </xf>
    <xf numFmtId="1" fontId="10" fillId="0" borderId="40" xfId="0" applyNumberFormat="1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10" fillId="0" borderId="14" xfId="7" applyNumberFormat="1" applyFont="1" applyFill="1" applyBorder="1" applyAlignment="1">
      <alignment horizontal="center" vertical="center" wrapText="1"/>
    </xf>
    <xf numFmtId="0" fontId="10" fillId="0" borderId="16" xfId="7" applyNumberFormat="1" applyFont="1" applyFill="1" applyBorder="1" applyAlignment="1">
      <alignment horizontal="center" vertical="center" wrapText="1"/>
    </xf>
    <xf numFmtId="0" fontId="10" fillId="0" borderId="17" xfId="7" applyNumberFormat="1" applyFont="1" applyFill="1" applyBorder="1" applyAlignment="1">
      <alignment horizontal="center" vertical="center" wrapText="1"/>
    </xf>
    <xf numFmtId="49" fontId="10" fillId="0" borderId="40" xfId="0" applyNumberFormat="1" applyFont="1" applyBorder="1" applyAlignment="1">
      <alignment horizontal="center" vertical="center" wrapText="1"/>
    </xf>
    <xf numFmtId="0" fontId="17" fillId="0" borderId="76" xfId="0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1" fontId="10" fillId="0" borderId="76" xfId="0" applyNumberFormat="1" applyFont="1" applyBorder="1" applyAlignment="1">
      <alignment horizontal="center" vertical="center"/>
    </xf>
    <xf numFmtId="1" fontId="10" fillId="0" borderId="77" xfId="0" applyNumberFormat="1" applyFont="1" applyBorder="1" applyAlignment="1">
      <alignment horizontal="center" vertical="center"/>
    </xf>
    <xf numFmtId="1" fontId="10" fillId="0" borderId="78" xfId="0" applyNumberFormat="1" applyFont="1" applyBorder="1" applyAlignment="1">
      <alignment horizontal="center" vertical="center"/>
    </xf>
    <xf numFmtId="164" fontId="10" fillId="10" borderId="46" xfId="7" applyNumberFormat="1" applyFont="1" applyFill="1" applyBorder="1" applyAlignment="1">
      <alignment horizontal="center" wrapText="1"/>
    </xf>
    <xf numFmtId="164" fontId="10" fillId="10" borderId="1" xfId="7" applyNumberFormat="1" applyFont="1" applyFill="1" applyAlignment="1">
      <alignment horizontal="center" wrapText="1"/>
    </xf>
    <xf numFmtId="165" fontId="10" fillId="10" borderId="46" xfId="8" applyNumberFormat="1" applyFont="1" applyFill="1" applyBorder="1" applyAlignment="1">
      <alignment horizontal="center" vertical="center" wrapText="1"/>
    </xf>
    <xf numFmtId="165" fontId="10" fillId="10" borderId="1" xfId="8" applyNumberFormat="1" applyFont="1" applyFill="1" applyBorder="1" applyAlignment="1">
      <alignment horizontal="center" vertical="center" wrapText="1"/>
    </xf>
    <xf numFmtId="165" fontId="10" fillId="0" borderId="14" xfId="8" applyNumberFormat="1" applyFont="1" applyFill="1" applyBorder="1" applyAlignment="1">
      <alignment horizontal="center"/>
    </xf>
    <xf numFmtId="165" fontId="10" fillId="0" borderId="16" xfId="8" applyNumberFormat="1" applyFont="1" applyFill="1" applyBorder="1" applyAlignment="1">
      <alignment horizontal="center"/>
    </xf>
    <xf numFmtId="165" fontId="10" fillId="0" borderId="17" xfId="8" applyNumberFormat="1" applyFont="1" applyFill="1" applyBorder="1" applyAlignment="1">
      <alignment horizontal="center"/>
    </xf>
    <xf numFmtId="1" fontId="10" fillId="0" borderId="79" xfId="8" applyNumberFormat="1" applyFont="1" applyFill="1" applyBorder="1" applyAlignment="1">
      <alignment horizontal="center"/>
    </xf>
    <xf numFmtId="1" fontId="10" fillId="0" borderId="80" xfId="8" applyNumberFormat="1" applyFont="1" applyFill="1" applyBorder="1" applyAlignment="1">
      <alignment horizontal="center"/>
    </xf>
    <xf numFmtId="1" fontId="10" fillId="0" borderId="81" xfId="8" applyNumberFormat="1" applyFont="1" applyFill="1" applyBorder="1" applyAlignment="1">
      <alignment horizontal="center"/>
    </xf>
    <xf numFmtId="0" fontId="17" fillId="0" borderId="61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17" fillId="10" borderId="48" xfId="7" applyNumberFormat="1" applyFont="1" applyFill="1" applyBorder="1" applyAlignment="1">
      <alignment horizontal="left" vertical="center"/>
    </xf>
    <xf numFmtId="0" fontId="17" fillId="10" borderId="15" xfId="7" applyNumberFormat="1" applyFont="1" applyFill="1" applyBorder="1" applyAlignment="1">
      <alignment horizontal="left" vertical="center"/>
    </xf>
    <xf numFmtId="0" fontId="17" fillId="10" borderId="49" xfId="7" applyNumberFormat="1" applyFont="1" applyFill="1" applyBorder="1" applyAlignment="1">
      <alignment horizontal="left" vertical="center"/>
    </xf>
    <xf numFmtId="0" fontId="17" fillId="10" borderId="46" xfId="7" applyNumberFormat="1" applyFont="1" applyFill="1" applyBorder="1" applyAlignment="1">
      <alignment horizontal="center" vertical="center" wrapText="1"/>
    </xf>
    <xf numFmtId="0" fontId="17" fillId="10" borderId="1" xfId="7" applyNumberFormat="1" applyFont="1" applyFill="1" applyAlignment="1">
      <alignment horizontal="center" vertical="center" wrapText="1"/>
    </xf>
    <xf numFmtId="0" fontId="17" fillId="10" borderId="14" xfId="7" applyNumberFormat="1" applyFont="1" applyFill="1" applyBorder="1" applyAlignment="1">
      <alignment horizontal="center" vertical="center" wrapText="1"/>
    </xf>
    <xf numFmtId="0" fontId="17" fillId="10" borderId="50" xfId="7" applyNumberFormat="1" applyFont="1" applyFill="1" applyBorder="1" applyAlignment="1">
      <alignment horizontal="center" vertical="center" wrapText="1"/>
    </xf>
    <xf numFmtId="0" fontId="45" fillId="14" borderId="27" xfId="7" applyNumberFormat="1" applyFont="1" applyFill="1" applyBorder="1" applyAlignment="1">
      <alignment horizontal="center" vertical="center" wrapText="1"/>
    </xf>
    <xf numFmtId="1" fontId="10" fillId="10" borderId="46" xfId="8" applyNumberFormat="1" applyFont="1" applyFill="1" applyBorder="1" applyAlignment="1">
      <alignment horizontal="center" vertical="center" wrapText="1"/>
    </xf>
    <xf numFmtId="1" fontId="10" fillId="10" borderId="1" xfId="8" applyNumberFormat="1" applyFont="1" applyFill="1" applyBorder="1" applyAlignment="1">
      <alignment horizontal="center" vertical="center" wrapText="1"/>
    </xf>
    <xf numFmtId="0" fontId="44" fillId="10" borderId="27" xfId="7" applyNumberFormat="1" applyFont="1" applyFill="1" applyBorder="1" applyAlignment="1">
      <alignment horizontal="center" vertical="center" wrapText="1"/>
    </xf>
    <xf numFmtId="0" fontId="44" fillId="10" borderId="16" xfId="7" applyNumberFormat="1" applyFont="1" applyFill="1" applyBorder="1" applyAlignment="1">
      <alignment horizontal="center" vertical="center" wrapText="1"/>
    </xf>
    <xf numFmtId="0" fontId="44" fillId="10" borderId="17" xfId="7" applyNumberFormat="1" applyFont="1" applyFill="1" applyBorder="1" applyAlignment="1">
      <alignment horizontal="center" vertical="center" wrapText="1"/>
    </xf>
    <xf numFmtId="165" fontId="45" fillId="14" borderId="47" xfId="8" applyNumberFormat="1" applyFont="1" applyFill="1" applyBorder="1" applyAlignment="1">
      <alignment horizontal="center" vertical="center" wrapText="1"/>
    </xf>
    <xf numFmtId="165" fontId="45" fillId="14" borderId="32" xfId="8" applyNumberFormat="1" applyFont="1" applyFill="1" applyBorder="1" applyAlignment="1">
      <alignment horizontal="center" vertical="center" wrapText="1"/>
    </xf>
    <xf numFmtId="165" fontId="45" fillId="14" borderId="33" xfId="8" applyNumberFormat="1" applyFont="1" applyFill="1" applyBorder="1" applyAlignment="1">
      <alignment horizontal="center" vertical="center" wrapText="1"/>
    </xf>
    <xf numFmtId="0" fontId="17" fillId="10" borderId="55" xfId="7" applyNumberFormat="1" applyFont="1" applyFill="1" applyBorder="1" applyAlignment="1">
      <alignment horizontal="center" vertical="center"/>
    </xf>
    <xf numFmtId="0" fontId="17" fillId="10" borderId="38" xfId="7" applyNumberFormat="1" applyFont="1" applyFill="1" applyBorder="1" applyAlignment="1">
      <alignment horizontal="center" vertical="center"/>
    </xf>
    <xf numFmtId="14" fontId="54" fillId="14" borderId="5" xfId="7" applyNumberFormat="1" applyFont="1" applyFill="1" applyBorder="1" applyAlignment="1">
      <alignment horizontal="center" vertical="center" wrapText="1"/>
    </xf>
    <xf numFmtId="14" fontId="54" fillId="14" borderId="7" xfId="7" applyNumberFormat="1" applyFont="1" applyFill="1" applyBorder="1" applyAlignment="1">
      <alignment horizontal="center" vertical="center" wrapText="1"/>
    </xf>
    <xf numFmtId="14" fontId="54" fillId="14" borderId="9" xfId="7" applyNumberFormat="1" applyFont="1" applyFill="1" applyBorder="1" applyAlignment="1">
      <alignment horizontal="center" vertical="center" wrapText="1"/>
    </xf>
    <xf numFmtId="0" fontId="21" fillId="10" borderId="27" xfId="7" applyNumberFormat="1" applyFont="1" applyFill="1" applyBorder="1" applyAlignment="1">
      <alignment horizontal="center" vertical="center" wrapText="1"/>
    </xf>
    <xf numFmtId="0" fontId="21" fillId="10" borderId="16" xfId="7" applyNumberFormat="1" applyFont="1" applyFill="1" applyBorder="1" applyAlignment="1">
      <alignment horizontal="center" vertical="center" wrapText="1"/>
    </xf>
    <xf numFmtId="0" fontId="21" fillId="10" borderId="52" xfId="7" applyNumberFormat="1" applyFont="1" applyFill="1" applyBorder="1" applyAlignment="1">
      <alignment horizontal="center" vertical="center" wrapText="1"/>
    </xf>
    <xf numFmtId="0" fontId="53" fillId="19" borderId="27" xfId="7" applyNumberFormat="1" applyFont="1" applyFill="1" applyBorder="1" applyAlignment="1">
      <alignment horizontal="center" vertical="center" wrapText="1"/>
    </xf>
    <xf numFmtId="0" fontId="53" fillId="19" borderId="16" xfId="7" applyNumberFormat="1" applyFont="1" applyFill="1" applyBorder="1" applyAlignment="1">
      <alignment horizontal="center" vertical="center" wrapText="1"/>
    </xf>
    <xf numFmtId="0" fontId="53" fillId="19" borderId="17" xfId="7" applyNumberFormat="1" applyFont="1" applyFill="1" applyBorder="1" applyAlignment="1">
      <alignment horizontal="center" vertical="center" wrapText="1"/>
    </xf>
    <xf numFmtId="14" fontId="54" fillId="19" borderId="27" xfId="7" applyNumberFormat="1" applyFont="1" applyFill="1" applyBorder="1" applyAlignment="1">
      <alignment horizontal="center" vertical="center" wrapText="1"/>
    </xf>
    <xf numFmtId="14" fontId="54" fillId="19" borderId="16" xfId="7" applyNumberFormat="1" applyFont="1" applyFill="1" applyBorder="1" applyAlignment="1">
      <alignment horizontal="center" vertical="center" wrapText="1"/>
    </xf>
    <xf numFmtId="14" fontId="54" fillId="19" borderId="17" xfId="7" applyNumberFormat="1" applyFont="1" applyFill="1" applyBorder="1" applyAlignment="1">
      <alignment horizontal="center" vertical="center" wrapText="1"/>
    </xf>
    <xf numFmtId="0" fontId="53" fillId="14" borderId="27" xfId="7" applyNumberFormat="1" applyFont="1" applyFill="1" applyBorder="1" applyAlignment="1">
      <alignment horizontal="center" vertical="center" wrapText="1"/>
    </xf>
    <xf numFmtId="0" fontId="53" fillId="14" borderId="16" xfId="7" applyNumberFormat="1" applyFont="1" applyFill="1" applyBorder="1" applyAlignment="1">
      <alignment horizontal="center" vertical="center" wrapText="1"/>
    </xf>
    <xf numFmtId="0" fontId="53" fillId="14" borderId="17" xfId="7" applyNumberFormat="1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18" fillId="17" borderId="26" xfId="7" applyNumberFormat="1" applyFont="1" applyFill="1" applyBorder="1" applyAlignment="1">
      <alignment horizontal="center" vertical="center" wrapText="1"/>
    </xf>
    <xf numFmtId="164" fontId="18" fillId="17" borderId="29" xfId="7" applyNumberFormat="1" applyFont="1" applyFill="1" applyBorder="1" applyAlignment="1">
      <alignment horizontal="center" vertical="center" wrapText="1"/>
    </xf>
    <xf numFmtId="0" fontId="49" fillId="0" borderId="0" xfId="2" applyFont="1" applyAlignment="1">
      <alignment horizontal="center" vertical="center"/>
    </xf>
    <xf numFmtId="14" fontId="21" fillId="0" borderId="55" xfId="0" applyNumberFormat="1" applyFont="1" applyBorder="1" applyAlignment="1">
      <alignment horizontal="right"/>
    </xf>
    <xf numFmtId="0" fontId="21" fillId="0" borderId="59" xfId="0" applyFont="1" applyBorder="1" applyAlignment="1">
      <alignment horizontal="right"/>
    </xf>
    <xf numFmtId="0" fontId="21" fillId="0" borderId="3" xfId="0" applyFont="1" applyBorder="1" applyAlignment="1">
      <alignment horizontal="right"/>
    </xf>
    <xf numFmtId="0" fontId="21" fillId="0" borderId="38" xfId="0" applyFont="1" applyBorder="1" applyAlignment="1">
      <alignment horizontal="right"/>
    </xf>
    <xf numFmtId="0" fontId="18" fillId="10" borderId="25" xfId="7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9" fillId="10" borderId="25" xfId="7" applyNumberFormat="1" applyFont="1" applyFill="1" applyBorder="1" applyAlignment="1">
      <alignment horizontal="center" vertical="center" wrapText="1"/>
    </xf>
    <xf numFmtId="1" fontId="18" fillId="10" borderId="18" xfId="8" applyNumberFormat="1" applyFont="1" applyFill="1" applyBorder="1" applyAlignment="1">
      <alignment horizontal="center" vertical="center" wrapText="1"/>
    </xf>
    <xf numFmtId="1" fontId="18" fillId="10" borderId="20" xfId="8" applyNumberFormat="1" applyFont="1" applyFill="1" applyBorder="1" applyAlignment="1">
      <alignment horizontal="center" vertical="center" wrapText="1"/>
    </xf>
    <xf numFmtId="1" fontId="18" fillId="10" borderId="25" xfId="8" applyNumberFormat="1" applyFont="1" applyFill="1" applyBorder="1" applyAlignment="1">
      <alignment horizontal="center" vertical="center" wrapText="1"/>
    </xf>
    <xf numFmtId="1" fontId="33" fillId="10" borderId="158" xfId="7" applyNumberFormat="1" applyFont="1" applyFill="1" applyBorder="1" applyAlignment="1">
      <alignment horizontal="center" vertical="center" wrapText="1"/>
    </xf>
    <xf numFmtId="1" fontId="33" fillId="10" borderId="159" xfId="7" applyNumberFormat="1" applyFont="1" applyFill="1" applyBorder="1" applyAlignment="1">
      <alignment horizontal="center" vertical="center" wrapText="1"/>
    </xf>
    <xf numFmtId="0" fontId="36" fillId="0" borderId="0" xfId="2" applyFont="1" applyAlignment="1">
      <alignment horizontal="center" vertical="center"/>
    </xf>
    <xf numFmtId="0" fontId="35" fillId="11" borderId="25" xfId="0" applyFont="1" applyFill="1" applyBorder="1" applyAlignment="1">
      <alignment horizontal="center" vertical="center" wrapText="1"/>
    </xf>
    <xf numFmtId="0" fontId="35" fillId="11" borderId="55" xfId="0" applyFont="1" applyFill="1" applyBorder="1" applyAlignment="1">
      <alignment horizontal="center"/>
    </xf>
    <xf numFmtId="0" fontId="35" fillId="11" borderId="59" xfId="0" applyFont="1" applyFill="1" applyBorder="1" applyAlignment="1">
      <alignment horizontal="center"/>
    </xf>
    <xf numFmtId="0" fontId="35" fillId="11" borderId="38" xfId="0" applyFont="1" applyFill="1" applyBorder="1" applyAlignment="1">
      <alignment horizontal="center"/>
    </xf>
    <xf numFmtId="0" fontId="33" fillId="10" borderId="25" xfId="7" applyNumberFormat="1" applyFont="1" applyFill="1" applyBorder="1" applyAlignment="1">
      <alignment horizontal="center" vertical="center"/>
    </xf>
    <xf numFmtId="0" fontId="49" fillId="0" borderId="64" xfId="9" applyFont="1" applyFill="1" applyAlignment="1">
      <alignment horizontal="center"/>
    </xf>
    <xf numFmtId="0" fontId="15" fillId="5" borderId="66" xfId="0" applyFont="1" applyFill="1" applyBorder="1" applyAlignment="1">
      <alignment horizontal="center" wrapText="1"/>
    </xf>
    <xf numFmtId="168" fontId="15" fillId="5" borderId="66" xfId="0" applyNumberFormat="1" applyFont="1" applyFill="1" applyBorder="1" applyAlignment="1">
      <alignment horizontal="center" wrapText="1"/>
    </xf>
    <xf numFmtId="0" fontId="13" fillId="25" borderId="66" xfId="3" applyFont="1" applyFill="1" applyBorder="1" applyAlignment="1">
      <alignment horizontal="center"/>
    </xf>
    <xf numFmtId="0" fontId="15" fillId="0" borderId="163" xfId="3" applyFont="1" applyBorder="1" applyAlignment="1">
      <alignment horizontal="left"/>
    </xf>
    <xf numFmtId="0" fontId="15" fillId="0" borderId="164" xfId="3" applyFont="1" applyBorder="1" applyAlignment="1">
      <alignment horizontal="left"/>
    </xf>
    <xf numFmtId="0" fontId="15" fillId="0" borderId="165" xfId="3" applyFont="1" applyBorder="1" applyAlignment="1">
      <alignment horizontal="left"/>
    </xf>
    <xf numFmtId="0" fontId="15" fillId="0" borderId="166" xfId="3" applyFont="1" applyBorder="1" applyAlignment="1">
      <alignment horizontal="left"/>
    </xf>
    <xf numFmtId="0" fontId="15" fillId="0" borderId="167" xfId="3" applyFont="1" applyBorder="1" applyAlignment="1">
      <alignment horizontal="left"/>
    </xf>
    <xf numFmtId="0" fontId="15" fillId="0" borderId="168" xfId="3" applyFont="1" applyBorder="1" applyAlignment="1">
      <alignment horizontal="left"/>
    </xf>
    <xf numFmtId="0" fontId="15" fillId="0" borderId="160" xfId="3" applyFont="1" applyBorder="1" applyAlignment="1">
      <alignment horizontal="left"/>
    </xf>
    <xf numFmtId="0" fontId="15" fillId="0" borderId="161" xfId="3" applyFont="1" applyBorder="1" applyAlignment="1">
      <alignment horizontal="left"/>
    </xf>
    <xf numFmtId="0" fontId="15" fillId="0" borderId="162" xfId="3" applyFont="1" applyBorder="1" applyAlignment="1">
      <alignment horizontal="left"/>
    </xf>
    <xf numFmtId="0" fontId="15" fillId="5" borderId="169" xfId="0" applyFont="1" applyFill="1" applyBorder="1" applyAlignment="1">
      <alignment horizontal="left" wrapText="1"/>
    </xf>
    <xf numFmtId="0" fontId="15" fillId="5" borderId="68" xfId="0" applyFont="1" applyFill="1" applyBorder="1" applyAlignment="1">
      <alignment horizontal="left" wrapText="1"/>
    </xf>
    <xf numFmtId="166" fontId="12" fillId="0" borderId="170" xfId="0" applyNumberFormat="1" applyFont="1" applyBorder="1" applyAlignment="1">
      <alignment horizontal="center" vertical="center"/>
    </xf>
    <xf numFmtId="166" fontId="12" fillId="0" borderId="171" xfId="0" applyNumberFormat="1" applyFont="1" applyBorder="1" applyAlignment="1">
      <alignment horizontal="center" vertical="center"/>
    </xf>
    <xf numFmtId="166" fontId="12" fillId="0" borderId="172" xfId="0" applyNumberFormat="1" applyFont="1" applyBorder="1" applyAlignment="1">
      <alignment horizontal="center" vertical="center"/>
    </xf>
    <xf numFmtId="49" fontId="11" fillId="0" borderId="170" xfId="0" applyNumberFormat="1" applyFont="1" applyBorder="1" applyAlignment="1">
      <alignment horizontal="center"/>
    </xf>
    <xf numFmtId="49" fontId="11" fillId="0" borderId="17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170" xfId="0" applyFont="1" applyBorder="1" applyAlignment="1">
      <alignment horizontal="center"/>
    </xf>
    <xf numFmtId="0" fontId="12" fillId="0" borderId="171" xfId="0" applyFont="1" applyBorder="1" applyAlignment="1">
      <alignment horizontal="center"/>
    </xf>
    <xf numFmtId="0" fontId="12" fillId="0" borderId="172" xfId="0" applyFont="1" applyBorder="1" applyAlignment="1">
      <alignment horizontal="center"/>
    </xf>
    <xf numFmtId="0" fontId="19" fillId="0" borderId="137" xfId="0" applyFont="1" applyBorder="1" applyAlignment="1">
      <alignment horizontal="right" vertical="center"/>
    </xf>
    <xf numFmtId="0" fontId="19" fillId="0" borderId="25" xfId="0" applyFont="1" applyBorder="1" applyAlignment="1">
      <alignment vertical="center"/>
    </xf>
  </cellXfs>
  <cellStyles count="10">
    <cellStyle name="Millares" xfId="1" builtinId="3"/>
    <cellStyle name="Normal" xfId="0" builtinId="0"/>
    <cellStyle name="Normal 2" xfId="2"/>
    <cellStyle name="Normal_Planilla Fasa" xfId="3"/>
    <cellStyle name="Style 1" xfId="4"/>
    <cellStyle name="Style 2" xfId="5"/>
    <cellStyle name="Style 3" xfId="6"/>
    <cellStyle name="Style 4" xfId="7"/>
    <cellStyle name="Style 5" xfId="8"/>
    <cellStyle name="Título 2" xfId="9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cid:image002.jpg@01D20A9B.2DD52E0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1</xdr:col>
      <xdr:colOff>962025</xdr:colOff>
      <xdr:row>6</xdr:row>
      <xdr:rowOff>123825</xdr:rowOff>
    </xdr:to>
    <xdr:pic>
      <xdr:nvPicPr>
        <xdr:cNvPr id="22019" name="Imagen 1">
          <a:extLst>
            <a:ext uri="{FF2B5EF4-FFF2-40B4-BE49-F238E27FC236}">
              <a16:creationId xmlns:a16="http://schemas.microsoft.com/office/drawing/2014/main" id="{C261D981-51CE-4E1D-B679-5FE18E3D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6200"/>
          <a:ext cx="13620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15</xdr:row>
      <xdr:rowOff>219075</xdr:rowOff>
    </xdr:from>
    <xdr:to>
      <xdr:col>39</xdr:col>
      <xdr:colOff>95250</xdr:colOff>
      <xdr:row>22</xdr:row>
      <xdr:rowOff>104775</xdr:rowOff>
    </xdr:to>
    <xdr:pic>
      <xdr:nvPicPr>
        <xdr:cNvPr id="24878" name="Imagen 3">
          <a:extLst>
            <a:ext uri="{FF2B5EF4-FFF2-40B4-BE49-F238E27FC236}">
              <a16:creationId xmlns:a16="http://schemas.microsoft.com/office/drawing/2014/main" id="{94B4F04C-9250-47F3-A295-E2E97DC1F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98975" y="9010650"/>
          <a:ext cx="12620625" cy="3686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981075</xdr:colOff>
      <xdr:row>3</xdr:row>
      <xdr:rowOff>142875</xdr:rowOff>
    </xdr:to>
    <xdr:pic>
      <xdr:nvPicPr>
        <xdr:cNvPr id="18972" name="Imagen 1">
          <a:extLst>
            <a:ext uri="{FF2B5EF4-FFF2-40B4-BE49-F238E27FC236}">
              <a16:creationId xmlns:a16="http://schemas.microsoft.com/office/drawing/2014/main" id="{7D132617-C3B9-4683-BF08-6DB9EF158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3620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19050</xdr:rowOff>
    </xdr:from>
    <xdr:to>
      <xdr:col>1</xdr:col>
      <xdr:colOff>1181100</xdr:colOff>
      <xdr:row>3</xdr:row>
      <xdr:rowOff>161925</xdr:rowOff>
    </xdr:to>
    <xdr:pic>
      <xdr:nvPicPr>
        <xdr:cNvPr id="21010" name="Imagen 1">
          <a:extLst>
            <a:ext uri="{FF2B5EF4-FFF2-40B4-BE49-F238E27FC236}">
              <a16:creationId xmlns:a16="http://schemas.microsoft.com/office/drawing/2014/main" id="{D3C6B986-9585-481A-B786-076D48A7B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9050"/>
          <a:ext cx="13620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76200</xdr:rowOff>
    </xdr:from>
    <xdr:to>
      <xdr:col>1</xdr:col>
      <xdr:colOff>714375</xdr:colOff>
      <xdr:row>1</xdr:row>
      <xdr:rowOff>285750</xdr:rowOff>
    </xdr:to>
    <xdr:pic>
      <xdr:nvPicPr>
        <xdr:cNvPr id="9199" name="Imagen 2">
          <a:extLst>
            <a:ext uri="{FF2B5EF4-FFF2-40B4-BE49-F238E27FC236}">
              <a16:creationId xmlns:a16="http://schemas.microsoft.com/office/drawing/2014/main" id="{587388DA-3C60-42F0-868D-3DF60C81E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76200"/>
          <a:ext cx="9144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39"/>
  <sheetViews>
    <sheetView view="pageBreakPreview" topLeftCell="H1" zoomScale="60" zoomScaleNormal="100" workbookViewId="0">
      <pane ySplit="4" topLeftCell="A202" activePane="bottomLeft" state="frozen"/>
      <selection activeCell="B1" sqref="B1"/>
      <selection pane="bottomLeft" activeCell="DO229" sqref="DO229"/>
    </sheetView>
  </sheetViews>
  <sheetFormatPr baseColWidth="10" defaultColWidth="8.85546875" defaultRowHeight="15.75" outlineLevelCol="2" x14ac:dyDescent="0.25"/>
  <cols>
    <col min="1" max="1" width="3.140625" style="124" hidden="1" customWidth="1"/>
    <col min="2" max="2" width="53.7109375" style="251" customWidth="1"/>
    <col min="3" max="3" width="20.7109375" style="125" hidden="1" customWidth="1"/>
    <col min="4" max="4" width="13.85546875" style="125" customWidth="1"/>
    <col min="5" max="5" width="37.7109375" style="126" hidden="1" customWidth="1"/>
    <col min="6" max="6" width="11.7109375" style="125" hidden="1" customWidth="1"/>
    <col min="7" max="7" width="13.5703125" style="127" hidden="1" customWidth="1"/>
    <col min="8" max="8" width="18.140625" style="127" customWidth="1"/>
    <col min="9" max="9" width="9.7109375" style="125" hidden="1" customWidth="1"/>
    <col min="10" max="20" width="6.7109375" style="125" hidden="1" customWidth="1" outlineLevel="1"/>
    <col min="21" max="21" width="8" style="125" hidden="1" customWidth="1" outlineLevel="1"/>
    <col min="22" max="22" width="9.7109375" style="125" hidden="1" customWidth="1" collapsed="1"/>
    <col min="23" max="34" width="6.7109375" style="125" hidden="1" customWidth="1" outlineLevel="2"/>
    <col min="35" max="35" width="9.7109375" style="125" hidden="1" customWidth="1" collapsed="1"/>
    <col min="36" max="47" width="5.85546875" style="125" hidden="1" customWidth="1" outlineLevel="1"/>
    <col min="48" max="48" width="9.7109375" style="125" hidden="1" customWidth="1" collapsed="1"/>
    <col min="49" max="49" width="6" style="125" hidden="1" customWidth="1" outlineLevel="1"/>
    <col min="50" max="60" width="5.85546875" style="125" hidden="1" customWidth="1" outlineLevel="1"/>
    <col min="61" max="61" width="9.5703125" style="125" hidden="1" customWidth="1" collapsed="1"/>
    <col min="62" max="72" width="6.140625" style="125" hidden="1" customWidth="1" outlineLevel="1"/>
    <col min="73" max="73" width="6.28515625" style="125" hidden="1" customWidth="1" outlineLevel="1"/>
    <col min="74" max="74" width="9.7109375" style="125" hidden="1" customWidth="1" collapsed="1"/>
    <col min="75" max="75" width="5.7109375" style="125" hidden="1" customWidth="1" outlineLevel="1"/>
    <col min="76" max="86" width="5.5703125" style="125" hidden="1" customWidth="1" outlineLevel="1"/>
    <col min="87" max="87" width="9.5703125" style="128" hidden="1" customWidth="1" collapsed="1"/>
    <col min="88" max="88" width="5.7109375" style="125" hidden="1" customWidth="1" outlineLevel="1"/>
    <col min="89" max="99" width="5.5703125" style="125" hidden="1" customWidth="1" outlineLevel="1"/>
    <col min="100" max="100" width="9.85546875" style="128" hidden="1" customWidth="1" collapsed="1"/>
    <col min="101" max="101" width="5.7109375" style="125" hidden="1" customWidth="1" outlineLevel="1"/>
    <col min="102" max="112" width="5.5703125" style="125" hidden="1" customWidth="1" outlineLevel="1"/>
    <col min="113" max="113" width="9.85546875" style="128" hidden="1" customWidth="1" collapsed="1"/>
    <col min="114" max="114" width="14.42578125" style="170" customWidth="1"/>
    <col min="115" max="115" width="27.140625" style="127" customWidth="1"/>
    <col min="116" max="116" width="8.85546875" style="125" customWidth="1"/>
    <col min="117" max="117" width="15.140625" style="125" customWidth="1"/>
    <col min="118" max="16384" width="8.85546875" style="125"/>
  </cols>
  <sheetData>
    <row r="1" spans="1:115" x14ac:dyDescent="0.25">
      <c r="B1" s="1149" t="s">
        <v>180</v>
      </c>
      <c r="C1" s="1150"/>
      <c r="D1" s="1150"/>
      <c r="E1" s="1150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0"/>
      <c r="R1" s="1150"/>
      <c r="S1" s="1150"/>
      <c r="T1" s="1150"/>
      <c r="U1" s="1150"/>
      <c r="V1" s="1150"/>
      <c r="W1" s="1150"/>
      <c r="X1" s="1150"/>
      <c r="Y1" s="1150"/>
      <c r="Z1" s="1150"/>
      <c r="AA1" s="1150"/>
      <c r="AB1" s="1150"/>
      <c r="AC1" s="1150"/>
      <c r="AD1" s="1150"/>
      <c r="AE1" s="1150"/>
      <c r="AF1" s="1150"/>
      <c r="AG1" s="1150"/>
      <c r="AH1" s="1150"/>
      <c r="AI1" s="1150"/>
      <c r="AJ1" s="1150"/>
      <c r="AK1" s="1150"/>
      <c r="AL1" s="1150"/>
      <c r="AM1" s="1150"/>
      <c r="AN1" s="1150"/>
      <c r="AO1" s="1150"/>
      <c r="AP1" s="1150"/>
      <c r="AQ1" s="1150"/>
      <c r="AR1" s="1150"/>
      <c r="AS1" s="1150"/>
      <c r="AT1" s="1150"/>
      <c r="AU1" s="1150"/>
      <c r="AV1" s="1150"/>
      <c r="AW1" s="1150"/>
      <c r="AX1" s="1150"/>
      <c r="AY1" s="1150"/>
      <c r="AZ1" s="1150"/>
      <c r="BA1" s="1150"/>
      <c r="BB1" s="1150"/>
      <c r="BC1" s="1150"/>
      <c r="BD1" s="1150"/>
      <c r="BE1" s="1150"/>
      <c r="BF1" s="1150"/>
      <c r="BG1" s="1150"/>
      <c r="BH1" s="1150"/>
      <c r="BI1" s="1150"/>
      <c r="BJ1" s="1150"/>
      <c r="BK1" s="1150"/>
      <c r="BL1" s="1150"/>
      <c r="BM1" s="1150"/>
      <c r="BN1" s="1150"/>
      <c r="BO1" s="1150"/>
      <c r="BP1" s="1150"/>
      <c r="BQ1" s="1150"/>
      <c r="BR1" s="1150"/>
      <c r="BS1" s="1150"/>
      <c r="BT1" s="1150"/>
      <c r="BU1" s="1150"/>
      <c r="BV1" s="1150"/>
      <c r="BW1" s="1150"/>
      <c r="BX1" s="1150"/>
      <c r="BY1" s="1150"/>
      <c r="BZ1" s="1150"/>
      <c r="CA1" s="1150"/>
      <c r="CB1" s="1150"/>
      <c r="CC1" s="1150"/>
      <c r="CD1" s="1150"/>
      <c r="CE1" s="1150"/>
      <c r="CF1" s="1150"/>
      <c r="CG1" s="1150"/>
      <c r="CH1" s="1150"/>
      <c r="CI1" s="1150"/>
      <c r="CJ1" s="1150"/>
      <c r="CK1" s="1150"/>
      <c r="CL1" s="1150"/>
      <c r="CM1" s="1150"/>
      <c r="CN1" s="1150"/>
      <c r="CO1" s="1150"/>
      <c r="CP1" s="1150"/>
      <c r="CQ1" s="1150"/>
      <c r="CR1" s="1150"/>
      <c r="CS1" s="1150"/>
      <c r="CT1" s="1150"/>
      <c r="CU1" s="1150"/>
      <c r="CV1" s="1150"/>
      <c r="CW1" s="1150"/>
      <c r="CX1" s="1150"/>
      <c r="CY1" s="1150"/>
      <c r="CZ1" s="1150"/>
      <c r="DA1" s="1150"/>
      <c r="DB1" s="1150"/>
      <c r="DC1" s="1150"/>
      <c r="DD1" s="1150"/>
      <c r="DE1" s="1150"/>
      <c r="DF1" s="1150"/>
      <c r="DG1" s="1150"/>
      <c r="DH1" s="1150"/>
      <c r="DI1" s="1150"/>
      <c r="DJ1" s="1150"/>
      <c r="DK1" s="1151"/>
    </row>
    <row r="2" spans="1:115" s="130" customFormat="1" ht="15" customHeight="1" x14ac:dyDescent="0.25">
      <c r="A2" s="129"/>
      <c r="B2" s="1152" t="s">
        <v>68</v>
      </c>
      <c r="C2" s="1155" t="s">
        <v>0</v>
      </c>
      <c r="D2" s="1155" t="s">
        <v>181</v>
      </c>
      <c r="E2" s="1155" t="s">
        <v>182</v>
      </c>
      <c r="F2" s="1155" t="s">
        <v>183</v>
      </c>
      <c r="G2" s="1159" t="s">
        <v>184</v>
      </c>
      <c r="H2" s="227">
        <v>44119</v>
      </c>
      <c r="I2" s="1141" t="s">
        <v>78</v>
      </c>
      <c r="J2" s="1139" t="s">
        <v>1</v>
      </c>
      <c r="K2" s="1139"/>
      <c r="L2" s="1139"/>
      <c r="M2" s="1139"/>
      <c r="N2" s="1139"/>
      <c r="O2" s="1139"/>
      <c r="P2" s="1139"/>
      <c r="Q2" s="1139"/>
      <c r="R2" s="1139"/>
      <c r="S2" s="1139"/>
      <c r="T2" s="1139"/>
      <c r="U2" s="1139"/>
      <c r="V2" s="1141" t="s">
        <v>79</v>
      </c>
      <c r="W2" s="1139" t="s">
        <v>2</v>
      </c>
      <c r="X2" s="1139"/>
      <c r="Y2" s="1139"/>
      <c r="Z2" s="1139"/>
      <c r="AA2" s="1139"/>
      <c r="AB2" s="1139"/>
      <c r="AC2" s="1139"/>
      <c r="AD2" s="1139"/>
      <c r="AE2" s="1139"/>
      <c r="AF2" s="1139"/>
      <c r="AG2" s="1139"/>
      <c r="AH2" s="1139"/>
      <c r="AI2" s="1141" t="s">
        <v>80</v>
      </c>
      <c r="AJ2" s="1139" t="s">
        <v>60</v>
      </c>
      <c r="AK2" s="1139"/>
      <c r="AL2" s="1139"/>
      <c r="AM2" s="1139"/>
      <c r="AN2" s="1139"/>
      <c r="AO2" s="1139"/>
      <c r="AP2" s="1139"/>
      <c r="AQ2" s="1139"/>
      <c r="AR2" s="1139"/>
      <c r="AS2" s="1139"/>
      <c r="AT2" s="1139"/>
      <c r="AU2" s="1139"/>
      <c r="AV2" s="1141" t="s">
        <v>81</v>
      </c>
      <c r="AW2" s="1139" t="s">
        <v>72</v>
      </c>
      <c r="AX2" s="1139"/>
      <c r="AY2" s="1139"/>
      <c r="AZ2" s="1139"/>
      <c r="BA2" s="1139"/>
      <c r="BB2" s="1139"/>
      <c r="BC2" s="1139"/>
      <c r="BD2" s="1139"/>
      <c r="BE2" s="1139"/>
      <c r="BF2" s="1139"/>
      <c r="BG2" s="1139"/>
      <c r="BH2" s="1139"/>
      <c r="BI2" s="1141" t="s">
        <v>82</v>
      </c>
      <c r="BJ2" s="1139" t="s">
        <v>73</v>
      </c>
      <c r="BK2" s="1139"/>
      <c r="BL2" s="1139"/>
      <c r="BM2" s="1139"/>
      <c r="BN2" s="1139"/>
      <c r="BO2" s="1139"/>
      <c r="BP2" s="1139"/>
      <c r="BQ2" s="1139"/>
      <c r="BR2" s="1139"/>
      <c r="BS2" s="1139"/>
      <c r="BT2" s="1139"/>
      <c r="BU2" s="1139"/>
      <c r="BV2" s="1141" t="s">
        <v>83</v>
      </c>
      <c r="BW2" s="1139" t="s">
        <v>88</v>
      </c>
      <c r="BX2" s="1139"/>
      <c r="BY2" s="1139"/>
      <c r="BZ2" s="1139"/>
      <c r="CA2" s="1139"/>
      <c r="CB2" s="1139"/>
      <c r="CC2" s="1139"/>
      <c r="CD2" s="1139"/>
      <c r="CE2" s="1139"/>
      <c r="CF2" s="1139"/>
      <c r="CG2" s="1139"/>
      <c r="CH2" s="1139"/>
      <c r="CI2" s="1160" t="s">
        <v>89</v>
      </c>
      <c r="CJ2" s="1139" t="s">
        <v>98</v>
      </c>
      <c r="CK2" s="1139"/>
      <c r="CL2" s="1139"/>
      <c r="CM2" s="1139"/>
      <c r="CN2" s="1139"/>
      <c r="CO2" s="1139"/>
      <c r="CP2" s="1139"/>
      <c r="CQ2" s="1139"/>
      <c r="CR2" s="1139"/>
      <c r="CS2" s="1139"/>
      <c r="CT2" s="1139"/>
      <c r="CU2" s="1139"/>
      <c r="CV2" s="1160" t="s">
        <v>99</v>
      </c>
      <c r="CW2" s="1139" t="s">
        <v>148</v>
      </c>
      <c r="CX2" s="1139"/>
      <c r="CY2" s="1139"/>
      <c r="CZ2" s="1139"/>
      <c r="DA2" s="1139"/>
      <c r="DB2" s="1139"/>
      <c r="DC2" s="1139"/>
      <c r="DD2" s="1139"/>
      <c r="DE2" s="1139"/>
      <c r="DF2" s="1139"/>
      <c r="DG2" s="1139"/>
      <c r="DH2" s="1139"/>
      <c r="DI2" s="1160" t="s">
        <v>185</v>
      </c>
      <c r="DJ2" s="1162" t="s">
        <v>3</v>
      </c>
      <c r="DK2" s="1165" t="s">
        <v>186</v>
      </c>
    </row>
    <row r="3" spans="1:115" s="130" customFormat="1" x14ac:dyDescent="0.25">
      <c r="A3" s="129"/>
      <c r="B3" s="1153"/>
      <c r="C3" s="1156"/>
      <c r="D3" s="1156"/>
      <c r="E3" s="1156"/>
      <c r="F3" s="1156"/>
      <c r="G3" s="962"/>
      <c r="H3" s="962" t="s">
        <v>184</v>
      </c>
      <c r="I3" s="1142"/>
      <c r="J3" s="1140"/>
      <c r="K3" s="1140"/>
      <c r="L3" s="1140"/>
      <c r="M3" s="1140"/>
      <c r="N3" s="1140"/>
      <c r="O3" s="1140"/>
      <c r="P3" s="1140"/>
      <c r="Q3" s="1140"/>
      <c r="R3" s="1140"/>
      <c r="S3" s="1140"/>
      <c r="T3" s="1140"/>
      <c r="U3" s="1140"/>
      <c r="V3" s="1142"/>
      <c r="W3" s="1140"/>
      <c r="X3" s="1140"/>
      <c r="Y3" s="1140"/>
      <c r="Z3" s="1140"/>
      <c r="AA3" s="1140"/>
      <c r="AB3" s="1140"/>
      <c r="AC3" s="1140"/>
      <c r="AD3" s="1140"/>
      <c r="AE3" s="1140"/>
      <c r="AF3" s="1140"/>
      <c r="AG3" s="1140"/>
      <c r="AH3" s="1140"/>
      <c r="AI3" s="1142"/>
      <c r="AJ3" s="1140"/>
      <c r="AK3" s="1140"/>
      <c r="AL3" s="1140"/>
      <c r="AM3" s="1140"/>
      <c r="AN3" s="1140"/>
      <c r="AO3" s="1140"/>
      <c r="AP3" s="1140"/>
      <c r="AQ3" s="1140"/>
      <c r="AR3" s="1140"/>
      <c r="AS3" s="1140"/>
      <c r="AT3" s="1140"/>
      <c r="AU3" s="1140"/>
      <c r="AV3" s="1142"/>
      <c r="AW3" s="1140"/>
      <c r="AX3" s="1140"/>
      <c r="AY3" s="1140"/>
      <c r="AZ3" s="1140"/>
      <c r="BA3" s="1140"/>
      <c r="BB3" s="1140"/>
      <c r="BC3" s="1140"/>
      <c r="BD3" s="1140"/>
      <c r="BE3" s="1140"/>
      <c r="BF3" s="1140"/>
      <c r="BG3" s="1140"/>
      <c r="BH3" s="1140"/>
      <c r="BI3" s="1142"/>
      <c r="BJ3" s="1140"/>
      <c r="BK3" s="1140"/>
      <c r="BL3" s="1140"/>
      <c r="BM3" s="1140"/>
      <c r="BN3" s="1140"/>
      <c r="BO3" s="1140"/>
      <c r="BP3" s="1140"/>
      <c r="BQ3" s="1140"/>
      <c r="BR3" s="1140"/>
      <c r="BS3" s="1140"/>
      <c r="BT3" s="1140"/>
      <c r="BU3" s="1140"/>
      <c r="BV3" s="1142"/>
      <c r="BW3" s="1140"/>
      <c r="BX3" s="1140"/>
      <c r="BY3" s="1140"/>
      <c r="BZ3" s="1140"/>
      <c r="CA3" s="1140"/>
      <c r="CB3" s="1140"/>
      <c r="CC3" s="1140"/>
      <c r="CD3" s="1140"/>
      <c r="CE3" s="1140"/>
      <c r="CF3" s="1140"/>
      <c r="CG3" s="1140"/>
      <c r="CH3" s="1140"/>
      <c r="CI3" s="1161"/>
      <c r="CJ3" s="1140"/>
      <c r="CK3" s="1140"/>
      <c r="CL3" s="1140"/>
      <c r="CM3" s="1140"/>
      <c r="CN3" s="1140"/>
      <c r="CO3" s="1140"/>
      <c r="CP3" s="1140"/>
      <c r="CQ3" s="1140"/>
      <c r="CR3" s="1140"/>
      <c r="CS3" s="1140"/>
      <c r="CT3" s="1140"/>
      <c r="CU3" s="1140"/>
      <c r="CV3" s="1161"/>
      <c r="CW3" s="1140"/>
      <c r="CX3" s="1140"/>
      <c r="CY3" s="1140"/>
      <c r="CZ3" s="1140"/>
      <c r="DA3" s="1140"/>
      <c r="DB3" s="1140"/>
      <c r="DC3" s="1140"/>
      <c r="DD3" s="1140"/>
      <c r="DE3" s="1140"/>
      <c r="DF3" s="1140"/>
      <c r="DG3" s="1140"/>
      <c r="DH3" s="1140"/>
      <c r="DI3" s="1161"/>
      <c r="DJ3" s="1163"/>
      <c r="DK3" s="1166"/>
    </row>
    <row r="4" spans="1:115" s="130" customFormat="1" ht="39.75" customHeight="1" x14ac:dyDescent="0.25">
      <c r="A4" s="129"/>
      <c r="B4" s="1154"/>
      <c r="C4" s="1156"/>
      <c r="D4" s="1157"/>
      <c r="E4" s="1158"/>
      <c r="F4" s="1156"/>
      <c r="G4" s="963"/>
      <c r="H4" s="963"/>
      <c r="I4" s="1142"/>
      <c r="J4" s="131" t="s">
        <v>4</v>
      </c>
      <c r="K4" s="131" t="s">
        <v>5</v>
      </c>
      <c r="L4" s="131" t="s">
        <v>6</v>
      </c>
      <c r="M4" s="131" t="s">
        <v>7</v>
      </c>
      <c r="N4" s="131" t="s">
        <v>8</v>
      </c>
      <c r="O4" s="131" t="s">
        <v>9</v>
      </c>
      <c r="P4" s="131" t="s">
        <v>10</v>
      </c>
      <c r="Q4" s="131" t="s">
        <v>11</v>
      </c>
      <c r="R4" s="131" t="s">
        <v>12</v>
      </c>
      <c r="S4" s="131" t="s">
        <v>13</v>
      </c>
      <c r="T4" s="131" t="s">
        <v>14</v>
      </c>
      <c r="U4" s="132" t="s">
        <v>15</v>
      </c>
      <c r="V4" s="1142"/>
      <c r="W4" s="131" t="s">
        <v>4</v>
      </c>
      <c r="X4" s="131" t="s">
        <v>5</v>
      </c>
      <c r="Y4" s="131" t="s">
        <v>6</v>
      </c>
      <c r="Z4" s="131" t="s">
        <v>7</v>
      </c>
      <c r="AA4" s="131" t="s">
        <v>8</v>
      </c>
      <c r="AB4" s="131" t="s">
        <v>9</v>
      </c>
      <c r="AC4" s="131" t="s">
        <v>10</v>
      </c>
      <c r="AD4" s="131" t="s">
        <v>11</v>
      </c>
      <c r="AE4" s="131" t="s">
        <v>12</v>
      </c>
      <c r="AF4" s="131" t="s">
        <v>13</v>
      </c>
      <c r="AG4" s="131" t="s">
        <v>14</v>
      </c>
      <c r="AH4" s="132" t="s">
        <v>15</v>
      </c>
      <c r="AI4" s="1142"/>
      <c r="AJ4" s="131" t="s">
        <v>4</v>
      </c>
      <c r="AK4" s="131" t="s">
        <v>5</v>
      </c>
      <c r="AL4" s="131" t="s">
        <v>6</v>
      </c>
      <c r="AM4" s="131" t="s">
        <v>7</v>
      </c>
      <c r="AN4" s="131" t="s">
        <v>8</v>
      </c>
      <c r="AO4" s="131" t="s">
        <v>9</v>
      </c>
      <c r="AP4" s="131" t="s">
        <v>10</v>
      </c>
      <c r="AQ4" s="131" t="s">
        <v>11</v>
      </c>
      <c r="AR4" s="131" t="s">
        <v>12</v>
      </c>
      <c r="AS4" s="131" t="s">
        <v>13</v>
      </c>
      <c r="AT4" s="131" t="s">
        <v>14</v>
      </c>
      <c r="AU4" s="132" t="s">
        <v>15</v>
      </c>
      <c r="AV4" s="1142"/>
      <c r="AW4" s="131" t="s">
        <v>4</v>
      </c>
      <c r="AX4" s="131" t="s">
        <v>5</v>
      </c>
      <c r="AY4" s="131" t="s">
        <v>6</v>
      </c>
      <c r="AZ4" s="131" t="s">
        <v>7</v>
      </c>
      <c r="BA4" s="131" t="s">
        <v>8</v>
      </c>
      <c r="BB4" s="131" t="s">
        <v>9</v>
      </c>
      <c r="BC4" s="131" t="s">
        <v>10</v>
      </c>
      <c r="BD4" s="131" t="s">
        <v>11</v>
      </c>
      <c r="BE4" s="131" t="s">
        <v>12</v>
      </c>
      <c r="BF4" s="131" t="s">
        <v>13</v>
      </c>
      <c r="BG4" s="131" t="s">
        <v>14</v>
      </c>
      <c r="BH4" s="132" t="s">
        <v>15</v>
      </c>
      <c r="BI4" s="1142"/>
      <c r="BJ4" s="131" t="s">
        <v>4</v>
      </c>
      <c r="BK4" s="131" t="s">
        <v>5</v>
      </c>
      <c r="BL4" s="131" t="s">
        <v>6</v>
      </c>
      <c r="BM4" s="131" t="s">
        <v>7</v>
      </c>
      <c r="BN4" s="131" t="s">
        <v>8</v>
      </c>
      <c r="BO4" s="131" t="s">
        <v>9</v>
      </c>
      <c r="BP4" s="131" t="s">
        <v>10</v>
      </c>
      <c r="BQ4" s="131" t="s">
        <v>11</v>
      </c>
      <c r="BR4" s="131" t="s">
        <v>12</v>
      </c>
      <c r="BS4" s="131" t="s">
        <v>13</v>
      </c>
      <c r="BT4" s="131" t="s">
        <v>14</v>
      </c>
      <c r="BU4" s="132" t="s">
        <v>15</v>
      </c>
      <c r="BV4" s="1142"/>
      <c r="BW4" s="132" t="s">
        <v>4</v>
      </c>
      <c r="BX4" s="131" t="s">
        <v>5</v>
      </c>
      <c r="BY4" s="131" t="s">
        <v>6</v>
      </c>
      <c r="BZ4" s="131" t="s">
        <v>7</v>
      </c>
      <c r="CA4" s="131" t="s">
        <v>8</v>
      </c>
      <c r="CB4" s="131" t="s">
        <v>9</v>
      </c>
      <c r="CC4" s="131" t="s">
        <v>10</v>
      </c>
      <c r="CD4" s="131" t="s">
        <v>11</v>
      </c>
      <c r="CE4" s="131" t="s">
        <v>12</v>
      </c>
      <c r="CF4" s="131" t="s">
        <v>13</v>
      </c>
      <c r="CG4" s="131" t="s">
        <v>14</v>
      </c>
      <c r="CH4" s="132" t="s">
        <v>15</v>
      </c>
      <c r="CI4" s="1161"/>
      <c r="CJ4" s="132" t="s">
        <v>4</v>
      </c>
      <c r="CK4" s="131" t="s">
        <v>5</v>
      </c>
      <c r="CL4" s="131" t="s">
        <v>6</v>
      </c>
      <c r="CM4" s="131" t="s">
        <v>7</v>
      </c>
      <c r="CN4" s="131" t="s">
        <v>8</v>
      </c>
      <c r="CO4" s="131" t="s">
        <v>9</v>
      </c>
      <c r="CP4" s="131" t="s">
        <v>10</v>
      </c>
      <c r="CQ4" s="131" t="s">
        <v>11</v>
      </c>
      <c r="CR4" s="131" t="s">
        <v>12</v>
      </c>
      <c r="CS4" s="131" t="s">
        <v>13</v>
      </c>
      <c r="CT4" s="131" t="s">
        <v>14</v>
      </c>
      <c r="CU4" s="132" t="s">
        <v>15</v>
      </c>
      <c r="CV4" s="1161"/>
      <c r="CW4" s="132" t="s">
        <v>4</v>
      </c>
      <c r="CX4" s="131" t="s">
        <v>5</v>
      </c>
      <c r="CY4" s="131" t="s">
        <v>6</v>
      </c>
      <c r="CZ4" s="131" t="s">
        <v>7</v>
      </c>
      <c r="DA4" s="131" t="s">
        <v>8</v>
      </c>
      <c r="DB4" s="131" t="s">
        <v>9</v>
      </c>
      <c r="DC4" s="131" t="s">
        <v>10</v>
      </c>
      <c r="DD4" s="131" t="s">
        <v>11</v>
      </c>
      <c r="DE4" s="131" t="s">
        <v>12</v>
      </c>
      <c r="DF4" s="131" t="s">
        <v>13</v>
      </c>
      <c r="DG4" s="131" t="s">
        <v>14</v>
      </c>
      <c r="DH4" s="132" t="s">
        <v>15</v>
      </c>
      <c r="DI4" s="1161"/>
      <c r="DJ4" s="1164"/>
      <c r="DK4" s="1167"/>
    </row>
    <row r="5" spans="1:115" s="130" customFormat="1" ht="15" customHeight="1" x14ac:dyDescent="0.25">
      <c r="A5" s="967">
        <v>1</v>
      </c>
      <c r="B5" s="968" t="s">
        <v>85</v>
      </c>
      <c r="C5" s="964">
        <v>42736</v>
      </c>
      <c r="D5" s="974" t="s">
        <v>187</v>
      </c>
      <c r="E5" s="237" t="s">
        <v>188</v>
      </c>
      <c r="F5" s="149">
        <v>30</v>
      </c>
      <c r="G5" s="961">
        <f>+F5+F6+F8+F7</f>
        <v>90</v>
      </c>
      <c r="H5" s="204"/>
      <c r="I5" s="958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6"/>
      <c r="V5" s="958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6"/>
      <c r="AI5" s="958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6"/>
      <c r="AV5" s="958"/>
      <c r="AW5" s="1143"/>
      <c r="AX5" s="1143"/>
      <c r="AY5" s="1143"/>
      <c r="AZ5" s="1143"/>
      <c r="BA5" s="1143"/>
      <c r="BB5" s="1143"/>
      <c r="BC5" s="1143"/>
      <c r="BD5" s="1143"/>
      <c r="BE5" s="1143"/>
      <c r="BF5" s="1143"/>
      <c r="BG5" s="1143"/>
      <c r="BH5" s="1143"/>
      <c r="BI5" s="958"/>
      <c r="BJ5" s="1143"/>
      <c r="BK5" s="1143"/>
      <c r="BL5" s="1143"/>
      <c r="BM5" s="1143"/>
      <c r="BN5" s="1143"/>
      <c r="BO5" s="1037">
        <v>1</v>
      </c>
      <c r="BP5" s="1143"/>
      <c r="BQ5" s="1143"/>
      <c r="BR5" s="1143"/>
      <c r="BS5" s="1037">
        <v>1</v>
      </c>
      <c r="BT5" s="1143"/>
      <c r="BU5" s="1037">
        <v>6</v>
      </c>
      <c r="BV5" s="1037">
        <f>BU5+BS5+BO5</f>
        <v>8</v>
      </c>
      <c r="BW5" s="1146"/>
      <c r="BX5" s="207"/>
      <c r="BY5" s="1136">
        <v>1</v>
      </c>
      <c r="BZ5" s="207"/>
      <c r="CA5" s="207"/>
      <c r="CB5" s="1136">
        <v>1</v>
      </c>
      <c r="CC5" s="1136">
        <v>1</v>
      </c>
      <c r="CD5" s="207"/>
      <c r="CE5" s="1136">
        <v>7</v>
      </c>
      <c r="CF5" s="1136">
        <f>2+1</f>
        <v>3</v>
      </c>
      <c r="CG5" s="1136"/>
      <c r="CH5" s="979"/>
      <c r="CI5" s="1065">
        <f>SUM(BW5:CH8)</f>
        <v>13</v>
      </c>
      <c r="CJ5" s="988"/>
      <c r="CK5" s="976"/>
      <c r="CL5" s="976"/>
      <c r="CM5" s="976"/>
      <c r="CN5" s="976"/>
      <c r="CO5" s="976"/>
      <c r="CP5" s="976"/>
      <c r="CQ5" s="976"/>
      <c r="CR5" s="976"/>
      <c r="CS5" s="976"/>
      <c r="CT5" s="976"/>
      <c r="CU5" s="979"/>
      <c r="CV5" s="1065">
        <f>SUM(CJ5:CU8)</f>
        <v>0</v>
      </c>
      <c r="CW5" s="988">
        <v>1</v>
      </c>
      <c r="CX5" s="976"/>
      <c r="CY5" s="976"/>
      <c r="CZ5" s="976"/>
      <c r="DA5" s="976"/>
      <c r="DB5" s="976"/>
      <c r="DC5" s="976"/>
      <c r="DD5" s="976"/>
      <c r="DE5" s="976">
        <v>9</v>
      </c>
      <c r="DF5" s="976"/>
      <c r="DG5" s="976"/>
      <c r="DH5" s="979"/>
      <c r="DI5" s="1065">
        <f>SUM(CW5:DH8)</f>
        <v>10</v>
      </c>
      <c r="DJ5" s="971">
        <f>I5+V5+AI5+AV5+BI5+BV5+CI5+CV5+DI5</f>
        <v>31</v>
      </c>
      <c r="DK5" s="210"/>
    </row>
    <row r="6" spans="1:115" s="130" customFormat="1" ht="15" customHeight="1" x14ac:dyDescent="0.25">
      <c r="A6" s="967"/>
      <c r="B6" s="969"/>
      <c r="C6" s="965"/>
      <c r="D6" s="975"/>
      <c r="E6" s="238" t="s">
        <v>189</v>
      </c>
      <c r="F6" s="138">
        <v>30</v>
      </c>
      <c r="G6" s="962"/>
      <c r="H6" s="228">
        <f>ROUNDDOWN((H2-D5)/365,0)*30</f>
        <v>90</v>
      </c>
      <c r="I6" s="959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6"/>
      <c r="V6" s="959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6"/>
      <c r="AI6" s="959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6"/>
      <c r="AV6" s="959"/>
      <c r="AW6" s="1144"/>
      <c r="AX6" s="1144"/>
      <c r="AY6" s="1144"/>
      <c r="AZ6" s="1144"/>
      <c r="BA6" s="1144"/>
      <c r="BB6" s="1144"/>
      <c r="BC6" s="1144"/>
      <c r="BD6" s="1144"/>
      <c r="BE6" s="1144"/>
      <c r="BF6" s="1144"/>
      <c r="BG6" s="1144"/>
      <c r="BH6" s="1144"/>
      <c r="BI6" s="959"/>
      <c r="BJ6" s="1144"/>
      <c r="BK6" s="1144"/>
      <c r="BL6" s="1144"/>
      <c r="BM6" s="1144"/>
      <c r="BN6" s="1144"/>
      <c r="BO6" s="1038"/>
      <c r="BP6" s="1144"/>
      <c r="BQ6" s="1144"/>
      <c r="BR6" s="1144"/>
      <c r="BS6" s="1038"/>
      <c r="BT6" s="1144"/>
      <c r="BU6" s="1038"/>
      <c r="BV6" s="1038"/>
      <c r="BW6" s="1147"/>
      <c r="BX6" s="208"/>
      <c r="BY6" s="1137"/>
      <c r="BZ6" s="208"/>
      <c r="CA6" s="208"/>
      <c r="CB6" s="1137"/>
      <c r="CC6" s="1137"/>
      <c r="CD6" s="208"/>
      <c r="CE6" s="1137"/>
      <c r="CF6" s="1137"/>
      <c r="CG6" s="1137"/>
      <c r="CH6" s="980"/>
      <c r="CI6" s="1115"/>
      <c r="CJ6" s="989"/>
      <c r="CK6" s="977"/>
      <c r="CL6" s="977"/>
      <c r="CM6" s="977"/>
      <c r="CN6" s="977"/>
      <c r="CO6" s="977"/>
      <c r="CP6" s="977"/>
      <c r="CQ6" s="977"/>
      <c r="CR6" s="977"/>
      <c r="CS6" s="977"/>
      <c r="CT6" s="977"/>
      <c r="CU6" s="980"/>
      <c r="CV6" s="1115"/>
      <c r="CW6" s="989"/>
      <c r="CX6" s="977"/>
      <c r="CY6" s="977"/>
      <c r="CZ6" s="977"/>
      <c r="DA6" s="977"/>
      <c r="DB6" s="977"/>
      <c r="DC6" s="977"/>
      <c r="DD6" s="977"/>
      <c r="DE6" s="977"/>
      <c r="DF6" s="977"/>
      <c r="DG6" s="977"/>
      <c r="DH6" s="980"/>
      <c r="DI6" s="1115"/>
      <c r="DJ6" s="972"/>
      <c r="DK6" s="211">
        <f>H6-DJ5</f>
        <v>59</v>
      </c>
    </row>
    <row r="7" spans="1:115" s="130" customFormat="1" ht="15" customHeight="1" x14ac:dyDescent="0.25">
      <c r="A7" s="967"/>
      <c r="B7" s="969"/>
      <c r="C7" s="965"/>
      <c r="D7" s="975"/>
      <c r="E7" s="238" t="s">
        <v>190</v>
      </c>
      <c r="F7" s="138">
        <v>30</v>
      </c>
      <c r="G7" s="962"/>
      <c r="H7" s="205"/>
      <c r="I7" s="959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6"/>
      <c r="V7" s="959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6"/>
      <c r="AI7" s="959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6"/>
      <c r="AV7" s="959"/>
      <c r="AW7" s="1144"/>
      <c r="AX7" s="1144"/>
      <c r="AY7" s="1144"/>
      <c r="AZ7" s="1144"/>
      <c r="BA7" s="1144"/>
      <c r="BB7" s="1144"/>
      <c r="BC7" s="1144"/>
      <c r="BD7" s="1144"/>
      <c r="BE7" s="1144"/>
      <c r="BF7" s="1144"/>
      <c r="BG7" s="1144"/>
      <c r="BH7" s="1144"/>
      <c r="BI7" s="959"/>
      <c r="BJ7" s="1144"/>
      <c r="BK7" s="1144"/>
      <c r="BL7" s="1144"/>
      <c r="BM7" s="1144"/>
      <c r="BN7" s="1144"/>
      <c r="BO7" s="1038"/>
      <c r="BP7" s="1144"/>
      <c r="BQ7" s="1144"/>
      <c r="BR7" s="1144"/>
      <c r="BS7" s="1038"/>
      <c r="BT7" s="1144"/>
      <c r="BU7" s="1038"/>
      <c r="BV7" s="1038"/>
      <c r="BW7" s="1147"/>
      <c r="BX7" s="209"/>
      <c r="BY7" s="1137"/>
      <c r="BZ7" s="209"/>
      <c r="CA7" s="209"/>
      <c r="CB7" s="1137"/>
      <c r="CC7" s="1137"/>
      <c r="CD7" s="209"/>
      <c r="CE7" s="1137"/>
      <c r="CF7" s="1137"/>
      <c r="CG7" s="1137"/>
      <c r="CH7" s="980"/>
      <c r="CI7" s="1115"/>
      <c r="CJ7" s="989"/>
      <c r="CK7" s="977"/>
      <c r="CL7" s="977"/>
      <c r="CM7" s="977"/>
      <c r="CN7" s="977"/>
      <c r="CO7" s="977"/>
      <c r="CP7" s="977"/>
      <c r="CQ7" s="977"/>
      <c r="CR7" s="977"/>
      <c r="CS7" s="977"/>
      <c r="CT7" s="977"/>
      <c r="CU7" s="980"/>
      <c r="CV7" s="1115"/>
      <c r="CW7" s="989"/>
      <c r="CX7" s="977"/>
      <c r="CY7" s="977"/>
      <c r="CZ7" s="977"/>
      <c r="DA7" s="977"/>
      <c r="DB7" s="977"/>
      <c r="DC7" s="977"/>
      <c r="DD7" s="977"/>
      <c r="DE7" s="977"/>
      <c r="DF7" s="977"/>
      <c r="DG7" s="977"/>
      <c r="DH7" s="980"/>
      <c r="DI7" s="1115"/>
      <c r="DJ7" s="972"/>
      <c r="DK7" s="212"/>
    </row>
    <row r="8" spans="1:115" s="130" customFormat="1" ht="15" customHeight="1" x14ac:dyDescent="0.25">
      <c r="A8" s="967"/>
      <c r="B8" s="970"/>
      <c r="C8" s="966"/>
      <c r="D8" s="975"/>
      <c r="E8" s="238" t="s">
        <v>191</v>
      </c>
      <c r="F8" s="138"/>
      <c r="G8" s="963"/>
      <c r="H8" s="206"/>
      <c r="I8" s="960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6"/>
      <c r="V8" s="960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6"/>
      <c r="AI8" s="960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6"/>
      <c r="AV8" s="960"/>
      <c r="AW8" s="1145"/>
      <c r="AX8" s="1145"/>
      <c r="AY8" s="1145"/>
      <c r="AZ8" s="1145"/>
      <c r="BA8" s="1145"/>
      <c r="BB8" s="1145"/>
      <c r="BC8" s="1145"/>
      <c r="BD8" s="1145"/>
      <c r="BE8" s="1145"/>
      <c r="BF8" s="1145"/>
      <c r="BG8" s="1145"/>
      <c r="BH8" s="1145"/>
      <c r="BI8" s="960"/>
      <c r="BJ8" s="1145"/>
      <c r="BK8" s="1145"/>
      <c r="BL8" s="1145"/>
      <c r="BM8" s="1145"/>
      <c r="BN8" s="1145"/>
      <c r="BO8" s="1039"/>
      <c r="BP8" s="1145"/>
      <c r="BQ8" s="1145"/>
      <c r="BR8" s="1145"/>
      <c r="BS8" s="1039"/>
      <c r="BT8" s="1145"/>
      <c r="BU8" s="1039"/>
      <c r="BV8" s="1039"/>
      <c r="BW8" s="1148"/>
      <c r="BX8" s="209"/>
      <c r="BY8" s="1138"/>
      <c r="BZ8" s="209"/>
      <c r="CA8" s="209"/>
      <c r="CB8" s="1138"/>
      <c r="CC8" s="1138"/>
      <c r="CD8" s="209"/>
      <c r="CE8" s="1138"/>
      <c r="CF8" s="1138"/>
      <c r="CG8" s="1138"/>
      <c r="CH8" s="981"/>
      <c r="CI8" s="1111"/>
      <c r="CJ8" s="990"/>
      <c r="CK8" s="978"/>
      <c r="CL8" s="978"/>
      <c r="CM8" s="978"/>
      <c r="CN8" s="978"/>
      <c r="CO8" s="978"/>
      <c r="CP8" s="978"/>
      <c r="CQ8" s="978"/>
      <c r="CR8" s="978"/>
      <c r="CS8" s="978"/>
      <c r="CT8" s="978"/>
      <c r="CU8" s="981"/>
      <c r="CV8" s="1111"/>
      <c r="CW8" s="990"/>
      <c r="CX8" s="978"/>
      <c r="CY8" s="978"/>
      <c r="CZ8" s="978"/>
      <c r="DA8" s="978"/>
      <c r="DB8" s="978"/>
      <c r="DC8" s="978"/>
      <c r="DD8" s="978"/>
      <c r="DE8" s="978"/>
      <c r="DF8" s="978"/>
      <c r="DG8" s="978"/>
      <c r="DH8" s="981"/>
      <c r="DI8" s="1111"/>
      <c r="DJ8" s="973"/>
      <c r="DK8" s="213"/>
    </row>
    <row r="9" spans="1:115" ht="14.25" customHeight="1" x14ac:dyDescent="0.25">
      <c r="A9" s="1048">
        <v>3</v>
      </c>
      <c r="B9" s="985" t="s">
        <v>86</v>
      </c>
      <c r="C9" s="1117" t="s">
        <v>192</v>
      </c>
      <c r="D9" s="975" t="s">
        <v>192</v>
      </c>
      <c r="E9" s="239" t="s">
        <v>350</v>
      </c>
      <c r="F9" s="134">
        <v>30</v>
      </c>
      <c r="G9" s="961">
        <f>F9+F10+F11</f>
        <v>90</v>
      </c>
      <c r="H9" s="204"/>
      <c r="I9" s="1129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037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037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037"/>
      <c r="AW9" s="1037"/>
      <c r="AX9" s="1037"/>
      <c r="AY9" s="1037"/>
      <c r="AZ9" s="1037"/>
      <c r="BA9" s="1037"/>
      <c r="BB9" s="1037"/>
      <c r="BC9" s="1037"/>
      <c r="BD9" s="1037"/>
      <c r="BE9" s="1037"/>
      <c r="BF9" s="1037"/>
      <c r="BG9" s="1037"/>
      <c r="BH9" s="1037"/>
      <c r="BI9" s="1037"/>
      <c r="BJ9" s="139"/>
      <c r="BK9" s="139"/>
      <c r="BL9" s="139"/>
      <c r="BM9" s="139"/>
      <c r="BN9" s="139"/>
      <c r="BO9" s="139"/>
      <c r="BP9" s="139"/>
      <c r="BQ9" s="139"/>
      <c r="BR9" s="139"/>
      <c r="BS9" s="1037">
        <v>1</v>
      </c>
      <c r="BT9" s="139"/>
      <c r="BU9" s="1037"/>
      <c r="BV9" s="1037">
        <f>SUM(BJ10:BU10)</f>
        <v>1</v>
      </c>
      <c r="BW9" s="988"/>
      <c r="BX9" s="976"/>
      <c r="BY9" s="976">
        <v>1</v>
      </c>
      <c r="BZ9" s="976">
        <v>2</v>
      </c>
      <c r="CA9" s="976">
        <v>2</v>
      </c>
      <c r="CB9" s="976">
        <v>2</v>
      </c>
      <c r="CC9" s="976"/>
      <c r="CD9" s="976"/>
      <c r="CE9" s="976"/>
      <c r="CF9" s="976"/>
      <c r="CG9" s="976"/>
      <c r="CH9" s="979"/>
      <c r="CI9" s="1065">
        <f>SUM(BW9:CH11)</f>
        <v>7</v>
      </c>
      <c r="CJ9" s="988"/>
      <c r="CK9" s="976"/>
      <c r="CL9" s="976"/>
      <c r="CM9" s="976"/>
      <c r="CN9" s="976"/>
      <c r="CO9" s="976"/>
      <c r="CP9" s="976">
        <v>1</v>
      </c>
      <c r="CQ9" s="976"/>
      <c r="CR9" s="976"/>
      <c r="CS9" s="976"/>
      <c r="CT9" s="976"/>
      <c r="CU9" s="979">
        <v>1</v>
      </c>
      <c r="CV9" s="1065">
        <f>SUM(CJ9:CU11)</f>
        <v>2</v>
      </c>
      <c r="CW9" s="988"/>
      <c r="CX9" s="976"/>
      <c r="CY9" s="976"/>
      <c r="CZ9" s="976"/>
      <c r="DA9" s="976"/>
      <c r="DB9" s="976"/>
      <c r="DC9" s="976"/>
      <c r="DD9" s="976"/>
      <c r="DE9" s="976">
        <v>13</v>
      </c>
      <c r="DF9" s="976">
        <v>1</v>
      </c>
      <c r="DG9" s="976"/>
      <c r="DH9" s="979"/>
      <c r="DI9" s="1065">
        <f>SUM(CW9:DH11)</f>
        <v>14</v>
      </c>
      <c r="DJ9" s="971">
        <f>I9+V9+AI9+AV9+BI9+BV9+CI9+CV9+DI9</f>
        <v>24</v>
      </c>
      <c r="DK9" s="230">
        <f>H10-DJ9</f>
        <v>66</v>
      </c>
    </row>
    <row r="10" spans="1:115" ht="14.25" customHeight="1" x14ac:dyDescent="0.25">
      <c r="A10" s="1048"/>
      <c r="B10" s="986"/>
      <c r="C10" s="1117"/>
      <c r="D10" s="1119"/>
      <c r="E10" s="239" t="s">
        <v>351</v>
      </c>
      <c r="F10" s="138">
        <v>30</v>
      </c>
      <c r="G10" s="962"/>
      <c r="H10" s="228">
        <f>ROUNDDOWN(($H$2-D9)/365,0)*30</f>
        <v>90</v>
      </c>
      <c r="I10" s="1130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038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038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038"/>
      <c r="AW10" s="1038"/>
      <c r="AX10" s="1038"/>
      <c r="AY10" s="1038"/>
      <c r="AZ10" s="1038"/>
      <c r="BA10" s="1038"/>
      <c r="BB10" s="1038"/>
      <c r="BC10" s="1038"/>
      <c r="BD10" s="1038"/>
      <c r="BE10" s="1038"/>
      <c r="BF10" s="1038"/>
      <c r="BG10" s="1038"/>
      <c r="BH10" s="1038"/>
      <c r="BI10" s="1038"/>
      <c r="BJ10" s="139"/>
      <c r="BK10" s="139"/>
      <c r="BL10" s="139"/>
      <c r="BM10" s="139"/>
      <c r="BN10" s="139"/>
      <c r="BO10" s="139"/>
      <c r="BP10" s="139"/>
      <c r="BQ10" s="139"/>
      <c r="BR10" s="139"/>
      <c r="BS10" s="1038"/>
      <c r="BT10" s="139"/>
      <c r="BU10" s="1038">
        <v>1</v>
      </c>
      <c r="BV10" s="1038"/>
      <c r="BW10" s="989"/>
      <c r="BX10" s="977"/>
      <c r="BY10" s="977"/>
      <c r="BZ10" s="977"/>
      <c r="CA10" s="977"/>
      <c r="CB10" s="977"/>
      <c r="CC10" s="977"/>
      <c r="CD10" s="977"/>
      <c r="CE10" s="977"/>
      <c r="CF10" s="977"/>
      <c r="CG10" s="977"/>
      <c r="CH10" s="980"/>
      <c r="CI10" s="1115"/>
      <c r="CJ10" s="989"/>
      <c r="CK10" s="977"/>
      <c r="CL10" s="977"/>
      <c r="CM10" s="977"/>
      <c r="CN10" s="977"/>
      <c r="CO10" s="977"/>
      <c r="CP10" s="977"/>
      <c r="CQ10" s="977"/>
      <c r="CR10" s="977"/>
      <c r="CS10" s="977"/>
      <c r="CT10" s="977"/>
      <c r="CU10" s="980"/>
      <c r="CV10" s="1115"/>
      <c r="CW10" s="989"/>
      <c r="CX10" s="977"/>
      <c r="CY10" s="977"/>
      <c r="CZ10" s="977"/>
      <c r="DA10" s="977"/>
      <c r="DB10" s="977"/>
      <c r="DC10" s="977"/>
      <c r="DD10" s="977"/>
      <c r="DE10" s="977"/>
      <c r="DF10" s="977"/>
      <c r="DG10" s="977"/>
      <c r="DH10" s="980"/>
      <c r="DI10" s="1115"/>
      <c r="DJ10" s="972"/>
      <c r="DK10" s="214"/>
    </row>
    <row r="11" spans="1:115" ht="14.25" customHeight="1" x14ac:dyDescent="0.25">
      <c r="A11" s="1048"/>
      <c r="B11" s="986"/>
      <c r="C11" s="1117"/>
      <c r="D11" s="1119"/>
      <c r="E11" s="239" t="s">
        <v>352</v>
      </c>
      <c r="F11" s="138">
        <v>30</v>
      </c>
      <c r="G11" s="963"/>
      <c r="H11" s="205"/>
      <c r="I11" s="1130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038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038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038"/>
      <c r="AW11" s="1038"/>
      <c r="AX11" s="1038"/>
      <c r="AY11" s="1038"/>
      <c r="AZ11" s="1038"/>
      <c r="BA11" s="1038"/>
      <c r="BB11" s="1038"/>
      <c r="BC11" s="1038"/>
      <c r="BD11" s="1038"/>
      <c r="BE11" s="1038"/>
      <c r="BF11" s="1038"/>
      <c r="BG11" s="1038"/>
      <c r="BH11" s="1038"/>
      <c r="BI11" s="1038"/>
      <c r="BJ11" s="139"/>
      <c r="BK11" s="139"/>
      <c r="BL11" s="139"/>
      <c r="BM11" s="139"/>
      <c r="BN11" s="139"/>
      <c r="BO11" s="139"/>
      <c r="BP11" s="139"/>
      <c r="BQ11" s="139"/>
      <c r="BR11" s="139"/>
      <c r="BS11" s="1038"/>
      <c r="BT11" s="139"/>
      <c r="BU11" s="1038"/>
      <c r="BV11" s="1038"/>
      <c r="BW11" s="990"/>
      <c r="BX11" s="978"/>
      <c r="BY11" s="978"/>
      <c r="BZ11" s="978"/>
      <c r="CA11" s="978"/>
      <c r="CB11" s="978"/>
      <c r="CC11" s="978"/>
      <c r="CD11" s="978"/>
      <c r="CE11" s="978"/>
      <c r="CF11" s="978"/>
      <c r="CG11" s="978"/>
      <c r="CH11" s="981"/>
      <c r="CI11" s="1115"/>
      <c r="CJ11" s="990"/>
      <c r="CK11" s="978"/>
      <c r="CL11" s="978"/>
      <c r="CM11" s="978"/>
      <c r="CN11" s="978"/>
      <c r="CO11" s="978"/>
      <c r="CP11" s="978"/>
      <c r="CQ11" s="978"/>
      <c r="CR11" s="978"/>
      <c r="CS11" s="978"/>
      <c r="CT11" s="978"/>
      <c r="CU11" s="981"/>
      <c r="CV11" s="1115"/>
      <c r="CW11" s="990"/>
      <c r="CX11" s="978"/>
      <c r="CY11" s="978"/>
      <c r="CZ11" s="978"/>
      <c r="DA11" s="978"/>
      <c r="DB11" s="978"/>
      <c r="DC11" s="978"/>
      <c r="DD11" s="978"/>
      <c r="DE11" s="978"/>
      <c r="DF11" s="978"/>
      <c r="DG11" s="978"/>
      <c r="DH11" s="981"/>
      <c r="DI11" s="1115"/>
      <c r="DJ11" s="973"/>
      <c r="DK11" s="215"/>
    </row>
    <row r="12" spans="1:115" ht="14.25" customHeight="1" x14ac:dyDescent="0.25">
      <c r="A12" s="1048">
        <v>2</v>
      </c>
      <c r="B12" s="1068" t="s">
        <v>49</v>
      </c>
      <c r="C12" s="1117"/>
      <c r="D12" s="975" t="s">
        <v>193</v>
      </c>
      <c r="E12" s="240" t="s">
        <v>194</v>
      </c>
      <c r="F12" s="142">
        <v>30</v>
      </c>
      <c r="G12" s="1074">
        <f>F12+F13+F17+F14+F15+F16</f>
        <v>180</v>
      </c>
      <c r="H12" s="197"/>
      <c r="I12" s="1129"/>
      <c r="J12" s="1043"/>
      <c r="K12" s="1043"/>
      <c r="L12" s="1043"/>
      <c r="M12" s="1043"/>
      <c r="N12" s="1043"/>
      <c r="O12" s="1043"/>
      <c r="P12" s="1043"/>
      <c r="Q12" s="1043"/>
      <c r="R12" s="1043"/>
      <c r="S12" s="1043"/>
      <c r="T12" s="1043"/>
      <c r="U12" s="1043"/>
      <c r="V12" s="1043">
        <f>SUM(J12:U17)</f>
        <v>0</v>
      </c>
      <c r="W12" s="1043"/>
      <c r="X12" s="1043"/>
      <c r="Y12" s="1043"/>
      <c r="Z12" s="1043"/>
      <c r="AA12" s="1043"/>
      <c r="AB12" s="1043"/>
      <c r="AC12" s="1043"/>
      <c r="AD12" s="1043"/>
      <c r="AE12" s="1043"/>
      <c r="AF12" s="1043">
        <v>5</v>
      </c>
      <c r="AG12" s="1043"/>
      <c r="AH12" s="1043">
        <v>10</v>
      </c>
      <c r="AI12" s="1043">
        <f>SUM(W12:AH17)</f>
        <v>15</v>
      </c>
      <c r="AJ12" s="1043"/>
      <c r="AK12" s="1043">
        <v>1</v>
      </c>
      <c r="AL12" s="1043"/>
      <c r="AM12" s="1043">
        <v>3</v>
      </c>
      <c r="AN12" s="1043"/>
      <c r="AO12" s="1043">
        <v>6</v>
      </c>
      <c r="AP12" s="1043">
        <v>2</v>
      </c>
      <c r="AQ12" s="1043">
        <v>1</v>
      </c>
      <c r="AR12" s="1043"/>
      <c r="AS12" s="1043"/>
      <c r="AT12" s="1043"/>
      <c r="AU12" s="1043"/>
      <c r="AV12" s="1043">
        <f>SUM(AJ12:AU17)</f>
        <v>13</v>
      </c>
      <c r="AW12" s="1043"/>
      <c r="AX12" s="1043"/>
      <c r="AY12" s="1043"/>
      <c r="AZ12" s="1043"/>
      <c r="BA12" s="1043"/>
      <c r="BB12" s="1043"/>
      <c r="BC12" s="1043"/>
      <c r="BD12" s="1043"/>
      <c r="BE12" s="1043"/>
      <c r="BF12" s="1043"/>
      <c r="BG12" s="1043">
        <v>1</v>
      </c>
      <c r="BH12" s="1043">
        <v>15</v>
      </c>
      <c r="BI12" s="1043">
        <f>SUM(AW12:BH17)</f>
        <v>16</v>
      </c>
      <c r="BJ12" s="1037"/>
      <c r="BK12" s="1037"/>
      <c r="BL12" s="1037"/>
      <c r="BM12" s="1037">
        <v>2</v>
      </c>
      <c r="BN12" s="1037"/>
      <c r="BO12" s="1037"/>
      <c r="BP12" s="1037"/>
      <c r="BQ12" s="1037"/>
      <c r="BR12" s="1037"/>
      <c r="BS12" s="1037"/>
      <c r="BT12" s="1037"/>
      <c r="BU12" s="1037">
        <v>6</v>
      </c>
      <c r="BV12" s="1043">
        <f>SUM(BJ12:BU17)</f>
        <v>8</v>
      </c>
      <c r="BW12" s="178"/>
      <c r="BX12" s="976">
        <v>2</v>
      </c>
      <c r="BY12" s="1133"/>
      <c r="BZ12" s="976">
        <v>7</v>
      </c>
      <c r="CA12" s="1133"/>
      <c r="CB12" s="1133"/>
      <c r="CC12" s="1133"/>
      <c r="CD12" s="976">
        <v>1</v>
      </c>
      <c r="CE12" s="1133"/>
      <c r="CF12" s="976">
        <v>3</v>
      </c>
      <c r="CG12" s="979"/>
      <c r="CH12" s="979">
        <v>11</v>
      </c>
      <c r="CI12" s="1046">
        <f>SUM(BW12:CH17)</f>
        <v>24</v>
      </c>
      <c r="CJ12" s="988"/>
      <c r="CK12" s="976"/>
      <c r="CL12" s="1133"/>
      <c r="CM12" s="976"/>
      <c r="CN12" s="175"/>
      <c r="CO12" s="976">
        <v>15</v>
      </c>
      <c r="CP12" s="976">
        <v>7</v>
      </c>
      <c r="CQ12" s="976"/>
      <c r="CR12" s="976">
        <v>14</v>
      </c>
      <c r="CS12" s="976"/>
      <c r="CT12" s="976"/>
      <c r="CU12" s="979">
        <v>12</v>
      </c>
      <c r="CV12" s="1018">
        <f>SUM(CJ12:CU17)</f>
        <v>48</v>
      </c>
      <c r="CW12" s="988"/>
      <c r="CX12" s="976">
        <v>4</v>
      </c>
      <c r="CY12" s="1133"/>
      <c r="CZ12" s="976"/>
      <c r="DA12" s="976"/>
      <c r="DB12" s="976"/>
      <c r="DC12" s="976"/>
      <c r="DD12" s="976"/>
      <c r="DE12" s="976"/>
      <c r="DF12" s="976">
        <v>31</v>
      </c>
      <c r="DG12" s="976"/>
      <c r="DH12" s="979"/>
      <c r="DI12" s="1018">
        <f>SUM(CW12:DH17)</f>
        <v>35</v>
      </c>
      <c r="DJ12" s="971">
        <f>I12+V12+AI12+AV12+BI12+BV12+CI12+CV12+DI12</f>
        <v>159</v>
      </c>
      <c r="DK12" s="230">
        <f>H14-DJ12</f>
        <v>21</v>
      </c>
    </row>
    <row r="13" spans="1:115" ht="14.25" customHeight="1" x14ac:dyDescent="0.25">
      <c r="A13" s="1048"/>
      <c r="B13" s="1068"/>
      <c r="C13" s="1118"/>
      <c r="D13" s="975"/>
      <c r="E13" s="166" t="s">
        <v>195</v>
      </c>
      <c r="F13" s="143">
        <v>30</v>
      </c>
      <c r="G13" s="1075"/>
      <c r="H13" s="198"/>
      <c r="I13" s="1130"/>
      <c r="J13" s="1043"/>
      <c r="K13" s="1043"/>
      <c r="L13" s="1043"/>
      <c r="M13" s="1043"/>
      <c r="N13" s="1043"/>
      <c r="O13" s="1043"/>
      <c r="P13" s="1043"/>
      <c r="Q13" s="1043"/>
      <c r="R13" s="1043"/>
      <c r="S13" s="1043"/>
      <c r="T13" s="1043"/>
      <c r="U13" s="1043"/>
      <c r="V13" s="1043"/>
      <c r="W13" s="1043"/>
      <c r="X13" s="1043"/>
      <c r="Y13" s="1043"/>
      <c r="Z13" s="1043"/>
      <c r="AA13" s="1043"/>
      <c r="AB13" s="1043"/>
      <c r="AC13" s="1043"/>
      <c r="AD13" s="1043"/>
      <c r="AE13" s="1043"/>
      <c r="AF13" s="1043"/>
      <c r="AG13" s="1043"/>
      <c r="AH13" s="1043"/>
      <c r="AI13" s="1043"/>
      <c r="AJ13" s="1043"/>
      <c r="AK13" s="1043"/>
      <c r="AL13" s="1043"/>
      <c r="AM13" s="1043"/>
      <c r="AN13" s="1043"/>
      <c r="AO13" s="1043"/>
      <c r="AP13" s="1043"/>
      <c r="AQ13" s="1043"/>
      <c r="AR13" s="1043"/>
      <c r="AS13" s="1043"/>
      <c r="AT13" s="1043"/>
      <c r="AU13" s="1043"/>
      <c r="AV13" s="1043"/>
      <c r="AW13" s="1043"/>
      <c r="AX13" s="1043"/>
      <c r="AY13" s="1043"/>
      <c r="AZ13" s="1043"/>
      <c r="BA13" s="1043"/>
      <c r="BB13" s="1043"/>
      <c r="BC13" s="1043"/>
      <c r="BD13" s="1043"/>
      <c r="BE13" s="1043"/>
      <c r="BF13" s="1043"/>
      <c r="BG13" s="1043"/>
      <c r="BH13" s="1043"/>
      <c r="BI13" s="1043"/>
      <c r="BJ13" s="1038"/>
      <c r="BK13" s="1038"/>
      <c r="BL13" s="1038"/>
      <c r="BM13" s="1038"/>
      <c r="BN13" s="1038"/>
      <c r="BO13" s="1038"/>
      <c r="BP13" s="1038"/>
      <c r="BQ13" s="1038"/>
      <c r="BR13" s="1038"/>
      <c r="BS13" s="1038"/>
      <c r="BT13" s="1038"/>
      <c r="BU13" s="1038"/>
      <c r="BV13" s="1043"/>
      <c r="BW13" s="179"/>
      <c r="BX13" s="977"/>
      <c r="BY13" s="1134"/>
      <c r="BZ13" s="977"/>
      <c r="CA13" s="1134"/>
      <c r="CB13" s="1134"/>
      <c r="CC13" s="1134"/>
      <c r="CD13" s="977"/>
      <c r="CE13" s="1134"/>
      <c r="CF13" s="977"/>
      <c r="CG13" s="980"/>
      <c r="CH13" s="980"/>
      <c r="CI13" s="1046"/>
      <c r="CJ13" s="989"/>
      <c r="CK13" s="977"/>
      <c r="CL13" s="1134"/>
      <c r="CM13" s="977"/>
      <c r="CN13" s="176"/>
      <c r="CO13" s="977"/>
      <c r="CP13" s="977"/>
      <c r="CQ13" s="977"/>
      <c r="CR13" s="977"/>
      <c r="CS13" s="977"/>
      <c r="CT13" s="977"/>
      <c r="CU13" s="980"/>
      <c r="CV13" s="1018"/>
      <c r="CW13" s="989"/>
      <c r="CX13" s="977"/>
      <c r="CY13" s="1134"/>
      <c r="CZ13" s="977"/>
      <c r="DA13" s="977"/>
      <c r="DB13" s="977"/>
      <c r="DC13" s="977"/>
      <c r="DD13" s="977"/>
      <c r="DE13" s="977"/>
      <c r="DF13" s="977"/>
      <c r="DG13" s="977"/>
      <c r="DH13" s="980"/>
      <c r="DI13" s="1018"/>
      <c r="DJ13" s="972"/>
      <c r="DK13" s="214"/>
    </row>
    <row r="14" spans="1:115" ht="14.25" customHeight="1" x14ac:dyDescent="0.25">
      <c r="A14" s="1048"/>
      <c r="B14" s="1068"/>
      <c r="C14" s="1118"/>
      <c r="D14" s="975"/>
      <c r="E14" s="166" t="s">
        <v>196</v>
      </c>
      <c r="F14" s="143">
        <v>30</v>
      </c>
      <c r="G14" s="1075"/>
      <c r="H14" s="228">
        <f>ROUNDDOWN(($H$2-D12)/365,0)*30</f>
        <v>180</v>
      </c>
      <c r="I14" s="1130"/>
      <c r="J14" s="1043"/>
      <c r="K14" s="1043"/>
      <c r="L14" s="1043"/>
      <c r="M14" s="1043"/>
      <c r="N14" s="1043"/>
      <c r="O14" s="1043"/>
      <c r="P14" s="1043"/>
      <c r="Q14" s="1043"/>
      <c r="R14" s="1043"/>
      <c r="S14" s="1043"/>
      <c r="T14" s="1043"/>
      <c r="U14" s="1043"/>
      <c r="V14" s="1043"/>
      <c r="W14" s="1043"/>
      <c r="X14" s="1043"/>
      <c r="Y14" s="1043"/>
      <c r="Z14" s="1043"/>
      <c r="AA14" s="1043"/>
      <c r="AB14" s="1043"/>
      <c r="AC14" s="1043"/>
      <c r="AD14" s="1043"/>
      <c r="AE14" s="1043"/>
      <c r="AF14" s="1043"/>
      <c r="AG14" s="1043"/>
      <c r="AH14" s="1043"/>
      <c r="AI14" s="1043"/>
      <c r="AJ14" s="1043"/>
      <c r="AK14" s="1043"/>
      <c r="AL14" s="1043"/>
      <c r="AM14" s="1043"/>
      <c r="AN14" s="1043"/>
      <c r="AO14" s="1043"/>
      <c r="AP14" s="1043"/>
      <c r="AQ14" s="1043"/>
      <c r="AR14" s="1043"/>
      <c r="AS14" s="1043"/>
      <c r="AT14" s="1043"/>
      <c r="AU14" s="1043"/>
      <c r="AV14" s="1043"/>
      <c r="AW14" s="1043"/>
      <c r="AX14" s="1043"/>
      <c r="AY14" s="1043"/>
      <c r="AZ14" s="1043"/>
      <c r="BA14" s="1043"/>
      <c r="BB14" s="1043"/>
      <c r="BC14" s="1043"/>
      <c r="BD14" s="1043"/>
      <c r="BE14" s="1043"/>
      <c r="BF14" s="1043"/>
      <c r="BG14" s="1043"/>
      <c r="BH14" s="1043"/>
      <c r="BI14" s="1043"/>
      <c r="BJ14" s="1038"/>
      <c r="BK14" s="1038"/>
      <c r="BL14" s="1038"/>
      <c r="BM14" s="1038"/>
      <c r="BN14" s="1038"/>
      <c r="BO14" s="1038"/>
      <c r="BP14" s="1038"/>
      <c r="BQ14" s="1038"/>
      <c r="BR14" s="1038"/>
      <c r="BS14" s="1038"/>
      <c r="BT14" s="1038"/>
      <c r="BU14" s="1038"/>
      <c r="BV14" s="1043"/>
      <c r="BW14" s="179"/>
      <c r="BX14" s="977"/>
      <c r="BY14" s="1134"/>
      <c r="BZ14" s="977"/>
      <c r="CA14" s="1134"/>
      <c r="CB14" s="1134"/>
      <c r="CC14" s="1134"/>
      <c r="CD14" s="977"/>
      <c r="CE14" s="1134"/>
      <c r="CF14" s="977"/>
      <c r="CG14" s="980"/>
      <c r="CH14" s="980"/>
      <c r="CI14" s="1046"/>
      <c r="CJ14" s="989"/>
      <c r="CK14" s="977"/>
      <c r="CL14" s="1134"/>
      <c r="CM14" s="977"/>
      <c r="CN14" s="176"/>
      <c r="CO14" s="977"/>
      <c r="CP14" s="977"/>
      <c r="CQ14" s="977"/>
      <c r="CR14" s="977"/>
      <c r="CS14" s="977"/>
      <c r="CT14" s="977"/>
      <c r="CU14" s="980"/>
      <c r="CV14" s="1018"/>
      <c r="CW14" s="989"/>
      <c r="CX14" s="977"/>
      <c r="CY14" s="1134"/>
      <c r="CZ14" s="977"/>
      <c r="DA14" s="977"/>
      <c r="DB14" s="977"/>
      <c r="DC14" s="977"/>
      <c r="DD14" s="977"/>
      <c r="DE14" s="977"/>
      <c r="DF14" s="977"/>
      <c r="DG14" s="977"/>
      <c r="DH14" s="980"/>
      <c r="DI14" s="1018"/>
      <c r="DJ14" s="972"/>
      <c r="DK14" s="214"/>
    </row>
    <row r="15" spans="1:115" ht="14.25" customHeight="1" x14ac:dyDescent="0.25">
      <c r="A15" s="1048"/>
      <c r="B15" s="1068"/>
      <c r="C15" s="1118"/>
      <c r="D15" s="975"/>
      <c r="E15" s="166" t="s">
        <v>197</v>
      </c>
      <c r="F15" s="143">
        <v>30</v>
      </c>
      <c r="G15" s="1075"/>
      <c r="H15" s="198"/>
      <c r="I15" s="1130"/>
      <c r="J15" s="1043"/>
      <c r="K15" s="1043"/>
      <c r="L15" s="1043"/>
      <c r="M15" s="1043"/>
      <c r="N15" s="1043"/>
      <c r="O15" s="1043"/>
      <c r="P15" s="1043"/>
      <c r="Q15" s="1043"/>
      <c r="R15" s="1043"/>
      <c r="S15" s="1043"/>
      <c r="T15" s="1043"/>
      <c r="U15" s="1043"/>
      <c r="V15" s="1043"/>
      <c r="W15" s="1043"/>
      <c r="X15" s="1043"/>
      <c r="Y15" s="1043"/>
      <c r="Z15" s="1043"/>
      <c r="AA15" s="1043"/>
      <c r="AB15" s="1043"/>
      <c r="AC15" s="1043"/>
      <c r="AD15" s="1043"/>
      <c r="AE15" s="1043"/>
      <c r="AF15" s="1043"/>
      <c r="AG15" s="1043"/>
      <c r="AH15" s="1043"/>
      <c r="AI15" s="1043"/>
      <c r="AJ15" s="1043"/>
      <c r="AK15" s="1043"/>
      <c r="AL15" s="1043"/>
      <c r="AM15" s="1043"/>
      <c r="AN15" s="1043"/>
      <c r="AO15" s="1043"/>
      <c r="AP15" s="1043"/>
      <c r="AQ15" s="1043"/>
      <c r="AR15" s="1043"/>
      <c r="AS15" s="1043"/>
      <c r="AT15" s="1043"/>
      <c r="AU15" s="1043"/>
      <c r="AV15" s="1043"/>
      <c r="AW15" s="1043"/>
      <c r="AX15" s="1043"/>
      <c r="AY15" s="1043"/>
      <c r="AZ15" s="1043"/>
      <c r="BA15" s="1043"/>
      <c r="BB15" s="1043"/>
      <c r="BC15" s="1043"/>
      <c r="BD15" s="1043"/>
      <c r="BE15" s="1043"/>
      <c r="BF15" s="1043"/>
      <c r="BG15" s="1043"/>
      <c r="BH15" s="1043"/>
      <c r="BI15" s="1043"/>
      <c r="BJ15" s="1038"/>
      <c r="BK15" s="1038"/>
      <c r="BL15" s="1038"/>
      <c r="BM15" s="1038"/>
      <c r="BN15" s="1038"/>
      <c r="BO15" s="1038"/>
      <c r="BP15" s="1038"/>
      <c r="BQ15" s="1038"/>
      <c r="BR15" s="1038"/>
      <c r="BS15" s="1038"/>
      <c r="BT15" s="1038"/>
      <c r="BU15" s="1038"/>
      <c r="BV15" s="1043"/>
      <c r="BW15" s="179"/>
      <c r="BX15" s="977"/>
      <c r="BY15" s="1134"/>
      <c r="BZ15" s="977"/>
      <c r="CA15" s="1134"/>
      <c r="CB15" s="1134"/>
      <c r="CC15" s="1134"/>
      <c r="CD15" s="977"/>
      <c r="CE15" s="1134"/>
      <c r="CF15" s="977"/>
      <c r="CG15" s="980"/>
      <c r="CH15" s="980"/>
      <c r="CI15" s="1046"/>
      <c r="CJ15" s="989"/>
      <c r="CK15" s="977"/>
      <c r="CL15" s="1134"/>
      <c r="CM15" s="977"/>
      <c r="CN15" s="176"/>
      <c r="CO15" s="977"/>
      <c r="CP15" s="977"/>
      <c r="CQ15" s="977"/>
      <c r="CR15" s="977"/>
      <c r="CS15" s="977"/>
      <c r="CT15" s="977"/>
      <c r="CU15" s="980"/>
      <c r="CV15" s="1018"/>
      <c r="CW15" s="989"/>
      <c r="CX15" s="977"/>
      <c r="CY15" s="1134"/>
      <c r="CZ15" s="977"/>
      <c r="DA15" s="977"/>
      <c r="DB15" s="977"/>
      <c r="DC15" s="977"/>
      <c r="DD15" s="977"/>
      <c r="DE15" s="977"/>
      <c r="DF15" s="977"/>
      <c r="DG15" s="977"/>
      <c r="DH15" s="980"/>
      <c r="DI15" s="1018"/>
      <c r="DJ15" s="972"/>
      <c r="DK15" s="214"/>
    </row>
    <row r="16" spans="1:115" ht="14.25" customHeight="1" x14ac:dyDescent="0.25">
      <c r="A16" s="1048"/>
      <c r="B16" s="1068"/>
      <c r="C16" s="1118"/>
      <c r="D16" s="975"/>
      <c r="E16" s="166" t="s">
        <v>348</v>
      </c>
      <c r="F16" s="143">
        <v>30</v>
      </c>
      <c r="G16" s="1075"/>
      <c r="H16" s="198"/>
      <c r="I16" s="1130"/>
      <c r="J16" s="1043"/>
      <c r="K16" s="1043"/>
      <c r="L16" s="1043"/>
      <c r="M16" s="1043"/>
      <c r="N16" s="1043"/>
      <c r="O16" s="1043"/>
      <c r="P16" s="1043"/>
      <c r="Q16" s="1043"/>
      <c r="R16" s="1043"/>
      <c r="S16" s="1043"/>
      <c r="T16" s="1043"/>
      <c r="U16" s="1043"/>
      <c r="V16" s="1043"/>
      <c r="W16" s="1043"/>
      <c r="X16" s="1043"/>
      <c r="Y16" s="1043"/>
      <c r="Z16" s="1043"/>
      <c r="AA16" s="1043"/>
      <c r="AB16" s="1043"/>
      <c r="AC16" s="1043"/>
      <c r="AD16" s="1043"/>
      <c r="AE16" s="1043"/>
      <c r="AF16" s="1043"/>
      <c r="AG16" s="1043"/>
      <c r="AH16" s="1043"/>
      <c r="AI16" s="1043"/>
      <c r="AJ16" s="1043"/>
      <c r="AK16" s="1043"/>
      <c r="AL16" s="1043"/>
      <c r="AM16" s="1043"/>
      <c r="AN16" s="1043"/>
      <c r="AO16" s="1043"/>
      <c r="AP16" s="1043"/>
      <c r="AQ16" s="1043"/>
      <c r="AR16" s="1043"/>
      <c r="AS16" s="1043"/>
      <c r="AT16" s="1043"/>
      <c r="AU16" s="1043"/>
      <c r="AV16" s="1043"/>
      <c r="AW16" s="1043"/>
      <c r="AX16" s="1043"/>
      <c r="AY16" s="1043"/>
      <c r="AZ16" s="1043"/>
      <c r="BA16" s="1043"/>
      <c r="BB16" s="1043"/>
      <c r="BC16" s="1043"/>
      <c r="BD16" s="1043"/>
      <c r="BE16" s="1043"/>
      <c r="BF16" s="1043"/>
      <c r="BG16" s="1043"/>
      <c r="BH16" s="1043"/>
      <c r="BI16" s="1043"/>
      <c r="BJ16" s="1038"/>
      <c r="BK16" s="1038"/>
      <c r="BL16" s="1038"/>
      <c r="BM16" s="1038"/>
      <c r="BN16" s="1038"/>
      <c r="BO16" s="1038"/>
      <c r="BP16" s="1038"/>
      <c r="BQ16" s="1038"/>
      <c r="BR16" s="1038"/>
      <c r="BS16" s="1038"/>
      <c r="BT16" s="1038"/>
      <c r="BU16" s="1038"/>
      <c r="BV16" s="1043"/>
      <c r="BW16" s="180"/>
      <c r="BX16" s="977"/>
      <c r="BY16" s="1134"/>
      <c r="BZ16" s="977"/>
      <c r="CA16" s="1134"/>
      <c r="CB16" s="1134"/>
      <c r="CC16" s="1134"/>
      <c r="CD16" s="977"/>
      <c r="CE16" s="1134"/>
      <c r="CF16" s="977"/>
      <c r="CG16" s="980"/>
      <c r="CH16" s="980"/>
      <c r="CI16" s="1046"/>
      <c r="CJ16" s="989"/>
      <c r="CK16" s="977"/>
      <c r="CL16" s="1134"/>
      <c r="CM16" s="977"/>
      <c r="CN16" s="177"/>
      <c r="CO16" s="977"/>
      <c r="CP16" s="977"/>
      <c r="CQ16" s="977"/>
      <c r="CR16" s="977"/>
      <c r="CS16" s="977"/>
      <c r="CT16" s="977"/>
      <c r="CU16" s="980"/>
      <c r="CV16" s="1018"/>
      <c r="CW16" s="989"/>
      <c r="CX16" s="977"/>
      <c r="CY16" s="1134"/>
      <c r="CZ16" s="977"/>
      <c r="DA16" s="977"/>
      <c r="DB16" s="977"/>
      <c r="DC16" s="977"/>
      <c r="DD16" s="977"/>
      <c r="DE16" s="977"/>
      <c r="DF16" s="977"/>
      <c r="DG16" s="977"/>
      <c r="DH16" s="980"/>
      <c r="DI16" s="1018"/>
      <c r="DJ16" s="972"/>
      <c r="DK16" s="214"/>
    </row>
    <row r="17" spans="1:115" ht="14.25" customHeight="1" x14ac:dyDescent="0.25">
      <c r="A17" s="1048"/>
      <c r="B17" s="1068"/>
      <c r="C17" s="1114"/>
      <c r="D17" s="975"/>
      <c r="E17" s="167" t="s">
        <v>198</v>
      </c>
      <c r="F17" s="145">
        <v>30</v>
      </c>
      <c r="G17" s="1076"/>
      <c r="H17" s="199"/>
      <c r="I17" s="1131"/>
      <c r="J17" s="1043"/>
      <c r="K17" s="1043"/>
      <c r="L17" s="1043"/>
      <c r="M17" s="1043"/>
      <c r="N17" s="1043"/>
      <c r="O17" s="1043"/>
      <c r="P17" s="1043"/>
      <c r="Q17" s="1043"/>
      <c r="R17" s="1043"/>
      <c r="S17" s="1043"/>
      <c r="T17" s="1043"/>
      <c r="U17" s="1043"/>
      <c r="V17" s="1043"/>
      <c r="W17" s="1043"/>
      <c r="X17" s="1043"/>
      <c r="Y17" s="1043"/>
      <c r="Z17" s="1043"/>
      <c r="AA17" s="1043"/>
      <c r="AB17" s="1043"/>
      <c r="AC17" s="1043"/>
      <c r="AD17" s="1043"/>
      <c r="AE17" s="1043"/>
      <c r="AF17" s="1043"/>
      <c r="AG17" s="1043"/>
      <c r="AH17" s="1043"/>
      <c r="AI17" s="1043"/>
      <c r="AJ17" s="1043"/>
      <c r="AK17" s="1043"/>
      <c r="AL17" s="1043"/>
      <c r="AM17" s="1043"/>
      <c r="AN17" s="1043"/>
      <c r="AO17" s="1043"/>
      <c r="AP17" s="1043"/>
      <c r="AQ17" s="1043"/>
      <c r="AR17" s="1043"/>
      <c r="AS17" s="1043"/>
      <c r="AT17" s="1043"/>
      <c r="AU17" s="1043"/>
      <c r="AV17" s="1043"/>
      <c r="AW17" s="1043"/>
      <c r="AX17" s="1043"/>
      <c r="AY17" s="1043"/>
      <c r="AZ17" s="1043"/>
      <c r="BA17" s="1043"/>
      <c r="BB17" s="1043"/>
      <c r="BC17" s="1043"/>
      <c r="BD17" s="1043"/>
      <c r="BE17" s="1043"/>
      <c r="BF17" s="1043"/>
      <c r="BG17" s="1043"/>
      <c r="BH17" s="1043"/>
      <c r="BI17" s="1043"/>
      <c r="BJ17" s="1039"/>
      <c r="BK17" s="1039"/>
      <c r="BL17" s="1039"/>
      <c r="BM17" s="1039"/>
      <c r="BN17" s="1039"/>
      <c r="BO17" s="1039"/>
      <c r="BP17" s="1039"/>
      <c r="BQ17" s="1039"/>
      <c r="BR17" s="1039"/>
      <c r="BS17" s="1039"/>
      <c r="BT17" s="1039"/>
      <c r="BU17" s="1039"/>
      <c r="BV17" s="1043"/>
      <c r="BW17" s="180"/>
      <c r="BX17" s="978"/>
      <c r="BY17" s="1135"/>
      <c r="BZ17" s="978"/>
      <c r="CA17" s="1135"/>
      <c r="CB17" s="1135"/>
      <c r="CC17" s="1135"/>
      <c r="CD17" s="978"/>
      <c r="CE17" s="1135"/>
      <c r="CF17" s="978"/>
      <c r="CG17" s="981"/>
      <c r="CH17" s="981"/>
      <c r="CI17" s="1046"/>
      <c r="CJ17" s="990"/>
      <c r="CK17" s="978"/>
      <c r="CL17" s="1135"/>
      <c r="CM17" s="978"/>
      <c r="CN17" s="177"/>
      <c r="CO17" s="978"/>
      <c r="CP17" s="978"/>
      <c r="CQ17" s="978"/>
      <c r="CR17" s="978"/>
      <c r="CS17" s="978"/>
      <c r="CT17" s="978"/>
      <c r="CU17" s="981"/>
      <c r="CV17" s="1018"/>
      <c r="CW17" s="990"/>
      <c r="CX17" s="978"/>
      <c r="CY17" s="1135"/>
      <c r="CZ17" s="978"/>
      <c r="DA17" s="978"/>
      <c r="DB17" s="978"/>
      <c r="DC17" s="978"/>
      <c r="DD17" s="978"/>
      <c r="DE17" s="978"/>
      <c r="DF17" s="978"/>
      <c r="DG17" s="978"/>
      <c r="DH17" s="981"/>
      <c r="DI17" s="1018"/>
      <c r="DJ17" s="973"/>
      <c r="DK17" s="215"/>
    </row>
    <row r="18" spans="1:115" ht="13.5" customHeight="1" x14ac:dyDescent="0.25">
      <c r="A18" s="1048">
        <v>4</v>
      </c>
      <c r="B18" s="1068" t="s">
        <v>107</v>
      </c>
      <c r="C18" s="234" t="s">
        <v>106</v>
      </c>
      <c r="D18" s="1132" t="s">
        <v>355</v>
      </c>
      <c r="E18" s="239" t="s">
        <v>199</v>
      </c>
      <c r="F18" s="146">
        <v>30</v>
      </c>
      <c r="G18" s="1071">
        <f>F18+F19+F20+F21</f>
        <v>60</v>
      </c>
      <c r="H18" s="194"/>
      <c r="I18" s="1129"/>
      <c r="J18" s="1043"/>
      <c r="K18" s="1043"/>
      <c r="L18" s="1043"/>
      <c r="M18" s="1043"/>
      <c r="N18" s="1043"/>
      <c r="O18" s="1043"/>
      <c r="P18" s="1043"/>
      <c r="Q18" s="1043"/>
      <c r="R18" s="1043"/>
      <c r="S18" s="1043"/>
      <c r="T18" s="1043"/>
      <c r="U18" s="1043"/>
      <c r="V18" s="1043">
        <f>SUM(J18:U21)</f>
        <v>0</v>
      </c>
      <c r="W18" s="1043"/>
      <c r="X18" s="1043"/>
      <c r="Y18" s="1043"/>
      <c r="Z18" s="1043"/>
      <c r="AA18" s="1043"/>
      <c r="AB18" s="1043"/>
      <c r="AC18" s="1043"/>
      <c r="AD18" s="1043"/>
      <c r="AE18" s="1043"/>
      <c r="AF18" s="1043"/>
      <c r="AG18" s="1043"/>
      <c r="AH18" s="1043"/>
      <c r="AI18" s="1043">
        <f>SUM(W18:AH21)</f>
        <v>0</v>
      </c>
      <c r="AJ18" s="1043"/>
      <c r="AK18" s="1043"/>
      <c r="AL18" s="1043"/>
      <c r="AM18" s="1043"/>
      <c r="AN18" s="1043"/>
      <c r="AO18" s="1043"/>
      <c r="AP18" s="1043"/>
      <c r="AQ18" s="1043"/>
      <c r="AR18" s="1043"/>
      <c r="AS18" s="1043"/>
      <c r="AT18" s="1043"/>
      <c r="AU18" s="1043"/>
      <c r="AV18" s="1043">
        <f>SUM(AJ18:AU21)</f>
        <v>0</v>
      </c>
      <c r="AW18" s="1043"/>
      <c r="AX18" s="1043"/>
      <c r="AY18" s="1043"/>
      <c r="AZ18" s="1043"/>
      <c r="BA18" s="1043"/>
      <c r="BB18" s="1043"/>
      <c r="BC18" s="1043"/>
      <c r="BD18" s="1043"/>
      <c r="BE18" s="1043"/>
      <c r="BF18" s="1043"/>
      <c r="BG18" s="1043">
        <v>1</v>
      </c>
      <c r="BH18" s="1043">
        <v>7</v>
      </c>
      <c r="BI18" s="1043"/>
      <c r="BJ18" s="1037"/>
      <c r="BK18" s="1037"/>
      <c r="BL18" s="1037"/>
      <c r="BM18" s="1037"/>
      <c r="BN18" s="1037"/>
      <c r="BO18" s="1037"/>
      <c r="BP18" s="1037"/>
      <c r="BQ18" s="1037"/>
      <c r="BR18" s="1037"/>
      <c r="BS18" s="1037"/>
      <c r="BT18" s="1037"/>
      <c r="BU18" s="1037"/>
      <c r="BV18" s="1043"/>
      <c r="BW18" s="178"/>
      <c r="BX18" s="175"/>
      <c r="BY18" s="175"/>
      <c r="BZ18" s="175"/>
      <c r="CA18" s="175"/>
      <c r="CB18" s="175"/>
      <c r="CC18" s="175"/>
      <c r="CD18" s="175"/>
      <c r="CE18" s="976"/>
      <c r="CF18" s="976"/>
      <c r="CG18" s="976"/>
      <c r="CH18" s="1011"/>
      <c r="CI18" s="1120"/>
      <c r="CJ18" s="988">
        <v>14</v>
      </c>
      <c r="CK18" s="175"/>
      <c r="CL18" s="175"/>
      <c r="CM18" s="175"/>
      <c r="CN18" s="175"/>
      <c r="CO18" s="175"/>
      <c r="CP18" s="175"/>
      <c r="CQ18" s="175"/>
      <c r="CR18" s="976"/>
      <c r="CS18" s="976"/>
      <c r="CT18" s="976"/>
      <c r="CU18" s="1011"/>
      <c r="CV18" s="1120">
        <f>SUM(CJ18:CU21)</f>
        <v>14</v>
      </c>
      <c r="CW18" s="988"/>
      <c r="CX18" s="976"/>
      <c r="CY18" s="976"/>
      <c r="CZ18" s="976"/>
      <c r="DA18" s="976"/>
      <c r="DB18" s="976"/>
      <c r="DC18" s="976"/>
      <c r="DD18" s="976"/>
      <c r="DE18" s="976"/>
      <c r="DF18" s="976"/>
      <c r="DG18" s="976"/>
      <c r="DH18" s="1011"/>
      <c r="DI18" s="1120">
        <f>SUM(CW18:DH21)</f>
        <v>0</v>
      </c>
      <c r="DJ18" s="971">
        <f>CV18</f>
        <v>14</v>
      </c>
      <c r="DK18" s="216">
        <f>H20-DJ18</f>
        <v>46</v>
      </c>
    </row>
    <row r="19" spans="1:115" ht="14.25" customHeight="1" x14ac:dyDescent="0.25">
      <c r="A19" s="1048"/>
      <c r="B19" s="1068"/>
      <c r="C19" s="235" t="s">
        <v>200</v>
      </c>
      <c r="D19" s="1132"/>
      <c r="E19" s="238" t="s">
        <v>201</v>
      </c>
      <c r="F19" s="147">
        <v>30</v>
      </c>
      <c r="G19" s="1072"/>
      <c r="H19" s="195"/>
      <c r="I19" s="1130"/>
      <c r="J19" s="1043"/>
      <c r="K19" s="1043"/>
      <c r="L19" s="1043"/>
      <c r="M19" s="1043"/>
      <c r="N19" s="1043"/>
      <c r="O19" s="1043"/>
      <c r="P19" s="1043"/>
      <c r="Q19" s="1043"/>
      <c r="R19" s="1043"/>
      <c r="S19" s="1043"/>
      <c r="T19" s="1043"/>
      <c r="U19" s="1043"/>
      <c r="V19" s="1043"/>
      <c r="W19" s="1043"/>
      <c r="X19" s="1043"/>
      <c r="Y19" s="1043"/>
      <c r="Z19" s="1043"/>
      <c r="AA19" s="1043"/>
      <c r="AB19" s="1043"/>
      <c r="AC19" s="1043"/>
      <c r="AD19" s="1043"/>
      <c r="AE19" s="1043"/>
      <c r="AF19" s="1043"/>
      <c r="AG19" s="1043"/>
      <c r="AH19" s="1043"/>
      <c r="AI19" s="1043"/>
      <c r="AJ19" s="1043"/>
      <c r="AK19" s="1043"/>
      <c r="AL19" s="1043"/>
      <c r="AM19" s="1043"/>
      <c r="AN19" s="1043"/>
      <c r="AO19" s="1043"/>
      <c r="AP19" s="1043"/>
      <c r="AQ19" s="1043"/>
      <c r="AR19" s="1043"/>
      <c r="AS19" s="1043"/>
      <c r="AT19" s="1043"/>
      <c r="AU19" s="1043"/>
      <c r="AV19" s="1043"/>
      <c r="AW19" s="1043"/>
      <c r="AX19" s="1043"/>
      <c r="AY19" s="1043"/>
      <c r="AZ19" s="1043"/>
      <c r="BA19" s="1043"/>
      <c r="BB19" s="1043"/>
      <c r="BC19" s="1043"/>
      <c r="BD19" s="1043"/>
      <c r="BE19" s="1043"/>
      <c r="BF19" s="1043"/>
      <c r="BG19" s="1043"/>
      <c r="BH19" s="1043"/>
      <c r="BI19" s="1043"/>
      <c r="BJ19" s="1038"/>
      <c r="BK19" s="1038"/>
      <c r="BL19" s="1038"/>
      <c r="BM19" s="1038"/>
      <c r="BN19" s="1038"/>
      <c r="BO19" s="1038"/>
      <c r="BP19" s="1038"/>
      <c r="BQ19" s="1038"/>
      <c r="BR19" s="1038"/>
      <c r="BS19" s="1038"/>
      <c r="BT19" s="1038"/>
      <c r="BU19" s="1038"/>
      <c r="BV19" s="1043"/>
      <c r="BW19" s="179"/>
      <c r="BX19" s="176"/>
      <c r="BY19" s="176"/>
      <c r="BZ19" s="176"/>
      <c r="CA19" s="176"/>
      <c r="CB19" s="176"/>
      <c r="CC19" s="176"/>
      <c r="CD19" s="176"/>
      <c r="CE19" s="977"/>
      <c r="CF19" s="977"/>
      <c r="CG19" s="977"/>
      <c r="CH19" s="1012"/>
      <c r="CI19" s="1120"/>
      <c r="CJ19" s="989"/>
      <c r="CK19" s="176"/>
      <c r="CL19" s="176"/>
      <c r="CM19" s="176"/>
      <c r="CN19" s="176"/>
      <c r="CO19" s="176"/>
      <c r="CP19" s="176"/>
      <c r="CQ19" s="176"/>
      <c r="CR19" s="977"/>
      <c r="CS19" s="977"/>
      <c r="CT19" s="977"/>
      <c r="CU19" s="1012"/>
      <c r="CV19" s="1120"/>
      <c r="CW19" s="989"/>
      <c r="CX19" s="977"/>
      <c r="CY19" s="977"/>
      <c r="CZ19" s="977"/>
      <c r="DA19" s="977"/>
      <c r="DB19" s="977"/>
      <c r="DC19" s="977"/>
      <c r="DD19" s="977"/>
      <c r="DE19" s="977"/>
      <c r="DF19" s="977"/>
      <c r="DG19" s="977"/>
      <c r="DH19" s="1012"/>
      <c r="DI19" s="1120"/>
      <c r="DJ19" s="972"/>
      <c r="DK19" s="214"/>
    </row>
    <row r="20" spans="1:115" ht="14.25" customHeight="1" x14ac:dyDescent="0.25">
      <c r="A20" s="1048"/>
      <c r="B20" s="1068"/>
      <c r="C20" s="235"/>
      <c r="D20" s="1132"/>
      <c r="E20" s="153"/>
      <c r="F20" s="147"/>
      <c r="G20" s="1072"/>
      <c r="H20" s="228">
        <f>ROUNDDOWN(($H$2-D18)/365,0)*30</f>
        <v>60</v>
      </c>
      <c r="I20" s="1130"/>
      <c r="J20" s="1043"/>
      <c r="K20" s="1043"/>
      <c r="L20" s="1043"/>
      <c r="M20" s="1043"/>
      <c r="N20" s="1043"/>
      <c r="O20" s="1043"/>
      <c r="P20" s="1043"/>
      <c r="Q20" s="1043"/>
      <c r="R20" s="1043"/>
      <c r="S20" s="1043"/>
      <c r="T20" s="1043"/>
      <c r="U20" s="1043"/>
      <c r="V20" s="1043"/>
      <c r="W20" s="1043"/>
      <c r="X20" s="1043"/>
      <c r="Y20" s="1043"/>
      <c r="Z20" s="1043"/>
      <c r="AA20" s="1043"/>
      <c r="AB20" s="1043"/>
      <c r="AC20" s="1043"/>
      <c r="AD20" s="1043"/>
      <c r="AE20" s="1043"/>
      <c r="AF20" s="1043"/>
      <c r="AG20" s="1043"/>
      <c r="AH20" s="1043"/>
      <c r="AI20" s="1043"/>
      <c r="AJ20" s="1043"/>
      <c r="AK20" s="1043"/>
      <c r="AL20" s="1043"/>
      <c r="AM20" s="1043"/>
      <c r="AN20" s="1043"/>
      <c r="AO20" s="1043"/>
      <c r="AP20" s="1043"/>
      <c r="AQ20" s="1043"/>
      <c r="AR20" s="1043"/>
      <c r="AS20" s="1043"/>
      <c r="AT20" s="1043"/>
      <c r="AU20" s="1043"/>
      <c r="AV20" s="1043"/>
      <c r="AW20" s="1043"/>
      <c r="AX20" s="1043"/>
      <c r="AY20" s="1043"/>
      <c r="AZ20" s="1043"/>
      <c r="BA20" s="1043"/>
      <c r="BB20" s="1043"/>
      <c r="BC20" s="1043"/>
      <c r="BD20" s="1043"/>
      <c r="BE20" s="1043"/>
      <c r="BF20" s="1043"/>
      <c r="BG20" s="1043"/>
      <c r="BH20" s="1043"/>
      <c r="BI20" s="1043"/>
      <c r="BJ20" s="1038"/>
      <c r="BK20" s="1038"/>
      <c r="BL20" s="1038"/>
      <c r="BM20" s="1038"/>
      <c r="BN20" s="1038"/>
      <c r="BO20" s="1038"/>
      <c r="BP20" s="1038"/>
      <c r="BQ20" s="1038"/>
      <c r="BR20" s="1038"/>
      <c r="BS20" s="1038"/>
      <c r="BT20" s="1038"/>
      <c r="BU20" s="1038"/>
      <c r="BV20" s="1043"/>
      <c r="BW20" s="179"/>
      <c r="BX20" s="176"/>
      <c r="BY20" s="176"/>
      <c r="BZ20" s="176"/>
      <c r="CA20" s="176"/>
      <c r="CB20" s="176"/>
      <c r="CC20" s="176"/>
      <c r="CD20" s="176"/>
      <c r="CE20" s="977"/>
      <c r="CF20" s="977"/>
      <c r="CG20" s="977"/>
      <c r="CH20" s="1012"/>
      <c r="CI20" s="1120"/>
      <c r="CJ20" s="989"/>
      <c r="CK20" s="176"/>
      <c r="CL20" s="176"/>
      <c r="CM20" s="176"/>
      <c r="CN20" s="176"/>
      <c r="CO20" s="176"/>
      <c r="CP20" s="176"/>
      <c r="CQ20" s="176"/>
      <c r="CR20" s="977"/>
      <c r="CS20" s="977"/>
      <c r="CT20" s="977"/>
      <c r="CU20" s="1012"/>
      <c r="CV20" s="1120"/>
      <c r="CW20" s="989"/>
      <c r="CX20" s="977"/>
      <c r="CY20" s="977"/>
      <c r="CZ20" s="977"/>
      <c r="DA20" s="977"/>
      <c r="DB20" s="977"/>
      <c r="DC20" s="977"/>
      <c r="DD20" s="977"/>
      <c r="DE20" s="977"/>
      <c r="DF20" s="977"/>
      <c r="DG20" s="977"/>
      <c r="DH20" s="1012"/>
      <c r="DI20" s="1120"/>
      <c r="DJ20" s="972"/>
      <c r="DK20" s="214"/>
    </row>
    <row r="21" spans="1:115" ht="14.25" customHeight="1" x14ac:dyDescent="0.25">
      <c r="A21" s="1048"/>
      <c r="B21" s="1068"/>
      <c r="C21" s="236"/>
      <c r="D21" s="1132"/>
      <c r="E21" s="241"/>
      <c r="F21" s="148"/>
      <c r="G21" s="1073"/>
      <c r="H21" s="196"/>
      <c r="I21" s="1131"/>
      <c r="J21" s="1043"/>
      <c r="K21" s="1043"/>
      <c r="L21" s="1043"/>
      <c r="M21" s="1043"/>
      <c r="N21" s="1043"/>
      <c r="O21" s="1043"/>
      <c r="P21" s="1043"/>
      <c r="Q21" s="1043"/>
      <c r="R21" s="1043"/>
      <c r="S21" s="1043"/>
      <c r="T21" s="1043"/>
      <c r="U21" s="1043"/>
      <c r="V21" s="1043"/>
      <c r="W21" s="1043"/>
      <c r="X21" s="1043"/>
      <c r="Y21" s="1043"/>
      <c r="Z21" s="1043"/>
      <c r="AA21" s="1043"/>
      <c r="AB21" s="1043"/>
      <c r="AC21" s="1043"/>
      <c r="AD21" s="1043"/>
      <c r="AE21" s="1043"/>
      <c r="AF21" s="1043"/>
      <c r="AG21" s="1043"/>
      <c r="AH21" s="1043"/>
      <c r="AI21" s="1043"/>
      <c r="AJ21" s="1043"/>
      <c r="AK21" s="1043"/>
      <c r="AL21" s="1043"/>
      <c r="AM21" s="1043"/>
      <c r="AN21" s="1043"/>
      <c r="AO21" s="1043"/>
      <c r="AP21" s="1043"/>
      <c r="AQ21" s="1043"/>
      <c r="AR21" s="1043"/>
      <c r="AS21" s="1043"/>
      <c r="AT21" s="1043"/>
      <c r="AU21" s="1043"/>
      <c r="AV21" s="1043"/>
      <c r="AW21" s="1043"/>
      <c r="AX21" s="1043"/>
      <c r="AY21" s="1043"/>
      <c r="AZ21" s="1043"/>
      <c r="BA21" s="1043"/>
      <c r="BB21" s="1043"/>
      <c r="BC21" s="1043"/>
      <c r="BD21" s="1043"/>
      <c r="BE21" s="1043"/>
      <c r="BF21" s="1043"/>
      <c r="BG21" s="1043"/>
      <c r="BH21" s="1043"/>
      <c r="BI21" s="1043"/>
      <c r="BJ21" s="1039"/>
      <c r="BK21" s="1039"/>
      <c r="BL21" s="1039"/>
      <c r="BM21" s="1039"/>
      <c r="BN21" s="1039"/>
      <c r="BO21" s="1039"/>
      <c r="BP21" s="1039"/>
      <c r="BQ21" s="1039"/>
      <c r="BR21" s="1039"/>
      <c r="BS21" s="1039"/>
      <c r="BT21" s="1039"/>
      <c r="BU21" s="1039"/>
      <c r="BV21" s="1043"/>
      <c r="BW21" s="180"/>
      <c r="BX21" s="177"/>
      <c r="BY21" s="177"/>
      <c r="BZ21" s="177"/>
      <c r="CA21" s="177"/>
      <c r="CB21" s="177"/>
      <c r="CC21" s="177"/>
      <c r="CD21" s="177"/>
      <c r="CE21" s="978"/>
      <c r="CF21" s="978"/>
      <c r="CG21" s="978"/>
      <c r="CH21" s="1013"/>
      <c r="CI21" s="1120"/>
      <c r="CJ21" s="990"/>
      <c r="CK21" s="177"/>
      <c r="CL21" s="177"/>
      <c r="CM21" s="177"/>
      <c r="CN21" s="177"/>
      <c r="CO21" s="177"/>
      <c r="CP21" s="177"/>
      <c r="CQ21" s="177"/>
      <c r="CR21" s="978"/>
      <c r="CS21" s="978"/>
      <c r="CT21" s="978"/>
      <c r="CU21" s="1013"/>
      <c r="CV21" s="1120"/>
      <c r="CW21" s="990"/>
      <c r="CX21" s="978"/>
      <c r="CY21" s="978"/>
      <c r="CZ21" s="978"/>
      <c r="DA21" s="978"/>
      <c r="DB21" s="978"/>
      <c r="DC21" s="978"/>
      <c r="DD21" s="978"/>
      <c r="DE21" s="978"/>
      <c r="DF21" s="978"/>
      <c r="DG21" s="978"/>
      <c r="DH21" s="1013"/>
      <c r="DI21" s="1120"/>
      <c r="DJ21" s="972"/>
      <c r="DK21" s="215"/>
    </row>
    <row r="22" spans="1:115" ht="13.5" customHeight="1" x14ac:dyDescent="0.25">
      <c r="A22" s="1048">
        <v>4</v>
      </c>
      <c r="B22" s="1068" t="s">
        <v>16</v>
      </c>
      <c r="C22" s="234" t="s">
        <v>106</v>
      </c>
      <c r="D22" s="1132" t="s">
        <v>202</v>
      </c>
      <c r="E22" s="237" t="s">
        <v>203</v>
      </c>
      <c r="F22" s="150">
        <v>30</v>
      </c>
      <c r="G22" s="1071">
        <f>F22+F23+F24+F25</f>
        <v>30</v>
      </c>
      <c r="H22" s="194"/>
      <c r="I22" s="1129"/>
      <c r="J22" s="1043"/>
      <c r="K22" s="1043"/>
      <c r="L22" s="1043"/>
      <c r="M22" s="1043"/>
      <c r="N22" s="1043"/>
      <c r="O22" s="1043"/>
      <c r="P22" s="1043"/>
      <c r="Q22" s="1043"/>
      <c r="R22" s="1043"/>
      <c r="S22" s="1043"/>
      <c r="T22" s="1043"/>
      <c r="U22" s="1043"/>
      <c r="V22" s="1043">
        <f>SUM(J22:U25)</f>
        <v>0</v>
      </c>
      <c r="W22" s="1043"/>
      <c r="X22" s="1043"/>
      <c r="Y22" s="1043"/>
      <c r="Z22" s="1043"/>
      <c r="AA22" s="1043"/>
      <c r="AB22" s="1043"/>
      <c r="AC22" s="1043"/>
      <c r="AD22" s="1043"/>
      <c r="AE22" s="1043"/>
      <c r="AF22" s="1043"/>
      <c r="AG22" s="1043"/>
      <c r="AH22" s="1043"/>
      <c r="AI22" s="1043">
        <f>SUM(W22:AH25)</f>
        <v>0</v>
      </c>
      <c r="AJ22" s="1043"/>
      <c r="AK22" s="1043"/>
      <c r="AL22" s="1043"/>
      <c r="AM22" s="1043"/>
      <c r="AN22" s="1043"/>
      <c r="AO22" s="1043"/>
      <c r="AP22" s="1043"/>
      <c r="AQ22" s="1043"/>
      <c r="AR22" s="1043"/>
      <c r="AS22" s="1043"/>
      <c r="AT22" s="1043"/>
      <c r="AU22" s="1043"/>
      <c r="AV22" s="1043">
        <f>SUM(AJ22:AU25)</f>
        <v>0</v>
      </c>
      <c r="AW22" s="1043"/>
      <c r="AX22" s="1043"/>
      <c r="AY22" s="1043"/>
      <c r="AZ22" s="1043"/>
      <c r="BA22" s="1043"/>
      <c r="BB22" s="1043"/>
      <c r="BC22" s="1043"/>
      <c r="BD22" s="1043"/>
      <c r="BE22" s="1043"/>
      <c r="BF22" s="1043"/>
      <c r="BG22" s="1043">
        <v>1</v>
      </c>
      <c r="BH22" s="1043">
        <v>7</v>
      </c>
      <c r="BI22" s="1043"/>
      <c r="BJ22" s="1037"/>
      <c r="BK22" s="1037"/>
      <c r="BL22" s="1037"/>
      <c r="BM22" s="1037"/>
      <c r="BN22" s="1037"/>
      <c r="BO22" s="1037"/>
      <c r="BP22" s="1037"/>
      <c r="BQ22" s="1037"/>
      <c r="BR22" s="1037"/>
      <c r="BS22" s="1037"/>
      <c r="BT22" s="1037"/>
      <c r="BU22" s="1037"/>
      <c r="BV22" s="1043"/>
      <c r="BW22" s="178"/>
      <c r="BX22" s="175"/>
      <c r="BY22" s="175"/>
      <c r="BZ22" s="175"/>
      <c r="CA22" s="175"/>
      <c r="CB22" s="175"/>
      <c r="CC22" s="175"/>
      <c r="CD22" s="175"/>
      <c r="CE22" s="976"/>
      <c r="CF22" s="976"/>
      <c r="CG22" s="976"/>
      <c r="CH22" s="1011"/>
      <c r="CI22" s="1120"/>
      <c r="CJ22" s="178"/>
      <c r="CK22" s="175"/>
      <c r="CL22" s="175"/>
      <c r="CM22" s="175"/>
      <c r="CN22" s="175"/>
      <c r="CO22" s="175"/>
      <c r="CP22" s="976">
        <v>10</v>
      </c>
      <c r="CQ22" s="976">
        <v>7</v>
      </c>
      <c r="CR22" s="976"/>
      <c r="CS22" s="976"/>
      <c r="CT22" s="976"/>
      <c r="CU22" s="1011"/>
      <c r="CV22" s="1120">
        <f>SUM(CJ22:CU25)</f>
        <v>17</v>
      </c>
      <c r="CW22" s="988"/>
      <c r="CX22" s="976">
        <v>10</v>
      </c>
      <c r="CY22" s="976">
        <v>11</v>
      </c>
      <c r="CZ22" s="976"/>
      <c r="DA22" s="976"/>
      <c r="DB22" s="976"/>
      <c r="DC22" s="976"/>
      <c r="DD22" s="976"/>
      <c r="DE22" s="976"/>
      <c r="DF22" s="976"/>
      <c r="DG22" s="976"/>
      <c r="DH22" s="1011"/>
      <c r="DI22" s="1120">
        <f>SUM(CW22:DH25)</f>
        <v>21</v>
      </c>
      <c r="DJ22" s="971">
        <f>CV22+DI22</f>
        <v>38</v>
      </c>
      <c r="DK22" s="216">
        <f>H24-DJ22</f>
        <v>-8</v>
      </c>
    </row>
    <row r="23" spans="1:115" ht="14.25" customHeight="1" x14ac:dyDescent="0.25">
      <c r="A23" s="1048"/>
      <c r="B23" s="1068"/>
      <c r="C23" s="235" t="s">
        <v>200</v>
      </c>
      <c r="D23" s="1132"/>
      <c r="E23" s="153"/>
      <c r="F23" s="147"/>
      <c r="G23" s="1072"/>
      <c r="H23" s="195"/>
      <c r="I23" s="1130"/>
      <c r="J23" s="1043"/>
      <c r="K23" s="1043"/>
      <c r="L23" s="1043"/>
      <c r="M23" s="1043"/>
      <c r="N23" s="1043"/>
      <c r="O23" s="1043"/>
      <c r="P23" s="1043"/>
      <c r="Q23" s="1043"/>
      <c r="R23" s="1043"/>
      <c r="S23" s="1043"/>
      <c r="T23" s="1043"/>
      <c r="U23" s="1043"/>
      <c r="V23" s="1043"/>
      <c r="W23" s="1043"/>
      <c r="X23" s="1043"/>
      <c r="Y23" s="1043"/>
      <c r="Z23" s="1043"/>
      <c r="AA23" s="1043"/>
      <c r="AB23" s="1043"/>
      <c r="AC23" s="1043"/>
      <c r="AD23" s="1043"/>
      <c r="AE23" s="1043"/>
      <c r="AF23" s="1043"/>
      <c r="AG23" s="1043"/>
      <c r="AH23" s="1043"/>
      <c r="AI23" s="1043"/>
      <c r="AJ23" s="1043"/>
      <c r="AK23" s="1043"/>
      <c r="AL23" s="1043"/>
      <c r="AM23" s="1043"/>
      <c r="AN23" s="1043"/>
      <c r="AO23" s="1043"/>
      <c r="AP23" s="1043"/>
      <c r="AQ23" s="1043"/>
      <c r="AR23" s="1043"/>
      <c r="AS23" s="1043"/>
      <c r="AT23" s="1043"/>
      <c r="AU23" s="1043"/>
      <c r="AV23" s="1043"/>
      <c r="AW23" s="1043"/>
      <c r="AX23" s="1043"/>
      <c r="AY23" s="1043"/>
      <c r="AZ23" s="1043"/>
      <c r="BA23" s="1043"/>
      <c r="BB23" s="1043"/>
      <c r="BC23" s="1043"/>
      <c r="BD23" s="1043"/>
      <c r="BE23" s="1043"/>
      <c r="BF23" s="1043"/>
      <c r="BG23" s="1043"/>
      <c r="BH23" s="1043"/>
      <c r="BI23" s="1043"/>
      <c r="BJ23" s="1038"/>
      <c r="BK23" s="1038"/>
      <c r="BL23" s="1038"/>
      <c r="BM23" s="1038"/>
      <c r="BN23" s="1038"/>
      <c r="BO23" s="1038"/>
      <c r="BP23" s="1038"/>
      <c r="BQ23" s="1038"/>
      <c r="BR23" s="1038"/>
      <c r="BS23" s="1038"/>
      <c r="BT23" s="1038"/>
      <c r="BU23" s="1038"/>
      <c r="BV23" s="1043"/>
      <c r="BW23" s="179"/>
      <c r="BX23" s="176"/>
      <c r="BY23" s="176"/>
      <c r="BZ23" s="176"/>
      <c r="CA23" s="176"/>
      <c r="CB23" s="176"/>
      <c r="CC23" s="176"/>
      <c r="CD23" s="176"/>
      <c r="CE23" s="977"/>
      <c r="CF23" s="977"/>
      <c r="CG23" s="977"/>
      <c r="CH23" s="1012"/>
      <c r="CI23" s="1120"/>
      <c r="CJ23" s="179"/>
      <c r="CK23" s="176"/>
      <c r="CL23" s="176"/>
      <c r="CM23" s="176"/>
      <c r="CN23" s="176"/>
      <c r="CO23" s="176"/>
      <c r="CP23" s="977"/>
      <c r="CQ23" s="977"/>
      <c r="CR23" s="977"/>
      <c r="CS23" s="977"/>
      <c r="CT23" s="977"/>
      <c r="CU23" s="1012"/>
      <c r="CV23" s="1120"/>
      <c r="CW23" s="989"/>
      <c r="CX23" s="977"/>
      <c r="CY23" s="977"/>
      <c r="CZ23" s="977"/>
      <c r="DA23" s="977"/>
      <c r="DB23" s="977"/>
      <c r="DC23" s="977"/>
      <c r="DD23" s="977"/>
      <c r="DE23" s="977"/>
      <c r="DF23" s="977"/>
      <c r="DG23" s="977"/>
      <c r="DH23" s="1012"/>
      <c r="DI23" s="1120"/>
      <c r="DJ23" s="972"/>
      <c r="DK23" s="214"/>
    </row>
    <row r="24" spans="1:115" ht="14.25" customHeight="1" x14ac:dyDescent="0.25">
      <c r="A24" s="1048"/>
      <c r="B24" s="1068"/>
      <c r="C24" s="235"/>
      <c r="D24" s="1132"/>
      <c r="E24" s="153"/>
      <c r="F24" s="147"/>
      <c r="G24" s="1072"/>
      <c r="H24" s="228">
        <f>ROUNDDOWN(($H$2-D22)/365,0)*30</f>
        <v>30</v>
      </c>
      <c r="I24" s="1130"/>
      <c r="J24" s="1043"/>
      <c r="K24" s="1043"/>
      <c r="L24" s="1043"/>
      <c r="M24" s="1043"/>
      <c r="N24" s="1043"/>
      <c r="O24" s="1043"/>
      <c r="P24" s="1043"/>
      <c r="Q24" s="1043"/>
      <c r="R24" s="1043"/>
      <c r="S24" s="1043"/>
      <c r="T24" s="1043"/>
      <c r="U24" s="1043"/>
      <c r="V24" s="1043"/>
      <c r="W24" s="1043"/>
      <c r="X24" s="1043"/>
      <c r="Y24" s="1043"/>
      <c r="Z24" s="1043"/>
      <c r="AA24" s="1043"/>
      <c r="AB24" s="1043"/>
      <c r="AC24" s="1043"/>
      <c r="AD24" s="1043"/>
      <c r="AE24" s="1043"/>
      <c r="AF24" s="1043"/>
      <c r="AG24" s="1043"/>
      <c r="AH24" s="1043"/>
      <c r="AI24" s="1043"/>
      <c r="AJ24" s="1043"/>
      <c r="AK24" s="1043"/>
      <c r="AL24" s="1043"/>
      <c r="AM24" s="1043"/>
      <c r="AN24" s="1043"/>
      <c r="AO24" s="1043"/>
      <c r="AP24" s="1043"/>
      <c r="AQ24" s="1043"/>
      <c r="AR24" s="1043"/>
      <c r="AS24" s="1043"/>
      <c r="AT24" s="1043"/>
      <c r="AU24" s="1043"/>
      <c r="AV24" s="1043"/>
      <c r="AW24" s="1043"/>
      <c r="AX24" s="1043"/>
      <c r="AY24" s="1043"/>
      <c r="AZ24" s="1043"/>
      <c r="BA24" s="1043"/>
      <c r="BB24" s="1043"/>
      <c r="BC24" s="1043"/>
      <c r="BD24" s="1043"/>
      <c r="BE24" s="1043"/>
      <c r="BF24" s="1043"/>
      <c r="BG24" s="1043"/>
      <c r="BH24" s="1043"/>
      <c r="BI24" s="1043"/>
      <c r="BJ24" s="1038"/>
      <c r="BK24" s="1038"/>
      <c r="BL24" s="1038"/>
      <c r="BM24" s="1038"/>
      <c r="BN24" s="1038"/>
      <c r="BO24" s="1038"/>
      <c r="BP24" s="1038"/>
      <c r="BQ24" s="1038"/>
      <c r="BR24" s="1038"/>
      <c r="BS24" s="1038"/>
      <c r="BT24" s="1038"/>
      <c r="BU24" s="1038"/>
      <c r="BV24" s="1043"/>
      <c r="BW24" s="179"/>
      <c r="BX24" s="176"/>
      <c r="BY24" s="176"/>
      <c r="BZ24" s="176"/>
      <c r="CA24" s="176"/>
      <c r="CB24" s="176"/>
      <c r="CC24" s="176"/>
      <c r="CD24" s="176"/>
      <c r="CE24" s="977"/>
      <c r="CF24" s="977"/>
      <c r="CG24" s="977"/>
      <c r="CH24" s="1012"/>
      <c r="CI24" s="1120"/>
      <c r="CJ24" s="179"/>
      <c r="CK24" s="176"/>
      <c r="CL24" s="176"/>
      <c r="CM24" s="176"/>
      <c r="CN24" s="176"/>
      <c r="CO24" s="176"/>
      <c r="CP24" s="977"/>
      <c r="CQ24" s="977"/>
      <c r="CR24" s="977"/>
      <c r="CS24" s="977"/>
      <c r="CT24" s="977"/>
      <c r="CU24" s="1012"/>
      <c r="CV24" s="1120"/>
      <c r="CW24" s="989"/>
      <c r="CX24" s="977"/>
      <c r="CY24" s="977"/>
      <c r="CZ24" s="977"/>
      <c r="DA24" s="977"/>
      <c r="DB24" s="977"/>
      <c r="DC24" s="977"/>
      <c r="DD24" s="977"/>
      <c r="DE24" s="977"/>
      <c r="DF24" s="977"/>
      <c r="DG24" s="977"/>
      <c r="DH24" s="1012"/>
      <c r="DI24" s="1120"/>
      <c r="DJ24" s="972"/>
      <c r="DK24" s="214"/>
    </row>
    <row r="25" spans="1:115" ht="14.25" customHeight="1" x14ac:dyDescent="0.25">
      <c r="A25" s="1048"/>
      <c r="B25" s="1068"/>
      <c r="C25" s="236"/>
      <c r="D25" s="1132"/>
      <c r="E25" s="241"/>
      <c r="F25" s="147"/>
      <c r="G25" s="1073"/>
      <c r="H25" s="196"/>
      <c r="I25" s="1131"/>
      <c r="J25" s="1043"/>
      <c r="K25" s="1043"/>
      <c r="L25" s="1043"/>
      <c r="M25" s="1043"/>
      <c r="N25" s="1043"/>
      <c r="O25" s="1043"/>
      <c r="P25" s="1043"/>
      <c r="Q25" s="1043"/>
      <c r="R25" s="1043"/>
      <c r="S25" s="1043"/>
      <c r="T25" s="1043"/>
      <c r="U25" s="1043"/>
      <c r="V25" s="1043"/>
      <c r="W25" s="1043"/>
      <c r="X25" s="1043"/>
      <c r="Y25" s="1043"/>
      <c r="Z25" s="1043"/>
      <c r="AA25" s="1043"/>
      <c r="AB25" s="1043"/>
      <c r="AC25" s="1043"/>
      <c r="AD25" s="1043"/>
      <c r="AE25" s="1043"/>
      <c r="AF25" s="1043"/>
      <c r="AG25" s="1043"/>
      <c r="AH25" s="1043"/>
      <c r="AI25" s="1043"/>
      <c r="AJ25" s="1043"/>
      <c r="AK25" s="1043"/>
      <c r="AL25" s="1043"/>
      <c r="AM25" s="1043"/>
      <c r="AN25" s="1043"/>
      <c r="AO25" s="1043"/>
      <c r="AP25" s="1043"/>
      <c r="AQ25" s="1043"/>
      <c r="AR25" s="1043"/>
      <c r="AS25" s="1043"/>
      <c r="AT25" s="1043"/>
      <c r="AU25" s="1043"/>
      <c r="AV25" s="1043"/>
      <c r="AW25" s="1043"/>
      <c r="AX25" s="1043"/>
      <c r="AY25" s="1043"/>
      <c r="AZ25" s="1043"/>
      <c r="BA25" s="1043"/>
      <c r="BB25" s="1043"/>
      <c r="BC25" s="1043"/>
      <c r="BD25" s="1043"/>
      <c r="BE25" s="1043"/>
      <c r="BF25" s="1043"/>
      <c r="BG25" s="1043"/>
      <c r="BH25" s="1043"/>
      <c r="BI25" s="1043"/>
      <c r="BJ25" s="1039"/>
      <c r="BK25" s="1039"/>
      <c r="BL25" s="1039"/>
      <c r="BM25" s="1039"/>
      <c r="BN25" s="1039"/>
      <c r="BO25" s="1039"/>
      <c r="BP25" s="1039"/>
      <c r="BQ25" s="1039"/>
      <c r="BR25" s="1039"/>
      <c r="BS25" s="1039"/>
      <c r="BT25" s="1039"/>
      <c r="BU25" s="1039"/>
      <c r="BV25" s="1043"/>
      <c r="BW25" s="180"/>
      <c r="BX25" s="177"/>
      <c r="BY25" s="177"/>
      <c r="BZ25" s="177"/>
      <c r="CA25" s="177"/>
      <c r="CB25" s="177"/>
      <c r="CC25" s="177"/>
      <c r="CD25" s="177"/>
      <c r="CE25" s="978"/>
      <c r="CF25" s="978"/>
      <c r="CG25" s="978"/>
      <c r="CH25" s="1013"/>
      <c r="CI25" s="1120"/>
      <c r="CJ25" s="180"/>
      <c r="CK25" s="177"/>
      <c r="CL25" s="177"/>
      <c r="CM25" s="177"/>
      <c r="CN25" s="177"/>
      <c r="CO25" s="177"/>
      <c r="CP25" s="978"/>
      <c r="CQ25" s="978"/>
      <c r="CR25" s="978"/>
      <c r="CS25" s="978"/>
      <c r="CT25" s="978"/>
      <c r="CU25" s="1013"/>
      <c r="CV25" s="1120"/>
      <c r="CW25" s="990"/>
      <c r="CX25" s="978"/>
      <c r="CY25" s="978"/>
      <c r="CZ25" s="978"/>
      <c r="DA25" s="978"/>
      <c r="DB25" s="978"/>
      <c r="DC25" s="978"/>
      <c r="DD25" s="978"/>
      <c r="DE25" s="978"/>
      <c r="DF25" s="978"/>
      <c r="DG25" s="978"/>
      <c r="DH25" s="1013"/>
      <c r="DI25" s="1120"/>
      <c r="DJ25" s="972"/>
      <c r="DK25" s="215"/>
    </row>
    <row r="26" spans="1:115" ht="14.25" customHeight="1" x14ac:dyDescent="0.25">
      <c r="A26" s="1048">
        <v>5</v>
      </c>
      <c r="B26" s="1068" t="s">
        <v>57</v>
      </c>
      <c r="C26" s="1117" t="s">
        <v>204</v>
      </c>
      <c r="D26" s="975" t="s">
        <v>205</v>
      </c>
      <c r="E26" s="153" t="s">
        <v>353</v>
      </c>
      <c r="F26" s="149">
        <v>30</v>
      </c>
      <c r="G26" s="1071">
        <f>F26+F27+F28+F29+F30+F31</f>
        <v>180</v>
      </c>
      <c r="H26" s="194"/>
      <c r="I26" s="1129"/>
      <c r="J26" s="139"/>
      <c r="K26" s="139"/>
      <c r="L26" s="139"/>
      <c r="M26" s="139"/>
      <c r="N26" s="1043">
        <v>1</v>
      </c>
      <c r="O26" s="139"/>
      <c r="P26" s="139"/>
      <c r="Q26" s="139"/>
      <c r="R26" s="139"/>
      <c r="S26" s="139"/>
      <c r="T26" s="139"/>
      <c r="U26" s="139"/>
      <c r="V26" s="1043">
        <f>SUM(J26:U31)</f>
        <v>1</v>
      </c>
      <c r="W26" s="1043"/>
      <c r="X26" s="1043"/>
      <c r="Y26" s="1043"/>
      <c r="Z26" s="1043"/>
      <c r="AA26" s="1043"/>
      <c r="AB26" s="1043"/>
      <c r="AC26" s="1043"/>
      <c r="AD26" s="1043">
        <v>7</v>
      </c>
      <c r="AE26" s="1043"/>
      <c r="AF26" s="1043"/>
      <c r="AG26" s="1043"/>
      <c r="AH26" s="1043">
        <v>1</v>
      </c>
      <c r="AI26" s="1043">
        <f>SUM(W26:AH31)</f>
        <v>8</v>
      </c>
      <c r="AJ26" s="1043">
        <v>1</v>
      </c>
      <c r="AK26" s="1043">
        <v>4</v>
      </c>
      <c r="AL26" s="1043">
        <v>2</v>
      </c>
      <c r="AM26" s="1043"/>
      <c r="AN26" s="1043">
        <v>1</v>
      </c>
      <c r="AO26" s="1043"/>
      <c r="AP26" s="1043">
        <v>1</v>
      </c>
      <c r="AQ26" s="1043"/>
      <c r="AR26" s="1043"/>
      <c r="AS26" s="1043">
        <v>1</v>
      </c>
      <c r="AT26" s="1043"/>
      <c r="AU26" s="1043">
        <v>3</v>
      </c>
      <c r="AV26" s="1043">
        <f>SUM(AJ26:AU31)</f>
        <v>13</v>
      </c>
      <c r="AW26" s="1043">
        <v>2</v>
      </c>
      <c r="AX26" s="1043">
        <v>1</v>
      </c>
      <c r="AY26" s="1043"/>
      <c r="AZ26" s="1043">
        <v>1</v>
      </c>
      <c r="BA26" s="1043">
        <v>7</v>
      </c>
      <c r="BB26" s="1043"/>
      <c r="BC26" s="1043">
        <v>2</v>
      </c>
      <c r="BD26" s="1043">
        <v>1</v>
      </c>
      <c r="BE26" s="1043"/>
      <c r="BF26" s="1043"/>
      <c r="BG26" s="1043">
        <v>1</v>
      </c>
      <c r="BH26" s="1043">
        <v>1</v>
      </c>
      <c r="BI26" s="1043">
        <f>SUM(AW26:BH31)</f>
        <v>16</v>
      </c>
      <c r="BJ26" s="1037">
        <v>2</v>
      </c>
      <c r="BK26" s="1037">
        <v>7</v>
      </c>
      <c r="BL26" s="1037"/>
      <c r="BM26" s="1037">
        <v>1</v>
      </c>
      <c r="BN26" s="1037"/>
      <c r="BO26" s="1037">
        <v>1</v>
      </c>
      <c r="BP26" s="1037">
        <v>1</v>
      </c>
      <c r="BQ26" s="1037">
        <v>1</v>
      </c>
      <c r="BR26" s="1037"/>
      <c r="BS26" s="1037">
        <v>2</v>
      </c>
      <c r="BT26" s="1037">
        <v>1</v>
      </c>
      <c r="BU26" s="1037">
        <v>8</v>
      </c>
      <c r="BV26" s="1043">
        <f>SUM(BJ26:BU31)</f>
        <v>24</v>
      </c>
      <c r="BW26" s="988">
        <v>13</v>
      </c>
      <c r="BX26" s="976">
        <v>1</v>
      </c>
      <c r="BY26" s="976"/>
      <c r="BZ26" s="976"/>
      <c r="CA26" s="976">
        <v>1</v>
      </c>
      <c r="CB26" s="976"/>
      <c r="CC26" s="976">
        <v>8</v>
      </c>
      <c r="CD26" s="976"/>
      <c r="CE26" s="976">
        <v>1</v>
      </c>
      <c r="CF26" s="976"/>
      <c r="CG26" s="976"/>
      <c r="CH26" s="979">
        <v>2</v>
      </c>
      <c r="CI26" s="1018">
        <f>SUM(BW26:CH31)</f>
        <v>26</v>
      </c>
      <c r="CJ26" s="988"/>
      <c r="CK26" s="976">
        <v>7</v>
      </c>
      <c r="CL26" s="976"/>
      <c r="CM26" s="976"/>
      <c r="CN26" s="976"/>
      <c r="CO26" s="976">
        <v>1</v>
      </c>
      <c r="CP26" s="976">
        <v>10</v>
      </c>
      <c r="CQ26" s="976">
        <v>1</v>
      </c>
      <c r="CR26" s="976"/>
      <c r="CS26" s="976"/>
      <c r="CT26" s="976"/>
      <c r="CU26" s="979">
        <v>1</v>
      </c>
      <c r="CV26" s="1018">
        <f>SUM(CJ26:CU31)</f>
        <v>20</v>
      </c>
      <c r="CW26" s="988"/>
      <c r="CX26" s="976">
        <v>7</v>
      </c>
      <c r="CY26" s="976">
        <v>8</v>
      </c>
      <c r="CZ26" s="976"/>
      <c r="DA26" s="976"/>
      <c r="DB26" s="976"/>
      <c r="DC26" s="976"/>
      <c r="DD26" s="976"/>
      <c r="DE26" s="976">
        <v>15</v>
      </c>
      <c r="DF26" s="997"/>
      <c r="DG26" s="976"/>
      <c r="DH26" s="979"/>
      <c r="DI26" s="1018">
        <f>SUM(CW26:DH31)</f>
        <v>30</v>
      </c>
      <c r="DJ26" s="971">
        <f>V26+AI26+AV26+BI26+BV26+CI26+CV26+DI26</f>
        <v>138</v>
      </c>
      <c r="DK26" s="216">
        <f>H29-DJ26</f>
        <v>72</v>
      </c>
    </row>
    <row r="27" spans="1:115" ht="14.25" customHeight="1" x14ac:dyDescent="0.25">
      <c r="A27" s="1048"/>
      <c r="B27" s="1068"/>
      <c r="C27" s="1117"/>
      <c r="D27" s="975"/>
      <c r="E27" s="153" t="s">
        <v>206</v>
      </c>
      <c r="F27" s="150">
        <v>30</v>
      </c>
      <c r="G27" s="1072"/>
      <c r="H27" s="195"/>
      <c r="I27" s="1130"/>
      <c r="J27" s="139"/>
      <c r="K27" s="139"/>
      <c r="L27" s="139"/>
      <c r="M27" s="139"/>
      <c r="N27" s="1043"/>
      <c r="O27" s="139"/>
      <c r="P27" s="139"/>
      <c r="Q27" s="139"/>
      <c r="R27" s="139"/>
      <c r="S27" s="139"/>
      <c r="T27" s="139"/>
      <c r="U27" s="139"/>
      <c r="V27" s="1043"/>
      <c r="W27" s="1043"/>
      <c r="X27" s="1043"/>
      <c r="Y27" s="1043"/>
      <c r="Z27" s="1043"/>
      <c r="AA27" s="1043"/>
      <c r="AB27" s="1043"/>
      <c r="AC27" s="1043"/>
      <c r="AD27" s="1043"/>
      <c r="AE27" s="1043"/>
      <c r="AF27" s="1043"/>
      <c r="AG27" s="1043"/>
      <c r="AH27" s="1043"/>
      <c r="AI27" s="1043"/>
      <c r="AJ27" s="1043"/>
      <c r="AK27" s="1043"/>
      <c r="AL27" s="1043"/>
      <c r="AM27" s="1043"/>
      <c r="AN27" s="1043"/>
      <c r="AO27" s="1043"/>
      <c r="AP27" s="1043"/>
      <c r="AQ27" s="1043"/>
      <c r="AR27" s="1043"/>
      <c r="AS27" s="1043"/>
      <c r="AT27" s="1043"/>
      <c r="AU27" s="1043"/>
      <c r="AV27" s="1043"/>
      <c r="AW27" s="1043"/>
      <c r="AX27" s="1043"/>
      <c r="AY27" s="1043"/>
      <c r="AZ27" s="1043"/>
      <c r="BA27" s="1043"/>
      <c r="BB27" s="1043"/>
      <c r="BC27" s="1043"/>
      <c r="BD27" s="1043"/>
      <c r="BE27" s="1043"/>
      <c r="BF27" s="1043"/>
      <c r="BG27" s="1043"/>
      <c r="BH27" s="1043"/>
      <c r="BI27" s="1043"/>
      <c r="BJ27" s="1038"/>
      <c r="BK27" s="1038"/>
      <c r="BL27" s="1038"/>
      <c r="BM27" s="1038"/>
      <c r="BN27" s="1038"/>
      <c r="BO27" s="1038"/>
      <c r="BP27" s="1038"/>
      <c r="BQ27" s="1038"/>
      <c r="BR27" s="1038"/>
      <c r="BS27" s="1038"/>
      <c r="BT27" s="1038"/>
      <c r="BU27" s="1038"/>
      <c r="BV27" s="1043"/>
      <c r="BW27" s="989"/>
      <c r="BX27" s="977"/>
      <c r="BY27" s="977"/>
      <c r="BZ27" s="977"/>
      <c r="CA27" s="977"/>
      <c r="CB27" s="977"/>
      <c r="CC27" s="977"/>
      <c r="CD27" s="977"/>
      <c r="CE27" s="977"/>
      <c r="CF27" s="977"/>
      <c r="CG27" s="977"/>
      <c r="CH27" s="980"/>
      <c r="CI27" s="1018"/>
      <c r="CJ27" s="989"/>
      <c r="CK27" s="977"/>
      <c r="CL27" s="977"/>
      <c r="CM27" s="977"/>
      <c r="CN27" s="977"/>
      <c r="CO27" s="977"/>
      <c r="CP27" s="977"/>
      <c r="CQ27" s="977"/>
      <c r="CR27" s="977"/>
      <c r="CS27" s="977"/>
      <c r="CT27" s="977"/>
      <c r="CU27" s="980"/>
      <c r="CV27" s="1018"/>
      <c r="CW27" s="989"/>
      <c r="CX27" s="977"/>
      <c r="CY27" s="977"/>
      <c r="CZ27" s="977"/>
      <c r="DA27" s="977"/>
      <c r="DB27" s="977"/>
      <c r="DC27" s="977"/>
      <c r="DD27" s="977"/>
      <c r="DE27" s="977"/>
      <c r="DF27" s="998"/>
      <c r="DG27" s="977"/>
      <c r="DH27" s="980"/>
      <c r="DI27" s="1018"/>
      <c r="DJ27" s="972"/>
      <c r="DK27" s="214"/>
    </row>
    <row r="28" spans="1:115" ht="14.25" customHeight="1" x14ac:dyDescent="0.25">
      <c r="A28" s="1048"/>
      <c r="B28" s="1068"/>
      <c r="C28" s="1117"/>
      <c r="D28" s="975"/>
      <c r="E28" s="153" t="s">
        <v>207</v>
      </c>
      <c r="F28" s="150">
        <v>30</v>
      </c>
      <c r="G28" s="1072"/>
      <c r="H28" s="195"/>
      <c r="I28" s="1130"/>
      <c r="J28" s="139"/>
      <c r="K28" s="139"/>
      <c r="L28" s="139"/>
      <c r="M28" s="139"/>
      <c r="N28" s="1043"/>
      <c r="O28" s="139"/>
      <c r="P28" s="139"/>
      <c r="Q28" s="139"/>
      <c r="R28" s="139"/>
      <c r="S28" s="139"/>
      <c r="T28" s="139"/>
      <c r="U28" s="139"/>
      <c r="V28" s="1043"/>
      <c r="W28" s="1043"/>
      <c r="X28" s="1043"/>
      <c r="Y28" s="1043"/>
      <c r="Z28" s="1043"/>
      <c r="AA28" s="1043"/>
      <c r="AB28" s="1043"/>
      <c r="AC28" s="1043"/>
      <c r="AD28" s="1043"/>
      <c r="AE28" s="1043"/>
      <c r="AF28" s="1043"/>
      <c r="AG28" s="1043"/>
      <c r="AH28" s="1043"/>
      <c r="AI28" s="1043"/>
      <c r="AJ28" s="1043"/>
      <c r="AK28" s="1043"/>
      <c r="AL28" s="1043"/>
      <c r="AM28" s="1043"/>
      <c r="AN28" s="1043"/>
      <c r="AO28" s="1043"/>
      <c r="AP28" s="1043"/>
      <c r="AQ28" s="1043"/>
      <c r="AR28" s="1043"/>
      <c r="AS28" s="1043"/>
      <c r="AT28" s="1043"/>
      <c r="AU28" s="1043"/>
      <c r="AV28" s="1043"/>
      <c r="AW28" s="1043"/>
      <c r="AX28" s="1043"/>
      <c r="AY28" s="1043"/>
      <c r="AZ28" s="1043"/>
      <c r="BA28" s="1043"/>
      <c r="BB28" s="1043"/>
      <c r="BC28" s="1043"/>
      <c r="BD28" s="1043"/>
      <c r="BE28" s="1043"/>
      <c r="BF28" s="1043"/>
      <c r="BG28" s="1043"/>
      <c r="BH28" s="1043"/>
      <c r="BI28" s="1043"/>
      <c r="BJ28" s="1038"/>
      <c r="BK28" s="1038"/>
      <c r="BL28" s="1038"/>
      <c r="BM28" s="1038"/>
      <c r="BN28" s="1038"/>
      <c r="BO28" s="1038"/>
      <c r="BP28" s="1038"/>
      <c r="BQ28" s="1038"/>
      <c r="BR28" s="1038"/>
      <c r="BS28" s="1038"/>
      <c r="BT28" s="1038"/>
      <c r="BU28" s="1038"/>
      <c r="BV28" s="1043"/>
      <c r="BW28" s="989"/>
      <c r="BX28" s="977"/>
      <c r="BY28" s="977"/>
      <c r="BZ28" s="977"/>
      <c r="CA28" s="977"/>
      <c r="CB28" s="977"/>
      <c r="CC28" s="977"/>
      <c r="CD28" s="977"/>
      <c r="CE28" s="977"/>
      <c r="CF28" s="977"/>
      <c r="CG28" s="977"/>
      <c r="CH28" s="980"/>
      <c r="CI28" s="1018"/>
      <c r="CJ28" s="989"/>
      <c r="CK28" s="977"/>
      <c r="CL28" s="977"/>
      <c r="CM28" s="977"/>
      <c r="CN28" s="977"/>
      <c r="CO28" s="977"/>
      <c r="CP28" s="977"/>
      <c r="CQ28" s="977"/>
      <c r="CR28" s="977"/>
      <c r="CS28" s="977"/>
      <c r="CT28" s="977"/>
      <c r="CU28" s="980"/>
      <c r="CV28" s="1018"/>
      <c r="CW28" s="989"/>
      <c r="CX28" s="977"/>
      <c r="CY28" s="977"/>
      <c r="CZ28" s="977"/>
      <c r="DA28" s="977"/>
      <c r="DB28" s="977"/>
      <c r="DC28" s="977"/>
      <c r="DD28" s="977"/>
      <c r="DE28" s="977"/>
      <c r="DF28" s="998"/>
      <c r="DG28" s="977"/>
      <c r="DH28" s="980"/>
      <c r="DI28" s="1018"/>
      <c r="DJ28" s="972"/>
      <c r="DK28" s="214"/>
    </row>
    <row r="29" spans="1:115" ht="14.25" customHeight="1" x14ac:dyDescent="0.25">
      <c r="A29" s="1048"/>
      <c r="B29" s="1068"/>
      <c r="C29" s="1117"/>
      <c r="D29" s="975"/>
      <c r="E29" s="153" t="s">
        <v>208</v>
      </c>
      <c r="F29" s="147">
        <v>30</v>
      </c>
      <c r="G29" s="1072"/>
      <c r="H29" s="228">
        <f>ROUNDDOWN(($H$2-D26)/365,0)*30</f>
        <v>210</v>
      </c>
      <c r="I29" s="1130"/>
      <c r="J29" s="139"/>
      <c r="K29" s="139"/>
      <c r="L29" s="139"/>
      <c r="M29" s="139"/>
      <c r="N29" s="1043"/>
      <c r="O29" s="139"/>
      <c r="P29" s="139"/>
      <c r="Q29" s="139"/>
      <c r="R29" s="139"/>
      <c r="S29" s="139"/>
      <c r="T29" s="139"/>
      <c r="U29" s="139"/>
      <c r="V29" s="1043"/>
      <c r="W29" s="1043"/>
      <c r="X29" s="1043"/>
      <c r="Y29" s="1043"/>
      <c r="Z29" s="1043"/>
      <c r="AA29" s="1043"/>
      <c r="AB29" s="1043"/>
      <c r="AC29" s="1043"/>
      <c r="AD29" s="1043"/>
      <c r="AE29" s="1043"/>
      <c r="AF29" s="1043"/>
      <c r="AG29" s="1043"/>
      <c r="AH29" s="1043"/>
      <c r="AI29" s="1043"/>
      <c r="AJ29" s="1043"/>
      <c r="AK29" s="1043"/>
      <c r="AL29" s="1043"/>
      <c r="AM29" s="1043"/>
      <c r="AN29" s="1043"/>
      <c r="AO29" s="1043"/>
      <c r="AP29" s="1043"/>
      <c r="AQ29" s="1043"/>
      <c r="AR29" s="1043"/>
      <c r="AS29" s="1043"/>
      <c r="AT29" s="1043"/>
      <c r="AU29" s="1043"/>
      <c r="AV29" s="1043"/>
      <c r="AW29" s="1043"/>
      <c r="AX29" s="1043"/>
      <c r="AY29" s="1043"/>
      <c r="AZ29" s="1043"/>
      <c r="BA29" s="1043"/>
      <c r="BB29" s="1043"/>
      <c r="BC29" s="1043"/>
      <c r="BD29" s="1043"/>
      <c r="BE29" s="1043"/>
      <c r="BF29" s="1043"/>
      <c r="BG29" s="1043"/>
      <c r="BH29" s="1043"/>
      <c r="BI29" s="1043"/>
      <c r="BJ29" s="1038"/>
      <c r="BK29" s="1038"/>
      <c r="BL29" s="1038"/>
      <c r="BM29" s="1038"/>
      <c r="BN29" s="1038"/>
      <c r="BO29" s="1038"/>
      <c r="BP29" s="1038"/>
      <c r="BQ29" s="1038"/>
      <c r="BR29" s="1038"/>
      <c r="BS29" s="1038"/>
      <c r="BT29" s="1038"/>
      <c r="BU29" s="1038"/>
      <c r="BV29" s="1043"/>
      <c r="BW29" s="989"/>
      <c r="BX29" s="977"/>
      <c r="BY29" s="977"/>
      <c r="BZ29" s="977"/>
      <c r="CA29" s="977"/>
      <c r="CB29" s="977"/>
      <c r="CC29" s="977"/>
      <c r="CD29" s="977"/>
      <c r="CE29" s="977"/>
      <c r="CF29" s="977"/>
      <c r="CG29" s="977"/>
      <c r="CH29" s="980"/>
      <c r="CI29" s="1018"/>
      <c r="CJ29" s="989"/>
      <c r="CK29" s="977"/>
      <c r="CL29" s="977"/>
      <c r="CM29" s="977"/>
      <c r="CN29" s="977"/>
      <c r="CO29" s="977"/>
      <c r="CP29" s="977"/>
      <c r="CQ29" s="977"/>
      <c r="CR29" s="977"/>
      <c r="CS29" s="977"/>
      <c r="CT29" s="977"/>
      <c r="CU29" s="980"/>
      <c r="CV29" s="1018"/>
      <c r="CW29" s="989"/>
      <c r="CX29" s="977"/>
      <c r="CY29" s="977"/>
      <c r="CZ29" s="977"/>
      <c r="DA29" s="977"/>
      <c r="DB29" s="977"/>
      <c r="DC29" s="977"/>
      <c r="DD29" s="977"/>
      <c r="DE29" s="977"/>
      <c r="DF29" s="998"/>
      <c r="DG29" s="977"/>
      <c r="DH29" s="980"/>
      <c r="DI29" s="1018"/>
      <c r="DJ29" s="972"/>
      <c r="DK29" s="214"/>
    </row>
    <row r="30" spans="1:115" ht="14.25" customHeight="1" x14ac:dyDescent="0.25">
      <c r="A30" s="1048"/>
      <c r="B30" s="1068"/>
      <c r="C30" s="1117"/>
      <c r="D30" s="975"/>
      <c r="E30" s="238" t="s">
        <v>209</v>
      </c>
      <c r="F30" s="147">
        <v>30</v>
      </c>
      <c r="G30" s="1072"/>
      <c r="H30" s="195"/>
      <c r="I30" s="1130"/>
      <c r="J30" s="139"/>
      <c r="K30" s="139"/>
      <c r="L30" s="139"/>
      <c r="M30" s="139"/>
      <c r="N30" s="1043"/>
      <c r="O30" s="139"/>
      <c r="P30" s="139"/>
      <c r="Q30" s="139"/>
      <c r="R30" s="139"/>
      <c r="S30" s="139"/>
      <c r="T30" s="139"/>
      <c r="U30" s="139"/>
      <c r="V30" s="1043"/>
      <c r="W30" s="1043"/>
      <c r="X30" s="1043"/>
      <c r="Y30" s="1043"/>
      <c r="Z30" s="1043"/>
      <c r="AA30" s="1043"/>
      <c r="AB30" s="1043"/>
      <c r="AC30" s="1043"/>
      <c r="AD30" s="1043"/>
      <c r="AE30" s="1043"/>
      <c r="AF30" s="1043"/>
      <c r="AG30" s="1043"/>
      <c r="AH30" s="1043"/>
      <c r="AI30" s="1043"/>
      <c r="AJ30" s="1043"/>
      <c r="AK30" s="1043"/>
      <c r="AL30" s="1043"/>
      <c r="AM30" s="1043"/>
      <c r="AN30" s="1043"/>
      <c r="AO30" s="1043"/>
      <c r="AP30" s="1043"/>
      <c r="AQ30" s="1043"/>
      <c r="AR30" s="1043"/>
      <c r="AS30" s="1043"/>
      <c r="AT30" s="1043"/>
      <c r="AU30" s="1043"/>
      <c r="AV30" s="1043"/>
      <c r="AW30" s="1043"/>
      <c r="AX30" s="1043"/>
      <c r="AY30" s="1043"/>
      <c r="AZ30" s="1043"/>
      <c r="BA30" s="1043"/>
      <c r="BB30" s="1043"/>
      <c r="BC30" s="1043"/>
      <c r="BD30" s="1043"/>
      <c r="BE30" s="1043"/>
      <c r="BF30" s="1043"/>
      <c r="BG30" s="1043"/>
      <c r="BH30" s="1043"/>
      <c r="BI30" s="1043"/>
      <c r="BJ30" s="1038"/>
      <c r="BK30" s="1038"/>
      <c r="BL30" s="1038"/>
      <c r="BM30" s="1038"/>
      <c r="BN30" s="1038"/>
      <c r="BO30" s="1038"/>
      <c r="BP30" s="1038"/>
      <c r="BQ30" s="1038"/>
      <c r="BR30" s="1038"/>
      <c r="BS30" s="1038"/>
      <c r="BT30" s="1038"/>
      <c r="BU30" s="1038"/>
      <c r="BV30" s="1043"/>
      <c r="BW30" s="989"/>
      <c r="BX30" s="977"/>
      <c r="BY30" s="977"/>
      <c r="BZ30" s="977"/>
      <c r="CA30" s="977"/>
      <c r="CB30" s="977"/>
      <c r="CC30" s="977"/>
      <c r="CD30" s="977"/>
      <c r="CE30" s="977"/>
      <c r="CF30" s="977"/>
      <c r="CG30" s="977"/>
      <c r="CH30" s="980"/>
      <c r="CI30" s="1018"/>
      <c r="CJ30" s="989"/>
      <c r="CK30" s="977"/>
      <c r="CL30" s="977"/>
      <c r="CM30" s="977"/>
      <c r="CN30" s="977"/>
      <c r="CO30" s="977"/>
      <c r="CP30" s="977"/>
      <c r="CQ30" s="977"/>
      <c r="CR30" s="977"/>
      <c r="CS30" s="977"/>
      <c r="CT30" s="977"/>
      <c r="CU30" s="980"/>
      <c r="CV30" s="1018"/>
      <c r="CW30" s="989"/>
      <c r="CX30" s="977"/>
      <c r="CY30" s="977"/>
      <c r="CZ30" s="977"/>
      <c r="DA30" s="977"/>
      <c r="DB30" s="977"/>
      <c r="DC30" s="977"/>
      <c r="DD30" s="977"/>
      <c r="DE30" s="977"/>
      <c r="DF30" s="998"/>
      <c r="DG30" s="977"/>
      <c r="DH30" s="980"/>
      <c r="DI30" s="1018"/>
      <c r="DJ30" s="972"/>
      <c r="DK30" s="214"/>
    </row>
    <row r="31" spans="1:115" ht="14.25" customHeight="1" x14ac:dyDescent="0.25">
      <c r="A31" s="1048"/>
      <c r="B31" s="1068"/>
      <c r="C31" s="1117"/>
      <c r="D31" s="975"/>
      <c r="E31" s="241" t="s">
        <v>210</v>
      </c>
      <c r="F31" s="147">
        <v>30</v>
      </c>
      <c r="G31" s="1073"/>
      <c r="H31" s="196"/>
      <c r="I31" s="1131"/>
      <c r="J31" s="139"/>
      <c r="K31" s="139"/>
      <c r="L31" s="139"/>
      <c r="M31" s="139"/>
      <c r="N31" s="1043"/>
      <c r="O31" s="139"/>
      <c r="P31" s="139"/>
      <c r="Q31" s="139"/>
      <c r="R31" s="139"/>
      <c r="S31" s="139"/>
      <c r="T31" s="139"/>
      <c r="U31" s="139"/>
      <c r="V31" s="1043"/>
      <c r="W31" s="1043"/>
      <c r="X31" s="1043"/>
      <c r="Y31" s="1043"/>
      <c r="Z31" s="1043"/>
      <c r="AA31" s="1043"/>
      <c r="AB31" s="1043"/>
      <c r="AC31" s="1043"/>
      <c r="AD31" s="1043"/>
      <c r="AE31" s="1043"/>
      <c r="AF31" s="1043"/>
      <c r="AG31" s="1043"/>
      <c r="AH31" s="1043"/>
      <c r="AI31" s="1043"/>
      <c r="AJ31" s="1043"/>
      <c r="AK31" s="1043"/>
      <c r="AL31" s="1043"/>
      <c r="AM31" s="1043"/>
      <c r="AN31" s="1043"/>
      <c r="AO31" s="1043"/>
      <c r="AP31" s="1043"/>
      <c r="AQ31" s="1043"/>
      <c r="AR31" s="1043"/>
      <c r="AS31" s="1043"/>
      <c r="AT31" s="1043"/>
      <c r="AU31" s="1043"/>
      <c r="AV31" s="1043"/>
      <c r="AW31" s="1043"/>
      <c r="AX31" s="1043"/>
      <c r="AY31" s="1043"/>
      <c r="AZ31" s="1043"/>
      <c r="BA31" s="1043"/>
      <c r="BB31" s="1043"/>
      <c r="BC31" s="1043"/>
      <c r="BD31" s="1043"/>
      <c r="BE31" s="1043"/>
      <c r="BF31" s="1043"/>
      <c r="BG31" s="1043"/>
      <c r="BH31" s="1043"/>
      <c r="BI31" s="1043"/>
      <c r="BJ31" s="1039"/>
      <c r="BK31" s="1039"/>
      <c r="BL31" s="1039"/>
      <c r="BM31" s="1039"/>
      <c r="BN31" s="1039"/>
      <c r="BO31" s="1039"/>
      <c r="BP31" s="1039"/>
      <c r="BQ31" s="1039"/>
      <c r="BR31" s="1039"/>
      <c r="BS31" s="1039"/>
      <c r="BT31" s="1039"/>
      <c r="BU31" s="1039"/>
      <c r="BV31" s="1043"/>
      <c r="BW31" s="990"/>
      <c r="BX31" s="978"/>
      <c r="BY31" s="978"/>
      <c r="BZ31" s="978"/>
      <c r="CA31" s="978"/>
      <c r="CB31" s="978"/>
      <c r="CC31" s="978"/>
      <c r="CD31" s="978"/>
      <c r="CE31" s="978"/>
      <c r="CF31" s="978"/>
      <c r="CG31" s="978"/>
      <c r="CH31" s="981"/>
      <c r="CI31" s="1018"/>
      <c r="CJ31" s="990"/>
      <c r="CK31" s="978"/>
      <c r="CL31" s="978"/>
      <c r="CM31" s="978"/>
      <c r="CN31" s="978"/>
      <c r="CO31" s="978"/>
      <c r="CP31" s="978"/>
      <c r="CQ31" s="978"/>
      <c r="CR31" s="978"/>
      <c r="CS31" s="978"/>
      <c r="CT31" s="978"/>
      <c r="CU31" s="981"/>
      <c r="CV31" s="1018"/>
      <c r="CW31" s="990"/>
      <c r="CX31" s="978"/>
      <c r="CY31" s="978"/>
      <c r="CZ31" s="978"/>
      <c r="DA31" s="978"/>
      <c r="DB31" s="978"/>
      <c r="DC31" s="978"/>
      <c r="DD31" s="978"/>
      <c r="DE31" s="978"/>
      <c r="DF31" s="999"/>
      <c r="DG31" s="978"/>
      <c r="DH31" s="981"/>
      <c r="DI31" s="1018"/>
      <c r="DJ31" s="973"/>
      <c r="DK31" s="215"/>
    </row>
    <row r="32" spans="1:115" ht="14.25" customHeight="1" x14ac:dyDescent="0.25">
      <c r="A32" s="1048">
        <v>6</v>
      </c>
      <c r="B32" s="982" t="s">
        <v>18</v>
      </c>
      <c r="C32" s="1117" t="s">
        <v>211</v>
      </c>
      <c r="D32" s="975" t="s">
        <v>212</v>
      </c>
      <c r="E32" s="242" t="s">
        <v>213</v>
      </c>
      <c r="F32" s="149">
        <v>30</v>
      </c>
      <c r="G32" s="1071">
        <f>F32+F33+F34+F35+F36+F37+F38+F39+F40</f>
        <v>270</v>
      </c>
      <c r="H32" s="194"/>
      <c r="I32" s="1037">
        <v>45</v>
      </c>
      <c r="J32" s="1037"/>
      <c r="K32" s="1037">
        <v>1</v>
      </c>
      <c r="L32" s="1037"/>
      <c r="M32" s="1037">
        <v>1</v>
      </c>
      <c r="N32" s="1037"/>
      <c r="O32" s="1037">
        <v>4</v>
      </c>
      <c r="P32" s="1037">
        <v>1</v>
      </c>
      <c r="Q32" s="1037">
        <v>3</v>
      </c>
      <c r="R32" s="1037"/>
      <c r="S32" s="1037"/>
      <c r="T32" s="1037"/>
      <c r="U32" s="1037">
        <v>1</v>
      </c>
      <c r="V32" s="1037">
        <f>SUM(J32:U41)</f>
        <v>11</v>
      </c>
      <c r="W32" s="1037">
        <v>1</v>
      </c>
      <c r="X32" s="1037">
        <v>1</v>
      </c>
      <c r="Y32" s="1037"/>
      <c r="Z32" s="1037">
        <v>1</v>
      </c>
      <c r="AA32" s="1037">
        <v>4</v>
      </c>
      <c r="AB32" s="1037"/>
      <c r="AC32" s="1037"/>
      <c r="AD32" s="1037"/>
      <c r="AE32" s="1037">
        <v>1</v>
      </c>
      <c r="AF32" s="1037">
        <v>1</v>
      </c>
      <c r="AG32" s="1037"/>
      <c r="AH32" s="1037">
        <v>3</v>
      </c>
      <c r="AI32" s="1037">
        <f>SUM(W32:AH41)</f>
        <v>12</v>
      </c>
      <c r="AJ32" s="1037"/>
      <c r="AK32" s="1037">
        <v>4</v>
      </c>
      <c r="AL32" s="1037"/>
      <c r="AM32" s="1037">
        <v>1</v>
      </c>
      <c r="AN32" s="1037"/>
      <c r="AO32" s="1037">
        <v>4</v>
      </c>
      <c r="AP32" s="1037">
        <v>2</v>
      </c>
      <c r="AQ32" s="1037"/>
      <c r="AR32" s="1037">
        <v>1</v>
      </c>
      <c r="AS32" s="1037">
        <v>4</v>
      </c>
      <c r="AT32" s="1037">
        <v>1</v>
      </c>
      <c r="AU32" s="1037">
        <v>3</v>
      </c>
      <c r="AV32" s="1037">
        <f>SUM(AJ32:AU41)</f>
        <v>20</v>
      </c>
      <c r="AW32" s="1037"/>
      <c r="AX32" s="1037">
        <v>14</v>
      </c>
      <c r="AY32" s="1037">
        <v>2</v>
      </c>
      <c r="AZ32" s="1037"/>
      <c r="BA32" s="1037"/>
      <c r="BB32" s="1037"/>
      <c r="BC32" s="1037"/>
      <c r="BD32" s="1037"/>
      <c r="BE32" s="1037"/>
      <c r="BF32" s="1037">
        <v>1</v>
      </c>
      <c r="BG32" s="1037">
        <v>3</v>
      </c>
      <c r="BH32" s="1037">
        <v>3</v>
      </c>
      <c r="BI32" s="1037">
        <f>SUM(AW32:BH41)</f>
        <v>23</v>
      </c>
      <c r="BJ32" s="1037"/>
      <c r="BK32" s="1037"/>
      <c r="BL32" s="1037"/>
      <c r="BM32" s="1037"/>
      <c r="BN32" s="1037"/>
      <c r="BO32" s="1037"/>
      <c r="BP32" s="1037"/>
      <c r="BQ32" s="1037"/>
      <c r="BR32" s="1037"/>
      <c r="BS32" s="1037"/>
      <c r="BT32" s="1037"/>
      <c r="BU32" s="1037"/>
      <c r="BV32" s="1037">
        <f>SUM(BJ32:BU41)</f>
        <v>0</v>
      </c>
      <c r="BW32" s="988"/>
      <c r="BX32" s="976">
        <v>10</v>
      </c>
      <c r="BY32" s="175"/>
      <c r="BZ32" s="175"/>
      <c r="CA32" s="175"/>
      <c r="CB32" s="175"/>
      <c r="CC32" s="976">
        <v>1</v>
      </c>
      <c r="CD32" s="976">
        <v>1</v>
      </c>
      <c r="CE32" s="976"/>
      <c r="CF32" s="175"/>
      <c r="CG32" s="175"/>
      <c r="CH32" s="184"/>
      <c r="CI32" s="1065">
        <f>SUM(BW32:CH41)</f>
        <v>12</v>
      </c>
      <c r="CJ32" s="988"/>
      <c r="CK32" s="976">
        <v>11</v>
      </c>
      <c r="CL32" s="976"/>
      <c r="CM32" s="976"/>
      <c r="CN32" s="976"/>
      <c r="CO32" s="976"/>
      <c r="CP32" s="976"/>
      <c r="CQ32" s="976"/>
      <c r="CR32" s="976"/>
      <c r="CS32" s="976"/>
      <c r="CT32" s="976"/>
      <c r="CU32" s="1011">
        <v>14</v>
      </c>
      <c r="CV32" s="1127">
        <f>SUM(CJ32:CU41)</f>
        <v>25</v>
      </c>
      <c r="CW32" s="988"/>
      <c r="CX32" s="976">
        <v>12</v>
      </c>
      <c r="CY32" s="976"/>
      <c r="CZ32" s="976"/>
      <c r="DA32" s="976"/>
      <c r="DB32" s="976"/>
      <c r="DC32" s="976"/>
      <c r="DD32" s="976"/>
      <c r="DE32" s="976">
        <v>15</v>
      </c>
      <c r="DF32" s="976">
        <v>15</v>
      </c>
      <c r="DG32" s="976"/>
      <c r="DH32" s="1011"/>
      <c r="DI32" s="1127">
        <f>SUM(CW32:DH41)</f>
        <v>42</v>
      </c>
      <c r="DJ32" s="1122">
        <f>I32+V32+AI32+AV32+BI32+BV32+CI32+CV32+DI32</f>
        <v>190</v>
      </c>
      <c r="DK32" s="230">
        <f>H37-DJ32</f>
        <v>80</v>
      </c>
    </row>
    <row r="33" spans="1:115" ht="14.25" customHeight="1" x14ac:dyDescent="0.25">
      <c r="A33" s="1048"/>
      <c r="B33" s="982"/>
      <c r="C33" s="1117"/>
      <c r="D33" s="975"/>
      <c r="E33" s="242" t="s">
        <v>214</v>
      </c>
      <c r="F33" s="150">
        <v>30</v>
      </c>
      <c r="G33" s="1072"/>
      <c r="H33" s="195"/>
      <c r="I33" s="1038"/>
      <c r="J33" s="1037"/>
      <c r="K33" s="1037"/>
      <c r="L33" s="1037"/>
      <c r="M33" s="1037"/>
      <c r="N33" s="1037"/>
      <c r="O33" s="1037"/>
      <c r="P33" s="1037"/>
      <c r="Q33" s="1037"/>
      <c r="R33" s="1037"/>
      <c r="S33" s="1037"/>
      <c r="T33" s="1037"/>
      <c r="U33" s="1037"/>
      <c r="V33" s="1037"/>
      <c r="W33" s="1037"/>
      <c r="X33" s="1037"/>
      <c r="Y33" s="1037"/>
      <c r="Z33" s="1037"/>
      <c r="AA33" s="1037"/>
      <c r="AB33" s="1037"/>
      <c r="AC33" s="1037"/>
      <c r="AD33" s="1037"/>
      <c r="AE33" s="1037"/>
      <c r="AF33" s="1037"/>
      <c r="AG33" s="1037"/>
      <c r="AH33" s="1037"/>
      <c r="AI33" s="1037"/>
      <c r="AJ33" s="1037"/>
      <c r="AK33" s="1037"/>
      <c r="AL33" s="1037"/>
      <c r="AM33" s="1037"/>
      <c r="AN33" s="1037"/>
      <c r="AO33" s="1037"/>
      <c r="AP33" s="1037"/>
      <c r="AQ33" s="1037"/>
      <c r="AR33" s="1037"/>
      <c r="AS33" s="1037"/>
      <c r="AT33" s="1037"/>
      <c r="AU33" s="1037"/>
      <c r="AV33" s="1037"/>
      <c r="AW33" s="1037"/>
      <c r="AX33" s="1037"/>
      <c r="AY33" s="1037"/>
      <c r="AZ33" s="1037"/>
      <c r="BA33" s="1037"/>
      <c r="BB33" s="1037"/>
      <c r="BC33" s="1037"/>
      <c r="BD33" s="1037"/>
      <c r="BE33" s="1037"/>
      <c r="BF33" s="1037"/>
      <c r="BG33" s="1037"/>
      <c r="BH33" s="1037"/>
      <c r="BI33" s="1037"/>
      <c r="BJ33" s="1038"/>
      <c r="BK33" s="1038"/>
      <c r="BL33" s="1038"/>
      <c r="BM33" s="1038"/>
      <c r="BN33" s="1038"/>
      <c r="BO33" s="1038"/>
      <c r="BP33" s="1038"/>
      <c r="BQ33" s="1038"/>
      <c r="BR33" s="1038"/>
      <c r="BS33" s="1038"/>
      <c r="BT33" s="1038"/>
      <c r="BU33" s="1038"/>
      <c r="BV33" s="1037"/>
      <c r="BW33" s="989"/>
      <c r="BX33" s="977"/>
      <c r="BY33" s="176"/>
      <c r="BZ33" s="176"/>
      <c r="CA33" s="176"/>
      <c r="CB33" s="176"/>
      <c r="CC33" s="977"/>
      <c r="CD33" s="977"/>
      <c r="CE33" s="977"/>
      <c r="CF33" s="176"/>
      <c r="CG33" s="176"/>
      <c r="CH33" s="185"/>
      <c r="CI33" s="1065"/>
      <c r="CJ33" s="989"/>
      <c r="CK33" s="977"/>
      <c r="CL33" s="977"/>
      <c r="CM33" s="977"/>
      <c r="CN33" s="977"/>
      <c r="CO33" s="977"/>
      <c r="CP33" s="977"/>
      <c r="CQ33" s="977"/>
      <c r="CR33" s="977"/>
      <c r="CS33" s="977"/>
      <c r="CT33" s="977"/>
      <c r="CU33" s="1012"/>
      <c r="CV33" s="1127"/>
      <c r="CW33" s="989"/>
      <c r="CX33" s="977"/>
      <c r="CY33" s="977"/>
      <c r="CZ33" s="977"/>
      <c r="DA33" s="977"/>
      <c r="DB33" s="977"/>
      <c r="DC33" s="977"/>
      <c r="DD33" s="977"/>
      <c r="DE33" s="977"/>
      <c r="DF33" s="977"/>
      <c r="DG33" s="977"/>
      <c r="DH33" s="1012"/>
      <c r="DI33" s="1127"/>
      <c r="DJ33" s="1081"/>
      <c r="DK33" s="214"/>
    </row>
    <row r="34" spans="1:115" ht="14.25" customHeight="1" x14ac:dyDescent="0.25">
      <c r="A34" s="1048"/>
      <c r="B34" s="982"/>
      <c r="C34" s="1117"/>
      <c r="D34" s="975"/>
      <c r="E34" s="242" t="s">
        <v>215</v>
      </c>
      <c r="F34" s="150">
        <v>30</v>
      </c>
      <c r="G34" s="1072"/>
      <c r="H34" s="195"/>
      <c r="I34" s="1038"/>
      <c r="J34" s="1037"/>
      <c r="K34" s="1037"/>
      <c r="L34" s="1037"/>
      <c r="M34" s="1037"/>
      <c r="N34" s="1037"/>
      <c r="O34" s="1037"/>
      <c r="P34" s="1037"/>
      <c r="Q34" s="1037"/>
      <c r="R34" s="1037"/>
      <c r="S34" s="1037"/>
      <c r="T34" s="1037"/>
      <c r="U34" s="1037"/>
      <c r="V34" s="1037"/>
      <c r="W34" s="1037"/>
      <c r="X34" s="1037"/>
      <c r="Y34" s="1037"/>
      <c r="Z34" s="1037"/>
      <c r="AA34" s="1037"/>
      <c r="AB34" s="1037"/>
      <c r="AC34" s="1037"/>
      <c r="AD34" s="1037"/>
      <c r="AE34" s="1037"/>
      <c r="AF34" s="1037"/>
      <c r="AG34" s="1037"/>
      <c r="AH34" s="1037"/>
      <c r="AI34" s="1037"/>
      <c r="AJ34" s="1037"/>
      <c r="AK34" s="1037"/>
      <c r="AL34" s="1037"/>
      <c r="AM34" s="1037"/>
      <c r="AN34" s="1037"/>
      <c r="AO34" s="1037"/>
      <c r="AP34" s="1037"/>
      <c r="AQ34" s="1037"/>
      <c r="AR34" s="1037"/>
      <c r="AS34" s="1037"/>
      <c r="AT34" s="1037"/>
      <c r="AU34" s="1037"/>
      <c r="AV34" s="1037"/>
      <c r="AW34" s="1037"/>
      <c r="AX34" s="1037"/>
      <c r="AY34" s="1037"/>
      <c r="AZ34" s="1037"/>
      <c r="BA34" s="1037"/>
      <c r="BB34" s="1037"/>
      <c r="BC34" s="1037"/>
      <c r="BD34" s="1037"/>
      <c r="BE34" s="1037"/>
      <c r="BF34" s="1037"/>
      <c r="BG34" s="1037"/>
      <c r="BH34" s="1037"/>
      <c r="BI34" s="1037"/>
      <c r="BJ34" s="1038"/>
      <c r="BK34" s="1038"/>
      <c r="BL34" s="1038"/>
      <c r="BM34" s="1038"/>
      <c r="BN34" s="1038"/>
      <c r="BO34" s="1038"/>
      <c r="BP34" s="1038"/>
      <c r="BQ34" s="1038"/>
      <c r="BR34" s="1038"/>
      <c r="BS34" s="1038"/>
      <c r="BT34" s="1038"/>
      <c r="BU34" s="1038"/>
      <c r="BV34" s="1037"/>
      <c r="BW34" s="989"/>
      <c r="BX34" s="977"/>
      <c r="BY34" s="176"/>
      <c r="BZ34" s="176"/>
      <c r="CA34" s="176"/>
      <c r="CB34" s="176"/>
      <c r="CC34" s="977"/>
      <c r="CD34" s="977"/>
      <c r="CE34" s="977"/>
      <c r="CF34" s="176"/>
      <c r="CG34" s="176"/>
      <c r="CH34" s="185"/>
      <c r="CI34" s="1065"/>
      <c r="CJ34" s="989"/>
      <c r="CK34" s="977"/>
      <c r="CL34" s="977"/>
      <c r="CM34" s="977"/>
      <c r="CN34" s="977"/>
      <c r="CO34" s="977"/>
      <c r="CP34" s="977"/>
      <c r="CQ34" s="977"/>
      <c r="CR34" s="977"/>
      <c r="CS34" s="977"/>
      <c r="CT34" s="977"/>
      <c r="CU34" s="1012"/>
      <c r="CV34" s="1127"/>
      <c r="CW34" s="989"/>
      <c r="CX34" s="977"/>
      <c r="CY34" s="977"/>
      <c r="CZ34" s="977"/>
      <c r="DA34" s="977"/>
      <c r="DB34" s="977"/>
      <c r="DC34" s="977"/>
      <c r="DD34" s="977"/>
      <c r="DE34" s="977"/>
      <c r="DF34" s="977"/>
      <c r="DG34" s="977"/>
      <c r="DH34" s="1012"/>
      <c r="DI34" s="1127"/>
      <c r="DJ34" s="1081"/>
      <c r="DK34" s="214"/>
    </row>
    <row r="35" spans="1:115" ht="14.25" customHeight="1" x14ac:dyDescent="0.25">
      <c r="A35" s="1048"/>
      <c r="B35" s="982"/>
      <c r="C35" s="1117"/>
      <c r="D35" s="975"/>
      <c r="E35" s="242" t="s">
        <v>216</v>
      </c>
      <c r="F35" s="150">
        <v>30</v>
      </c>
      <c r="G35" s="1072"/>
      <c r="H35" s="195"/>
      <c r="I35" s="1038"/>
      <c r="J35" s="1037"/>
      <c r="K35" s="1037"/>
      <c r="L35" s="1037"/>
      <c r="M35" s="1037"/>
      <c r="N35" s="1037"/>
      <c r="O35" s="1037"/>
      <c r="P35" s="1037"/>
      <c r="Q35" s="1037"/>
      <c r="R35" s="1037"/>
      <c r="S35" s="1037"/>
      <c r="T35" s="1037"/>
      <c r="U35" s="1037"/>
      <c r="V35" s="1037"/>
      <c r="W35" s="1037"/>
      <c r="X35" s="1037"/>
      <c r="Y35" s="1037"/>
      <c r="Z35" s="1037"/>
      <c r="AA35" s="1037"/>
      <c r="AB35" s="1037"/>
      <c r="AC35" s="1037"/>
      <c r="AD35" s="1037"/>
      <c r="AE35" s="1037"/>
      <c r="AF35" s="1037"/>
      <c r="AG35" s="1037"/>
      <c r="AH35" s="1037"/>
      <c r="AI35" s="1037"/>
      <c r="AJ35" s="1037"/>
      <c r="AK35" s="1037"/>
      <c r="AL35" s="1037"/>
      <c r="AM35" s="1037"/>
      <c r="AN35" s="1037"/>
      <c r="AO35" s="1037"/>
      <c r="AP35" s="1037"/>
      <c r="AQ35" s="1037"/>
      <c r="AR35" s="1037"/>
      <c r="AS35" s="1037"/>
      <c r="AT35" s="1037"/>
      <c r="AU35" s="1037"/>
      <c r="AV35" s="1037"/>
      <c r="AW35" s="1037"/>
      <c r="AX35" s="1037"/>
      <c r="AY35" s="1037"/>
      <c r="AZ35" s="1037"/>
      <c r="BA35" s="1037"/>
      <c r="BB35" s="1037"/>
      <c r="BC35" s="1037"/>
      <c r="BD35" s="1037"/>
      <c r="BE35" s="1037"/>
      <c r="BF35" s="1037"/>
      <c r="BG35" s="1037"/>
      <c r="BH35" s="1037"/>
      <c r="BI35" s="1037"/>
      <c r="BJ35" s="1038"/>
      <c r="BK35" s="1038"/>
      <c r="BL35" s="1038"/>
      <c r="BM35" s="1038"/>
      <c r="BN35" s="1038"/>
      <c r="BO35" s="1038"/>
      <c r="BP35" s="1038"/>
      <c r="BQ35" s="1038"/>
      <c r="BR35" s="1038"/>
      <c r="BS35" s="1038"/>
      <c r="BT35" s="1038"/>
      <c r="BU35" s="1038"/>
      <c r="BV35" s="1037"/>
      <c r="BW35" s="989"/>
      <c r="BX35" s="977"/>
      <c r="BY35" s="176"/>
      <c r="BZ35" s="176"/>
      <c r="CA35" s="176"/>
      <c r="CB35" s="176"/>
      <c r="CC35" s="977"/>
      <c r="CD35" s="977"/>
      <c r="CE35" s="977"/>
      <c r="CF35" s="176"/>
      <c r="CG35" s="176"/>
      <c r="CH35" s="185"/>
      <c r="CI35" s="1065"/>
      <c r="CJ35" s="989"/>
      <c r="CK35" s="977"/>
      <c r="CL35" s="977"/>
      <c r="CM35" s="977"/>
      <c r="CN35" s="977"/>
      <c r="CO35" s="977"/>
      <c r="CP35" s="977"/>
      <c r="CQ35" s="977"/>
      <c r="CR35" s="977"/>
      <c r="CS35" s="977"/>
      <c r="CT35" s="977"/>
      <c r="CU35" s="1012"/>
      <c r="CV35" s="1127"/>
      <c r="CW35" s="989"/>
      <c r="CX35" s="977"/>
      <c r="CY35" s="977"/>
      <c r="CZ35" s="977"/>
      <c r="DA35" s="977"/>
      <c r="DB35" s="977"/>
      <c r="DC35" s="977"/>
      <c r="DD35" s="977"/>
      <c r="DE35" s="977"/>
      <c r="DF35" s="977"/>
      <c r="DG35" s="977"/>
      <c r="DH35" s="1012"/>
      <c r="DI35" s="1127"/>
      <c r="DJ35" s="1081"/>
      <c r="DK35" s="214"/>
    </row>
    <row r="36" spans="1:115" ht="14.25" customHeight="1" x14ac:dyDescent="0.25">
      <c r="A36" s="1048"/>
      <c r="B36" s="982"/>
      <c r="C36" s="1117"/>
      <c r="D36" s="975"/>
      <c r="E36" s="242" t="s">
        <v>217</v>
      </c>
      <c r="F36" s="150">
        <v>30</v>
      </c>
      <c r="G36" s="1072"/>
      <c r="H36" s="195"/>
      <c r="I36" s="1038"/>
      <c r="J36" s="1037"/>
      <c r="K36" s="1037"/>
      <c r="L36" s="1037"/>
      <c r="M36" s="1037"/>
      <c r="N36" s="1037"/>
      <c r="O36" s="1037"/>
      <c r="P36" s="1037"/>
      <c r="Q36" s="1037"/>
      <c r="R36" s="1037"/>
      <c r="S36" s="1037"/>
      <c r="T36" s="1037"/>
      <c r="U36" s="1037"/>
      <c r="V36" s="1037"/>
      <c r="W36" s="1037"/>
      <c r="X36" s="1037"/>
      <c r="Y36" s="1037"/>
      <c r="Z36" s="1037"/>
      <c r="AA36" s="1037"/>
      <c r="AB36" s="1037"/>
      <c r="AC36" s="1037"/>
      <c r="AD36" s="1037"/>
      <c r="AE36" s="1037"/>
      <c r="AF36" s="1037"/>
      <c r="AG36" s="1037"/>
      <c r="AH36" s="1037"/>
      <c r="AI36" s="1037"/>
      <c r="AJ36" s="1037"/>
      <c r="AK36" s="1037"/>
      <c r="AL36" s="1037"/>
      <c r="AM36" s="1037"/>
      <c r="AN36" s="1037"/>
      <c r="AO36" s="1037"/>
      <c r="AP36" s="1037"/>
      <c r="AQ36" s="1037"/>
      <c r="AR36" s="1037"/>
      <c r="AS36" s="1037"/>
      <c r="AT36" s="1037"/>
      <c r="AU36" s="1037"/>
      <c r="AV36" s="1037"/>
      <c r="AW36" s="1037"/>
      <c r="AX36" s="1037"/>
      <c r="AY36" s="1037"/>
      <c r="AZ36" s="1037"/>
      <c r="BA36" s="1037"/>
      <c r="BB36" s="1037"/>
      <c r="BC36" s="1037"/>
      <c r="BD36" s="1037"/>
      <c r="BE36" s="1037"/>
      <c r="BF36" s="1037"/>
      <c r="BG36" s="1037"/>
      <c r="BH36" s="1037"/>
      <c r="BI36" s="1037"/>
      <c r="BJ36" s="1038"/>
      <c r="BK36" s="1038"/>
      <c r="BL36" s="1038"/>
      <c r="BM36" s="1038"/>
      <c r="BN36" s="1038"/>
      <c r="BO36" s="1038"/>
      <c r="BP36" s="1038"/>
      <c r="BQ36" s="1038"/>
      <c r="BR36" s="1038"/>
      <c r="BS36" s="1038"/>
      <c r="BT36" s="1038"/>
      <c r="BU36" s="1038"/>
      <c r="BV36" s="1037"/>
      <c r="BW36" s="989"/>
      <c r="BX36" s="977"/>
      <c r="BY36" s="176"/>
      <c r="BZ36" s="176"/>
      <c r="CA36" s="176"/>
      <c r="CB36" s="176"/>
      <c r="CC36" s="977"/>
      <c r="CD36" s="977"/>
      <c r="CE36" s="977"/>
      <c r="CF36" s="176"/>
      <c r="CG36" s="176"/>
      <c r="CH36" s="185"/>
      <c r="CI36" s="1065"/>
      <c r="CJ36" s="989"/>
      <c r="CK36" s="977"/>
      <c r="CL36" s="977"/>
      <c r="CM36" s="977"/>
      <c r="CN36" s="977"/>
      <c r="CO36" s="977"/>
      <c r="CP36" s="977"/>
      <c r="CQ36" s="977"/>
      <c r="CR36" s="977"/>
      <c r="CS36" s="977"/>
      <c r="CT36" s="977"/>
      <c r="CU36" s="1012"/>
      <c r="CV36" s="1127"/>
      <c r="CW36" s="989"/>
      <c r="CX36" s="977"/>
      <c r="CY36" s="977"/>
      <c r="CZ36" s="977"/>
      <c r="DA36" s="977"/>
      <c r="DB36" s="977"/>
      <c r="DC36" s="977"/>
      <c r="DD36" s="977"/>
      <c r="DE36" s="977"/>
      <c r="DF36" s="977"/>
      <c r="DG36" s="977"/>
      <c r="DH36" s="1012"/>
      <c r="DI36" s="1127"/>
      <c r="DJ36" s="1081"/>
      <c r="DK36" s="214"/>
    </row>
    <row r="37" spans="1:115" ht="14.25" customHeight="1" x14ac:dyDescent="0.25">
      <c r="A37" s="1048"/>
      <c r="B37" s="982"/>
      <c r="C37" s="1117"/>
      <c r="D37" s="975"/>
      <c r="E37" s="152" t="s">
        <v>218</v>
      </c>
      <c r="F37" s="150">
        <v>30</v>
      </c>
      <c r="G37" s="1072"/>
      <c r="H37" s="228">
        <f>ROUNDDOWN(($H$2-D32)/365,0)*30</f>
        <v>270</v>
      </c>
      <c r="I37" s="1038"/>
      <c r="J37" s="1037"/>
      <c r="K37" s="1037"/>
      <c r="L37" s="1037"/>
      <c r="M37" s="1037"/>
      <c r="N37" s="1037"/>
      <c r="O37" s="1037"/>
      <c r="P37" s="1037"/>
      <c r="Q37" s="1037"/>
      <c r="R37" s="1037"/>
      <c r="S37" s="1037"/>
      <c r="T37" s="1037"/>
      <c r="U37" s="1037"/>
      <c r="V37" s="1037"/>
      <c r="W37" s="1037"/>
      <c r="X37" s="1037"/>
      <c r="Y37" s="1037"/>
      <c r="Z37" s="1037"/>
      <c r="AA37" s="1037"/>
      <c r="AB37" s="1037"/>
      <c r="AC37" s="1037"/>
      <c r="AD37" s="1037"/>
      <c r="AE37" s="1037"/>
      <c r="AF37" s="1037"/>
      <c r="AG37" s="1037"/>
      <c r="AH37" s="1037"/>
      <c r="AI37" s="1037"/>
      <c r="AJ37" s="1037"/>
      <c r="AK37" s="1037"/>
      <c r="AL37" s="1037"/>
      <c r="AM37" s="1037"/>
      <c r="AN37" s="1037"/>
      <c r="AO37" s="1037"/>
      <c r="AP37" s="1037"/>
      <c r="AQ37" s="1037"/>
      <c r="AR37" s="1037"/>
      <c r="AS37" s="1037"/>
      <c r="AT37" s="1037"/>
      <c r="AU37" s="1037"/>
      <c r="AV37" s="1037"/>
      <c r="AW37" s="1037"/>
      <c r="AX37" s="1037"/>
      <c r="AY37" s="1037"/>
      <c r="AZ37" s="1037"/>
      <c r="BA37" s="1037"/>
      <c r="BB37" s="1037"/>
      <c r="BC37" s="1037"/>
      <c r="BD37" s="1037"/>
      <c r="BE37" s="1037"/>
      <c r="BF37" s="1037"/>
      <c r="BG37" s="1037"/>
      <c r="BH37" s="1037"/>
      <c r="BI37" s="1037"/>
      <c r="BJ37" s="1038"/>
      <c r="BK37" s="1038"/>
      <c r="BL37" s="1038"/>
      <c r="BM37" s="1038"/>
      <c r="BN37" s="1038"/>
      <c r="BO37" s="1038"/>
      <c r="BP37" s="1038"/>
      <c r="BQ37" s="1038"/>
      <c r="BR37" s="1038"/>
      <c r="BS37" s="1038"/>
      <c r="BT37" s="1038"/>
      <c r="BU37" s="1038"/>
      <c r="BV37" s="1037"/>
      <c r="BW37" s="989"/>
      <c r="BX37" s="977"/>
      <c r="BY37" s="176"/>
      <c r="BZ37" s="176"/>
      <c r="CA37" s="176"/>
      <c r="CB37" s="176"/>
      <c r="CC37" s="977"/>
      <c r="CD37" s="977"/>
      <c r="CE37" s="977"/>
      <c r="CF37" s="176"/>
      <c r="CG37" s="176"/>
      <c r="CH37" s="185"/>
      <c r="CI37" s="1065"/>
      <c r="CJ37" s="989"/>
      <c r="CK37" s="977"/>
      <c r="CL37" s="977"/>
      <c r="CM37" s="977"/>
      <c r="CN37" s="977"/>
      <c r="CO37" s="977"/>
      <c r="CP37" s="977"/>
      <c r="CQ37" s="977"/>
      <c r="CR37" s="977"/>
      <c r="CS37" s="977"/>
      <c r="CT37" s="977"/>
      <c r="CU37" s="1012"/>
      <c r="CV37" s="1127"/>
      <c r="CW37" s="989"/>
      <c r="CX37" s="977"/>
      <c r="CY37" s="977"/>
      <c r="CZ37" s="977"/>
      <c r="DA37" s="977"/>
      <c r="DB37" s="977"/>
      <c r="DC37" s="977"/>
      <c r="DD37" s="977"/>
      <c r="DE37" s="977"/>
      <c r="DF37" s="977"/>
      <c r="DG37" s="977"/>
      <c r="DH37" s="1012"/>
      <c r="DI37" s="1127"/>
      <c r="DJ37" s="1081"/>
      <c r="DK37" s="214"/>
    </row>
    <row r="38" spans="1:115" ht="14.25" customHeight="1" x14ac:dyDescent="0.25">
      <c r="A38" s="1048"/>
      <c r="B38" s="982"/>
      <c r="C38" s="1117"/>
      <c r="D38" s="975"/>
      <c r="E38" s="154" t="s">
        <v>219</v>
      </c>
      <c r="F38" s="147">
        <v>30</v>
      </c>
      <c r="G38" s="1072"/>
      <c r="H38" s="195"/>
      <c r="I38" s="1038"/>
      <c r="J38" s="1037"/>
      <c r="K38" s="1037"/>
      <c r="L38" s="1037"/>
      <c r="M38" s="1037"/>
      <c r="N38" s="1037"/>
      <c r="O38" s="1037"/>
      <c r="P38" s="1037"/>
      <c r="Q38" s="1037"/>
      <c r="R38" s="1037"/>
      <c r="S38" s="1037"/>
      <c r="T38" s="1037"/>
      <c r="U38" s="1037"/>
      <c r="V38" s="1037"/>
      <c r="W38" s="1037"/>
      <c r="X38" s="1037"/>
      <c r="Y38" s="1037"/>
      <c r="Z38" s="1037"/>
      <c r="AA38" s="1037"/>
      <c r="AB38" s="1037"/>
      <c r="AC38" s="1037"/>
      <c r="AD38" s="1037"/>
      <c r="AE38" s="1037"/>
      <c r="AF38" s="1037"/>
      <c r="AG38" s="1037"/>
      <c r="AH38" s="1037"/>
      <c r="AI38" s="1037"/>
      <c r="AJ38" s="1037"/>
      <c r="AK38" s="1037"/>
      <c r="AL38" s="1037"/>
      <c r="AM38" s="1037"/>
      <c r="AN38" s="1037"/>
      <c r="AO38" s="1037"/>
      <c r="AP38" s="1037"/>
      <c r="AQ38" s="1037"/>
      <c r="AR38" s="1037"/>
      <c r="AS38" s="1037"/>
      <c r="AT38" s="1037"/>
      <c r="AU38" s="1037"/>
      <c r="AV38" s="1037"/>
      <c r="AW38" s="1037"/>
      <c r="AX38" s="1037"/>
      <c r="AY38" s="1037"/>
      <c r="AZ38" s="1037"/>
      <c r="BA38" s="1037"/>
      <c r="BB38" s="1037"/>
      <c r="BC38" s="1037"/>
      <c r="BD38" s="1037"/>
      <c r="BE38" s="1037"/>
      <c r="BF38" s="1037"/>
      <c r="BG38" s="1037"/>
      <c r="BH38" s="1037"/>
      <c r="BI38" s="1037"/>
      <c r="BJ38" s="1038"/>
      <c r="BK38" s="1038"/>
      <c r="BL38" s="1038"/>
      <c r="BM38" s="1038"/>
      <c r="BN38" s="1038"/>
      <c r="BO38" s="1038"/>
      <c r="BP38" s="1038"/>
      <c r="BQ38" s="1038"/>
      <c r="BR38" s="1038"/>
      <c r="BS38" s="1038"/>
      <c r="BT38" s="1038"/>
      <c r="BU38" s="1038"/>
      <c r="BV38" s="1037"/>
      <c r="BW38" s="989"/>
      <c r="BX38" s="977"/>
      <c r="BY38" s="176"/>
      <c r="BZ38" s="176"/>
      <c r="CA38" s="176"/>
      <c r="CB38" s="176"/>
      <c r="CC38" s="977"/>
      <c r="CD38" s="977"/>
      <c r="CE38" s="977"/>
      <c r="CF38" s="176"/>
      <c r="CG38" s="176"/>
      <c r="CH38" s="185"/>
      <c r="CI38" s="1065"/>
      <c r="CJ38" s="989"/>
      <c r="CK38" s="977"/>
      <c r="CL38" s="977"/>
      <c r="CM38" s="977"/>
      <c r="CN38" s="977"/>
      <c r="CO38" s="977"/>
      <c r="CP38" s="977"/>
      <c r="CQ38" s="977"/>
      <c r="CR38" s="977"/>
      <c r="CS38" s="977"/>
      <c r="CT38" s="977"/>
      <c r="CU38" s="1012"/>
      <c r="CV38" s="1127"/>
      <c r="CW38" s="989"/>
      <c r="CX38" s="977"/>
      <c r="CY38" s="977"/>
      <c r="CZ38" s="977"/>
      <c r="DA38" s="977"/>
      <c r="DB38" s="977"/>
      <c r="DC38" s="977"/>
      <c r="DD38" s="977"/>
      <c r="DE38" s="977"/>
      <c r="DF38" s="977"/>
      <c r="DG38" s="977"/>
      <c r="DH38" s="1012"/>
      <c r="DI38" s="1127"/>
      <c r="DJ38" s="1081"/>
      <c r="DK38" s="214"/>
    </row>
    <row r="39" spans="1:115" ht="14.25" customHeight="1" x14ac:dyDescent="0.25">
      <c r="A39" s="1048"/>
      <c r="B39" s="982"/>
      <c r="C39" s="1117"/>
      <c r="D39" s="975"/>
      <c r="E39" s="154" t="s">
        <v>220</v>
      </c>
      <c r="F39" s="147">
        <v>30</v>
      </c>
      <c r="G39" s="1072"/>
      <c r="H39" s="195"/>
      <c r="I39" s="1038"/>
      <c r="J39" s="1037"/>
      <c r="K39" s="1037"/>
      <c r="L39" s="1037"/>
      <c r="M39" s="1037"/>
      <c r="N39" s="1037"/>
      <c r="O39" s="1037"/>
      <c r="P39" s="1037"/>
      <c r="Q39" s="1037"/>
      <c r="R39" s="1037"/>
      <c r="S39" s="1037"/>
      <c r="T39" s="1037"/>
      <c r="U39" s="1037"/>
      <c r="V39" s="1037"/>
      <c r="W39" s="1037"/>
      <c r="X39" s="1037"/>
      <c r="Y39" s="1037"/>
      <c r="Z39" s="1037"/>
      <c r="AA39" s="1037"/>
      <c r="AB39" s="1037"/>
      <c r="AC39" s="1037"/>
      <c r="AD39" s="1037"/>
      <c r="AE39" s="1037"/>
      <c r="AF39" s="1037"/>
      <c r="AG39" s="1037"/>
      <c r="AH39" s="1037"/>
      <c r="AI39" s="1037"/>
      <c r="AJ39" s="1037"/>
      <c r="AK39" s="1037"/>
      <c r="AL39" s="1037"/>
      <c r="AM39" s="1037"/>
      <c r="AN39" s="1037"/>
      <c r="AO39" s="1037"/>
      <c r="AP39" s="1037"/>
      <c r="AQ39" s="1037"/>
      <c r="AR39" s="1037"/>
      <c r="AS39" s="1037"/>
      <c r="AT39" s="1037"/>
      <c r="AU39" s="1037"/>
      <c r="AV39" s="1037"/>
      <c r="AW39" s="1037"/>
      <c r="AX39" s="1037"/>
      <c r="AY39" s="1037"/>
      <c r="AZ39" s="1037"/>
      <c r="BA39" s="1037"/>
      <c r="BB39" s="1037"/>
      <c r="BC39" s="1037"/>
      <c r="BD39" s="1037"/>
      <c r="BE39" s="1037"/>
      <c r="BF39" s="1037"/>
      <c r="BG39" s="1037"/>
      <c r="BH39" s="1037"/>
      <c r="BI39" s="1037"/>
      <c r="BJ39" s="1038"/>
      <c r="BK39" s="1038"/>
      <c r="BL39" s="1038"/>
      <c r="BM39" s="1038"/>
      <c r="BN39" s="1038"/>
      <c r="BO39" s="1038"/>
      <c r="BP39" s="1038"/>
      <c r="BQ39" s="1038"/>
      <c r="BR39" s="1038"/>
      <c r="BS39" s="1038"/>
      <c r="BT39" s="1038"/>
      <c r="BU39" s="1038"/>
      <c r="BV39" s="1037"/>
      <c r="BW39" s="989"/>
      <c r="BX39" s="977"/>
      <c r="BY39" s="176"/>
      <c r="BZ39" s="176"/>
      <c r="CA39" s="176"/>
      <c r="CB39" s="176"/>
      <c r="CC39" s="977"/>
      <c r="CD39" s="977"/>
      <c r="CE39" s="977"/>
      <c r="CF39" s="176"/>
      <c r="CG39" s="176"/>
      <c r="CH39" s="185"/>
      <c r="CI39" s="1065"/>
      <c r="CJ39" s="989"/>
      <c r="CK39" s="977"/>
      <c r="CL39" s="977"/>
      <c r="CM39" s="977"/>
      <c r="CN39" s="977"/>
      <c r="CO39" s="977"/>
      <c r="CP39" s="977"/>
      <c r="CQ39" s="977"/>
      <c r="CR39" s="977"/>
      <c r="CS39" s="977"/>
      <c r="CT39" s="977"/>
      <c r="CU39" s="1012"/>
      <c r="CV39" s="1127"/>
      <c r="CW39" s="989"/>
      <c r="CX39" s="977"/>
      <c r="CY39" s="977"/>
      <c r="CZ39" s="977"/>
      <c r="DA39" s="977"/>
      <c r="DB39" s="977"/>
      <c r="DC39" s="977"/>
      <c r="DD39" s="977"/>
      <c r="DE39" s="977"/>
      <c r="DF39" s="977"/>
      <c r="DG39" s="977"/>
      <c r="DH39" s="1012"/>
      <c r="DI39" s="1127"/>
      <c r="DJ39" s="1081"/>
      <c r="DK39" s="214"/>
    </row>
    <row r="40" spans="1:115" ht="14.25" customHeight="1" x14ac:dyDescent="0.25">
      <c r="A40" s="1048"/>
      <c r="B40" s="982"/>
      <c r="C40" s="1117"/>
      <c r="D40" s="975"/>
      <c r="E40" s="154" t="s">
        <v>221</v>
      </c>
      <c r="F40" s="147">
        <v>30</v>
      </c>
      <c r="G40" s="1072"/>
      <c r="H40" s="195"/>
      <c r="I40" s="1038"/>
      <c r="J40" s="1037"/>
      <c r="K40" s="1037"/>
      <c r="L40" s="1037"/>
      <c r="M40" s="1037"/>
      <c r="N40" s="1037"/>
      <c r="O40" s="1037"/>
      <c r="P40" s="1037"/>
      <c r="Q40" s="1037"/>
      <c r="R40" s="1037"/>
      <c r="S40" s="1037"/>
      <c r="T40" s="1037"/>
      <c r="U40" s="1037"/>
      <c r="V40" s="1037"/>
      <c r="W40" s="1037"/>
      <c r="X40" s="1037"/>
      <c r="Y40" s="1037"/>
      <c r="Z40" s="1037"/>
      <c r="AA40" s="1037"/>
      <c r="AB40" s="1037"/>
      <c r="AC40" s="1037"/>
      <c r="AD40" s="1037"/>
      <c r="AE40" s="1037"/>
      <c r="AF40" s="1037"/>
      <c r="AG40" s="1037"/>
      <c r="AH40" s="1037"/>
      <c r="AI40" s="1037"/>
      <c r="AJ40" s="1037"/>
      <c r="AK40" s="1037"/>
      <c r="AL40" s="1037"/>
      <c r="AM40" s="1037"/>
      <c r="AN40" s="1037"/>
      <c r="AO40" s="1037"/>
      <c r="AP40" s="1037"/>
      <c r="AQ40" s="1037"/>
      <c r="AR40" s="1037"/>
      <c r="AS40" s="1037"/>
      <c r="AT40" s="1037"/>
      <c r="AU40" s="1037"/>
      <c r="AV40" s="1037"/>
      <c r="AW40" s="1037"/>
      <c r="AX40" s="1037"/>
      <c r="AY40" s="1037"/>
      <c r="AZ40" s="1037"/>
      <c r="BA40" s="1037"/>
      <c r="BB40" s="1037"/>
      <c r="BC40" s="1037"/>
      <c r="BD40" s="1037"/>
      <c r="BE40" s="1037"/>
      <c r="BF40" s="1037"/>
      <c r="BG40" s="1037"/>
      <c r="BH40" s="1037"/>
      <c r="BI40" s="1037"/>
      <c r="BJ40" s="1038"/>
      <c r="BK40" s="1038"/>
      <c r="BL40" s="1038"/>
      <c r="BM40" s="1038"/>
      <c r="BN40" s="1038"/>
      <c r="BO40" s="1038"/>
      <c r="BP40" s="1038"/>
      <c r="BQ40" s="1038"/>
      <c r="BR40" s="1038"/>
      <c r="BS40" s="1038"/>
      <c r="BT40" s="1038"/>
      <c r="BU40" s="1038"/>
      <c r="BV40" s="1037"/>
      <c r="BW40" s="989"/>
      <c r="BX40" s="977"/>
      <c r="BY40" s="176"/>
      <c r="BZ40" s="176"/>
      <c r="CA40" s="176"/>
      <c r="CB40" s="176"/>
      <c r="CC40" s="977"/>
      <c r="CD40" s="977"/>
      <c r="CE40" s="977"/>
      <c r="CF40" s="176"/>
      <c r="CG40" s="176"/>
      <c r="CH40" s="185"/>
      <c r="CI40" s="1065"/>
      <c r="CJ40" s="989"/>
      <c r="CK40" s="977"/>
      <c r="CL40" s="977"/>
      <c r="CM40" s="977"/>
      <c r="CN40" s="977"/>
      <c r="CO40" s="977"/>
      <c r="CP40" s="977"/>
      <c r="CQ40" s="977"/>
      <c r="CR40" s="977"/>
      <c r="CS40" s="977"/>
      <c r="CT40" s="977"/>
      <c r="CU40" s="1012"/>
      <c r="CV40" s="1127"/>
      <c r="CW40" s="989"/>
      <c r="CX40" s="977"/>
      <c r="CY40" s="977"/>
      <c r="CZ40" s="977"/>
      <c r="DA40" s="977"/>
      <c r="DB40" s="977"/>
      <c r="DC40" s="977"/>
      <c r="DD40" s="977"/>
      <c r="DE40" s="977"/>
      <c r="DF40" s="977"/>
      <c r="DG40" s="977"/>
      <c r="DH40" s="1012"/>
      <c r="DI40" s="1127"/>
      <c r="DJ40" s="1081"/>
      <c r="DK40" s="214"/>
    </row>
    <row r="41" spans="1:115" ht="14.25" customHeight="1" x14ac:dyDescent="0.25">
      <c r="A41" s="1048"/>
      <c r="B41" s="982"/>
      <c r="C41" s="1117"/>
      <c r="D41" s="975"/>
      <c r="E41" s="154" t="s">
        <v>191</v>
      </c>
      <c r="F41" s="147"/>
      <c r="G41" s="1073"/>
      <c r="H41" s="196"/>
      <c r="I41" s="1039"/>
      <c r="J41" s="1037"/>
      <c r="K41" s="1037"/>
      <c r="L41" s="1037"/>
      <c r="M41" s="1037"/>
      <c r="N41" s="1037"/>
      <c r="O41" s="1037"/>
      <c r="P41" s="1037"/>
      <c r="Q41" s="1037"/>
      <c r="R41" s="1037"/>
      <c r="S41" s="1037"/>
      <c r="T41" s="1037"/>
      <c r="U41" s="1037"/>
      <c r="V41" s="1037"/>
      <c r="W41" s="1037"/>
      <c r="X41" s="1037"/>
      <c r="Y41" s="1037"/>
      <c r="Z41" s="1037"/>
      <c r="AA41" s="1037"/>
      <c r="AB41" s="1037"/>
      <c r="AC41" s="1037"/>
      <c r="AD41" s="1037"/>
      <c r="AE41" s="1037"/>
      <c r="AF41" s="1037"/>
      <c r="AG41" s="1037"/>
      <c r="AH41" s="1037"/>
      <c r="AI41" s="1037"/>
      <c r="AJ41" s="1037"/>
      <c r="AK41" s="1037"/>
      <c r="AL41" s="1037"/>
      <c r="AM41" s="1037"/>
      <c r="AN41" s="1037"/>
      <c r="AO41" s="1037"/>
      <c r="AP41" s="1037"/>
      <c r="AQ41" s="1037"/>
      <c r="AR41" s="1037"/>
      <c r="AS41" s="1037"/>
      <c r="AT41" s="1037"/>
      <c r="AU41" s="1037"/>
      <c r="AV41" s="1037"/>
      <c r="AW41" s="1037"/>
      <c r="AX41" s="1037"/>
      <c r="AY41" s="1037"/>
      <c r="AZ41" s="1037"/>
      <c r="BA41" s="1037"/>
      <c r="BB41" s="1037"/>
      <c r="BC41" s="1037"/>
      <c r="BD41" s="1037"/>
      <c r="BE41" s="1037"/>
      <c r="BF41" s="1037"/>
      <c r="BG41" s="1037"/>
      <c r="BH41" s="1037"/>
      <c r="BI41" s="1037"/>
      <c r="BJ41" s="1039"/>
      <c r="BK41" s="1039"/>
      <c r="BL41" s="1039"/>
      <c r="BM41" s="1039"/>
      <c r="BN41" s="1039"/>
      <c r="BO41" s="1039"/>
      <c r="BP41" s="1039"/>
      <c r="BQ41" s="1039"/>
      <c r="BR41" s="1039"/>
      <c r="BS41" s="1039"/>
      <c r="BT41" s="1039"/>
      <c r="BU41" s="1039"/>
      <c r="BV41" s="1037"/>
      <c r="BW41" s="990"/>
      <c r="BX41" s="978"/>
      <c r="BY41" s="176"/>
      <c r="BZ41" s="176"/>
      <c r="CA41" s="176"/>
      <c r="CB41" s="176"/>
      <c r="CC41" s="978"/>
      <c r="CD41" s="978"/>
      <c r="CE41" s="978"/>
      <c r="CF41" s="176"/>
      <c r="CG41" s="176"/>
      <c r="CH41" s="185"/>
      <c r="CI41" s="1065"/>
      <c r="CJ41" s="990"/>
      <c r="CK41" s="978"/>
      <c r="CL41" s="978"/>
      <c r="CM41" s="978"/>
      <c r="CN41" s="978"/>
      <c r="CO41" s="978"/>
      <c r="CP41" s="978"/>
      <c r="CQ41" s="978"/>
      <c r="CR41" s="978"/>
      <c r="CS41" s="978"/>
      <c r="CT41" s="978"/>
      <c r="CU41" s="1013"/>
      <c r="CV41" s="1078"/>
      <c r="CW41" s="990"/>
      <c r="CX41" s="978"/>
      <c r="CY41" s="978"/>
      <c r="CZ41" s="978"/>
      <c r="DA41" s="978"/>
      <c r="DB41" s="978"/>
      <c r="DC41" s="978"/>
      <c r="DD41" s="978"/>
      <c r="DE41" s="978"/>
      <c r="DF41" s="978"/>
      <c r="DG41" s="978"/>
      <c r="DH41" s="1013"/>
      <c r="DI41" s="1078"/>
      <c r="DJ41" s="1128"/>
      <c r="DK41" s="215"/>
    </row>
    <row r="42" spans="1:115" ht="15" customHeight="1" x14ac:dyDescent="0.25">
      <c r="A42" s="1048">
        <v>7</v>
      </c>
      <c r="B42" s="1068" t="s">
        <v>19</v>
      </c>
      <c r="C42" s="1069" t="s">
        <v>222</v>
      </c>
      <c r="D42" s="1106" t="s">
        <v>223</v>
      </c>
      <c r="E42" s="151" t="s">
        <v>224</v>
      </c>
      <c r="F42" s="149">
        <v>30</v>
      </c>
      <c r="G42" s="1071">
        <f>F42+F43+F44+F45+F46+F47+F48+F49+F50</f>
        <v>270</v>
      </c>
      <c r="H42" s="194"/>
      <c r="I42" s="1037">
        <v>15</v>
      </c>
      <c r="J42" s="1043"/>
      <c r="K42" s="1043"/>
      <c r="L42" s="1043">
        <v>5</v>
      </c>
      <c r="M42" s="1043"/>
      <c r="N42" s="1043"/>
      <c r="O42" s="1043">
        <v>5</v>
      </c>
      <c r="P42" s="1043">
        <v>8</v>
      </c>
      <c r="Q42" s="1043"/>
      <c r="R42" s="1043"/>
      <c r="S42" s="1043"/>
      <c r="T42" s="1043"/>
      <c r="U42" s="1043"/>
      <c r="V42" s="1043">
        <f>SUM(J42:U50)</f>
        <v>18</v>
      </c>
      <c r="W42" s="1043"/>
      <c r="X42" s="1043"/>
      <c r="Y42" s="1043"/>
      <c r="Z42" s="1043"/>
      <c r="AA42" s="1043"/>
      <c r="AB42" s="1043"/>
      <c r="AC42" s="1043"/>
      <c r="AD42" s="1043">
        <v>2</v>
      </c>
      <c r="AE42" s="1043">
        <v>1</v>
      </c>
      <c r="AF42" s="1043"/>
      <c r="AG42" s="1043"/>
      <c r="AH42" s="1043">
        <v>3</v>
      </c>
      <c r="AI42" s="1043">
        <f>SUM(W42:AH50)</f>
        <v>6</v>
      </c>
      <c r="AJ42" s="1043">
        <v>1</v>
      </c>
      <c r="AK42" s="1043">
        <v>15</v>
      </c>
      <c r="AL42" s="1043"/>
      <c r="AM42" s="1043"/>
      <c r="AN42" s="1043"/>
      <c r="AO42" s="1043"/>
      <c r="AP42" s="1043">
        <v>4</v>
      </c>
      <c r="AQ42" s="1043">
        <v>1</v>
      </c>
      <c r="AR42" s="1043"/>
      <c r="AS42" s="1043"/>
      <c r="AT42" s="1043"/>
      <c r="AU42" s="1043"/>
      <c r="AV42" s="1043">
        <f>SUM(AJ42:AU50)</f>
        <v>21</v>
      </c>
      <c r="AW42" s="1043"/>
      <c r="AX42" s="1043"/>
      <c r="AY42" s="1043"/>
      <c r="AZ42" s="1043"/>
      <c r="BA42" s="1043"/>
      <c r="BB42" s="1043">
        <v>14</v>
      </c>
      <c r="BC42" s="1043"/>
      <c r="BD42" s="1043">
        <v>1</v>
      </c>
      <c r="BE42" s="1043"/>
      <c r="BF42" s="1043"/>
      <c r="BG42" s="1043"/>
      <c r="BH42" s="1043">
        <v>22</v>
      </c>
      <c r="BI42" s="1043">
        <f>SUM(AW42:BH50)</f>
        <v>37</v>
      </c>
      <c r="BJ42" s="1037"/>
      <c r="BK42" s="1037"/>
      <c r="BL42" s="1037"/>
      <c r="BM42" s="1037"/>
      <c r="BN42" s="1037"/>
      <c r="BO42" s="1037"/>
      <c r="BP42" s="1037"/>
      <c r="BQ42" s="1037">
        <v>37</v>
      </c>
      <c r="BR42" s="1037"/>
      <c r="BS42" s="1037">
        <v>1</v>
      </c>
      <c r="BT42" s="1037"/>
      <c r="BU42" s="1037">
        <v>14</v>
      </c>
      <c r="BV42" s="1043">
        <f>SUM(BJ42:BU50)</f>
        <v>52</v>
      </c>
      <c r="BW42" s="1124">
        <v>4</v>
      </c>
      <c r="BX42" s="976"/>
      <c r="BY42" s="976"/>
      <c r="BZ42" s="976"/>
      <c r="CA42" s="976"/>
      <c r="CB42" s="976"/>
      <c r="CC42" s="976"/>
      <c r="CD42" s="175"/>
      <c r="CE42" s="976"/>
      <c r="CF42" s="1124">
        <v>30</v>
      </c>
      <c r="CG42" s="976"/>
      <c r="CH42" s="1011"/>
      <c r="CI42" s="1120">
        <f>SUM(BW42:CH50)</f>
        <v>34</v>
      </c>
      <c r="CJ42" s="1124"/>
      <c r="CK42" s="976"/>
      <c r="CL42" s="976"/>
      <c r="CM42" s="976">
        <v>3</v>
      </c>
      <c r="CN42" s="976"/>
      <c r="CO42" s="976"/>
      <c r="CP42" s="976"/>
      <c r="CQ42" s="976"/>
      <c r="CR42" s="976">
        <v>8</v>
      </c>
      <c r="CS42" s="976"/>
      <c r="CT42" s="976"/>
      <c r="CU42" s="979">
        <v>15</v>
      </c>
      <c r="CV42" s="1018">
        <f>SUM(CJ42:CU50)</f>
        <v>26</v>
      </c>
      <c r="CW42" s="1124"/>
      <c r="CX42" s="976"/>
      <c r="CY42" s="976"/>
      <c r="CZ42" s="976"/>
      <c r="DA42" s="976"/>
      <c r="DB42" s="976"/>
      <c r="DC42" s="976"/>
      <c r="DD42" s="976"/>
      <c r="DE42" s="976"/>
      <c r="DF42" s="976"/>
      <c r="DG42" s="976"/>
      <c r="DH42" s="979"/>
      <c r="DI42" s="1018">
        <f>SUM(CW42:DH50)</f>
        <v>0</v>
      </c>
      <c r="DJ42" s="971">
        <f>I42+V42+AI42+AV42+BI42+BV42+CI42+CV42+DI42</f>
        <v>209</v>
      </c>
      <c r="DK42" s="230">
        <f>H46-DJ42</f>
        <v>61</v>
      </c>
    </row>
    <row r="43" spans="1:115" ht="15" customHeight="1" x14ac:dyDescent="0.25">
      <c r="A43" s="1048"/>
      <c r="B43" s="1068"/>
      <c r="C43" s="1069"/>
      <c r="D43" s="1070"/>
      <c r="E43" s="152" t="s">
        <v>225</v>
      </c>
      <c r="F43" s="150">
        <v>30</v>
      </c>
      <c r="G43" s="1072"/>
      <c r="H43" s="195"/>
      <c r="I43" s="1038"/>
      <c r="J43" s="1043"/>
      <c r="K43" s="1043"/>
      <c r="L43" s="1043"/>
      <c r="M43" s="1043"/>
      <c r="N43" s="1043"/>
      <c r="O43" s="1043"/>
      <c r="P43" s="1043"/>
      <c r="Q43" s="1043"/>
      <c r="R43" s="1043"/>
      <c r="S43" s="1043"/>
      <c r="T43" s="1043"/>
      <c r="U43" s="1043"/>
      <c r="V43" s="1043"/>
      <c r="W43" s="1043"/>
      <c r="X43" s="1043"/>
      <c r="Y43" s="1043"/>
      <c r="Z43" s="1043"/>
      <c r="AA43" s="1043"/>
      <c r="AB43" s="1043"/>
      <c r="AC43" s="1043"/>
      <c r="AD43" s="1043"/>
      <c r="AE43" s="1043"/>
      <c r="AF43" s="1043"/>
      <c r="AG43" s="1043"/>
      <c r="AH43" s="1043"/>
      <c r="AI43" s="1043"/>
      <c r="AJ43" s="1043"/>
      <c r="AK43" s="1043"/>
      <c r="AL43" s="1043"/>
      <c r="AM43" s="1043"/>
      <c r="AN43" s="1043"/>
      <c r="AO43" s="1043"/>
      <c r="AP43" s="1043"/>
      <c r="AQ43" s="1043"/>
      <c r="AR43" s="1043"/>
      <c r="AS43" s="1043"/>
      <c r="AT43" s="1043"/>
      <c r="AU43" s="1043"/>
      <c r="AV43" s="1043"/>
      <c r="AW43" s="1043"/>
      <c r="AX43" s="1043"/>
      <c r="AY43" s="1043"/>
      <c r="AZ43" s="1043"/>
      <c r="BA43" s="1043"/>
      <c r="BB43" s="1043"/>
      <c r="BC43" s="1043"/>
      <c r="BD43" s="1043"/>
      <c r="BE43" s="1043"/>
      <c r="BF43" s="1043"/>
      <c r="BG43" s="1043"/>
      <c r="BH43" s="1043"/>
      <c r="BI43" s="1043"/>
      <c r="BJ43" s="1038"/>
      <c r="BK43" s="1038"/>
      <c r="BL43" s="1038"/>
      <c r="BM43" s="1038"/>
      <c r="BN43" s="1038"/>
      <c r="BO43" s="1038"/>
      <c r="BP43" s="1038"/>
      <c r="BQ43" s="1038"/>
      <c r="BR43" s="1038"/>
      <c r="BS43" s="1038"/>
      <c r="BT43" s="1038"/>
      <c r="BU43" s="1038"/>
      <c r="BV43" s="1043"/>
      <c r="BW43" s="1125"/>
      <c r="BX43" s="977"/>
      <c r="BY43" s="977"/>
      <c r="BZ43" s="977"/>
      <c r="CA43" s="977"/>
      <c r="CB43" s="977"/>
      <c r="CC43" s="977"/>
      <c r="CD43" s="176"/>
      <c r="CE43" s="977"/>
      <c r="CF43" s="1125"/>
      <c r="CG43" s="977"/>
      <c r="CH43" s="1012"/>
      <c r="CI43" s="1120"/>
      <c r="CJ43" s="1125"/>
      <c r="CK43" s="977"/>
      <c r="CL43" s="977"/>
      <c r="CM43" s="977"/>
      <c r="CN43" s="977"/>
      <c r="CO43" s="977"/>
      <c r="CP43" s="977"/>
      <c r="CQ43" s="977"/>
      <c r="CR43" s="977"/>
      <c r="CS43" s="977"/>
      <c r="CT43" s="977"/>
      <c r="CU43" s="980"/>
      <c r="CV43" s="1018"/>
      <c r="CW43" s="1125"/>
      <c r="CX43" s="977"/>
      <c r="CY43" s="977"/>
      <c r="CZ43" s="977"/>
      <c r="DA43" s="977"/>
      <c r="DB43" s="977"/>
      <c r="DC43" s="977"/>
      <c r="DD43" s="977"/>
      <c r="DE43" s="977"/>
      <c r="DF43" s="977"/>
      <c r="DG43" s="977"/>
      <c r="DH43" s="980"/>
      <c r="DI43" s="1018"/>
      <c r="DJ43" s="972"/>
      <c r="DK43" s="214"/>
    </row>
    <row r="44" spans="1:115" ht="15" customHeight="1" x14ac:dyDescent="0.25">
      <c r="A44" s="1048"/>
      <c r="B44" s="1068"/>
      <c r="C44" s="1069"/>
      <c r="D44" s="1070"/>
      <c r="E44" s="152" t="s">
        <v>226</v>
      </c>
      <c r="F44" s="150">
        <v>30</v>
      </c>
      <c r="G44" s="1072"/>
      <c r="H44" s="195"/>
      <c r="I44" s="1038"/>
      <c r="J44" s="1043"/>
      <c r="K44" s="1043"/>
      <c r="L44" s="1043"/>
      <c r="M44" s="1043"/>
      <c r="N44" s="1043"/>
      <c r="O44" s="1043"/>
      <c r="P44" s="1043"/>
      <c r="Q44" s="1043"/>
      <c r="R44" s="1043"/>
      <c r="S44" s="1043"/>
      <c r="T44" s="1043"/>
      <c r="U44" s="1043"/>
      <c r="V44" s="1043"/>
      <c r="W44" s="1043"/>
      <c r="X44" s="1043"/>
      <c r="Y44" s="1043"/>
      <c r="Z44" s="1043"/>
      <c r="AA44" s="1043"/>
      <c r="AB44" s="1043"/>
      <c r="AC44" s="1043"/>
      <c r="AD44" s="1043"/>
      <c r="AE44" s="1043"/>
      <c r="AF44" s="1043"/>
      <c r="AG44" s="1043"/>
      <c r="AH44" s="1043"/>
      <c r="AI44" s="1043"/>
      <c r="AJ44" s="1043"/>
      <c r="AK44" s="1043"/>
      <c r="AL44" s="1043"/>
      <c r="AM44" s="1043"/>
      <c r="AN44" s="1043"/>
      <c r="AO44" s="1043"/>
      <c r="AP44" s="1043"/>
      <c r="AQ44" s="1043"/>
      <c r="AR44" s="1043"/>
      <c r="AS44" s="1043"/>
      <c r="AT44" s="1043"/>
      <c r="AU44" s="1043"/>
      <c r="AV44" s="1043"/>
      <c r="AW44" s="1043"/>
      <c r="AX44" s="1043"/>
      <c r="AY44" s="1043"/>
      <c r="AZ44" s="1043"/>
      <c r="BA44" s="1043"/>
      <c r="BB44" s="1043"/>
      <c r="BC44" s="1043"/>
      <c r="BD44" s="1043"/>
      <c r="BE44" s="1043"/>
      <c r="BF44" s="1043"/>
      <c r="BG44" s="1043"/>
      <c r="BH44" s="1043"/>
      <c r="BI44" s="1043"/>
      <c r="BJ44" s="1038"/>
      <c r="BK44" s="1038"/>
      <c r="BL44" s="1038"/>
      <c r="BM44" s="1038"/>
      <c r="BN44" s="1038"/>
      <c r="BO44" s="1038"/>
      <c r="BP44" s="1038"/>
      <c r="BQ44" s="1038"/>
      <c r="BR44" s="1038"/>
      <c r="BS44" s="1038"/>
      <c r="BT44" s="1038"/>
      <c r="BU44" s="1038"/>
      <c r="BV44" s="1043"/>
      <c r="BW44" s="1125"/>
      <c r="BX44" s="977"/>
      <c r="BY44" s="977"/>
      <c r="BZ44" s="977"/>
      <c r="CA44" s="977"/>
      <c r="CB44" s="977"/>
      <c r="CC44" s="977"/>
      <c r="CD44" s="176"/>
      <c r="CE44" s="977"/>
      <c r="CF44" s="1125"/>
      <c r="CG44" s="977"/>
      <c r="CH44" s="1012"/>
      <c r="CI44" s="1120"/>
      <c r="CJ44" s="1125"/>
      <c r="CK44" s="977"/>
      <c r="CL44" s="977"/>
      <c r="CM44" s="977"/>
      <c r="CN44" s="977"/>
      <c r="CO44" s="977"/>
      <c r="CP44" s="977"/>
      <c r="CQ44" s="977"/>
      <c r="CR44" s="977"/>
      <c r="CS44" s="977"/>
      <c r="CT44" s="977"/>
      <c r="CU44" s="980"/>
      <c r="CV44" s="1018"/>
      <c r="CW44" s="1125"/>
      <c r="CX44" s="977"/>
      <c r="CY44" s="977"/>
      <c r="CZ44" s="977"/>
      <c r="DA44" s="977"/>
      <c r="DB44" s="977"/>
      <c r="DC44" s="977"/>
      <c r="DD44" s="977"/>
      <c r="DE44" s="977"/>
      <c r="DF44" s="977"/>
      <c r="DG44" s="977"/>
      <c r="DH44" s="980"/>
      <c r="DI44" s="1018"/>
      <c r="DJ44" s="972"/>
      <c r="DK44" s="214"/>
    </row>
    <row r="45" spans="1:115" ht="15" customHeight="1" x14ac:dyDescent="0.25">
      <c r="A45" s="1048"/>
      <c r="B45" s="1068"/>
      <c r="C45" s="1069"/>
      <c r="D45" s="1070"/>
      <c r="E45" s="152" t="s">
        <v>227</v>
      </c>
      <c r="F45" s="150">
        <v>30</v>
      </c>
      <c r="G45" s="1072"/>
      <c r="H45" s="195"/>
      <c r="I45" s="1038"/>
      <c r="J45" s="1043"/>
      <c r="K45" s="1043"/>
      <c r="L45" s="1043"/>
      <c r="M45" s="1043"/>
      <c r="N45" s="1043"/>
      <c r="O45" s="1043"/>
      <c r="P45" s="1043"/>
      <c r="Q45" s="1043"/>
      <c r="R45" s="1043"/>
      <c r="S45" s="1043"/>
      <c r="T45" s="1043"/>
      <c r="U45" s="1043"/>
      <c r="V45" s="1043"/>
      <c r="W45" s="1043"/>
      <c r="X45" s="1043"/>
      <c r="Y45" s="1043"/>
      <c r="Z45" s="1043"/>
      <c r="AA45" s="1043"/>
      <c r="AB45" s="1043"/>
      <c r="AC45" s="1043"/>
      <c r="AD45" s="1043"/>
      <c r="AE45" s="1043"/>
      <c r="AF45" s="1043"/>
      <c r="AG45" s="1043"/>
      <c r="AH45" s="1043"/>
      <c r="AI45" s="1043"/>
      <c r="AJ45" s="1043"/>
      <c r="AK45" s="1043"/>
      <c r="AL45" s="1043"/>
      <c r="AM45" s="1043"/>
      <c r="AN45" s="1043"/>
      <c r="AO45" s="1043"/>
      <c r="AP45" s="1043"/>
      <c r="AQ45" s="1043"/>
      <c r="AR45" s="1043"/>
      <c r="AS45" s="1043"/>
      <c r="AT45" s="1043"/>
      <c r="AU45" s="1043"/>
      <c r="AV45" s="1043"/>
      <c r="AW45" s="1043"/>
      <c r="AX45" s="1043"/>
      <c r="AY45" s="1043"/>
      <c r="AZ45" s="1043"/>
      <c r="BA45" s="1043"/>
      <c r="BB45" s="1043"/>
      <c r="BC45" s="1043"/>
      <c r="BD45" s="1043"/>
      <c r="BE45" s="1043"/>
      <c r="BF45" s="1043"/>
      <c r="BG45" s="1043"/>
      <c r="BH45" s="1043"/>
      <c r="BI45" s="1043"/>
      <c r="BJ45" s="1038"/>
      <c r="BK45" s="1038"/>
      <c r="BL45" s="1038"/>
      <c r="BM45" s="1038"/>
      <c r="BN45" s="1038"/>
      <c r="BO45" s="1038"/>
      <c r="BP45" s="1038"/>
      <c r="BQ45" s="1038"/>
      <c r="BR45" s="1038"/>
      <c r="BS45" s="1038"/>
      <c r="BT45" s="1038"/>
      <c r="BU45" s="1038"/>
      <c r="BV45" s="1043"/>
      <c r="BW45" s="1125"/>
      <c r="BX45" s="977"/>
      <c r="BY45" s="977"/>
      <c r="BZ45" s="977"/>
      <c r="CA45" s="977"/>
      <c r="CB45" s="977"/>
      <c r="CC45" s="977"/>
      <c r="CD45" s="176"/>
      <c r="CE45" s="977"/>
      <c r="CF45" s="1125"/>
      <c r="CG45" s="977"/>
      <c r="CH45" s="1012"/>
      <c r="CI45" s="1120"/>
      <c r="CJ45" s="1125"/>
      <c r="CK45" s="977"/>
      <c r="CL45" s="977"/>
      <c r="CM45" s="977"/>
      <c r="CN45" s="977"/>
      <c r="CO45" s="977"/>
      <c r="CP45" s="977"/>
      <c r="CQ45" s="977"/>
      <c r="CR45" s="977"/>
      <c r="CS45" s="977"/>
      <c r="CT45" s="977"/>
      <c r="CU45" s="980"/>
      <c r="CV45" s="1018"/>
      <c r="CW45" s="1125"/>
      <c r="CX45" s="977"/>
      <c r="CY45" s="977"/>
      <c r="CZ45" s="977"/>
      <c r="DA45" s="977"/>
      <c r="DB45" s="977"/>
      <c r="DC45" s="977"/>
      <c r="DD45" s="977"/>
      <c r="DE45" s="977"/>
      <c r="DF45" s="977"/>
      <c r="DG45" s="977"/>
      <c r="DH45" s="980"/>
      <c r="DI45" s="1018"/>
      <c r="DJ45" s="972"/>
      <c r="DK45" s="214"/>
    </row>
    <row r="46" spans="1:115" ht="15" customHeight="1" x14ac:dyDescent="0.25">
      <c r="A46" s="1048"/>
      <c r="B46" s="1068"/>
      <c r="C46" s="1069"/>
      <c r="D46" s="1070"/>
      <c r="E46" s="153" t="s">
        <v>228</v>
      </c>
      <c r="F46" s="150">
        <v>30</v>
      </c>
      <c r="G46" s="1072"/>
      <c r="H46" s="228">
        <f>ROUNDDOWN(($H$2-D42)/365,0)*30</f>
        <v>270</v>
      </c>
      <c r="I46" s="1038"/>
      <c r="J46" s="1043"/>
      <c r="K46" s="1043"/>
      <c r="L46" s="1043"/>
      <c r="M46" s="1043"/>
      <c r="N46" s="1043"/>
      <c r="O46" s="1043"/>
      <c r="P46" s="1043"/>
      <c r="Q46" s="1043"/>
      <c r="R46" s="1043"/>
      <c r="S46" s="1043"/>
      <c r="T46" s="1043"/>
      <c r="U46" s="1043"/>
      <c r="V46" s="1043"/>
      <c r="W46" s="1043"/>
      <c r="X46" s="1043"/>
      <c r="Y46" s="1043"/>
      <c r="Z46" s="1043"/>
      <c r="AA46" s="1043"/>
      <c r="AB46" s="1043"/>
      <c r="AC46" s="1043"/>
      <c r="AD46" s="1043"/>
      <c r="AE46" s="1043"/>
      <c r="AF46" s="1043"/>
      <c r="AG46" s="1043"/>
      <c r="AH46" s="1043"/>
      <c r="AI46" s="1043"/>
      <c r="AJ46" s="1043"/>
      <c r="AK46" s="1043"/>
      <c r="AL46" s="1043"/>
      <c r="AM46" s="1043"/>
      <c r="AN46" s="1043"/>
      <c r="AO46" s="1043"/>
      <c r="AP46" s="1043"/>
      <c r="AQ46" s="1043"/>
      <c r="AR46" s="1043"/>
      <c r="AS46" s="1043"/>
      <c r="AT46" s="1043"/>
      <c r="AU46" s="1043"/>
      <c r="AV46" s="1043"/>
      <c r="AW46" s="1043"/>
      <c r="AX46" s="1043"/>
      <c r="AY46" s="1043"/>
      <c r="AZ46" s="1043"/>
      <c r="BA46" s="1043"/>
      <c r="BB46" s="1043"/>
      <c r="BC46" s="1043"/>
      <c r="BD46" s="1043"/>
      <c r="BE46" s="1043"/>
      <c r="BF46" s="1043"/>
      <c r="BG46" s="1043"/>
      <c r="BH46" s="1043"/>
      <c r="BI46" s="1043"/>
      <c r="BJ46" s="1038"/>
      <c r="BK46" s="1038"/>
      <c r="BL46" s="1038"/>
      <c r="BM46" s="1038"/>
      <c r="BN46" s="1038"/>
      <c r="BO46" s="1038"/>
      <c r="BP46" s="1038"/>
      <c r="BQ46" s="1038"/>
      <c r="BR46" s="1038"/>
      <c r="BS46" s="1038"/>
      <c r="BT46" s="1038"/>
      <c r="BU46" s="1038"/>
      <c r="BV46" s="1043"/>
      <c r="BW46" s="1125"/>
      <c r="BX46" s="977"/>
      <c r="BY46" s="977"/>
      <c r="BZ46" s="977"/>
      <c r="CA46" s="977"/>
      <c r="CB46" s="977"/>
      <c r="CC46" s="977"/>
      <c r="CD46" s="176"/>
      <c r="CE46" s="977"/>
      <c r="CF46" s="1125"/>
      <c r="CG46" s="977"/>
      <c r="CH46" s="1012"/>
      <c r="CI46" s="1120"/>
      <c r="CJ46" s="1125"/>
      <c r="CK46" s="977"/>
      <c r="CL46" s="977"/>
      <c r="CM46" s="977"/>
      <c r="CN46" s="977"/>
      <c r="CO46" s="977"/>
      <c r="CP46" s="977"/>
      <c r="CQ46" s="977"/>
      <c r="CR46" s="977"/>
      <c r="CS46" s="977"/>
      <c r="CT46" s="977"/>
      <c r="CU46" s="980"/>
      <c r="CV46" s="1018"/>
      <c r="CW46" s="1125"/>
      <c r="CX46" s="977"/>
      <c r="CY46" s="977"/>
      <c r="CZ46" s="977"/>
      <c r="DA46" s="977"/>
      <c r="DB46" s="977"/>
      <c r="DC46" s="977"/>
      <c r="DD46" s="977"/>
      <c r="DE46" s="977"/>
      <c r="DF46" s="977"/>
      <c r="DG46" s="977"/>
      <c r="DH46" s="980"/>
      <c r="DI46" s="1018"/>
      <c r="DJ46" s="972"/>
      <c r="DK46" s="214"/>
    </row>
    <row r="47" spans="1:115" ht="15" customHeight="1" x14ac:dyDescent="0.25">
      <c r="A47" s="1048"/>
      <c r="B47" s="1068"/>
      <c r="C47" s="1069"/>
      <c r="D47" s="975"/>
      <c r="E47" s="152" t="s">
        <v>229</v>
      </c>
      <c r="F47" s="150">
        <v>30</v>
      </c>
      <c r="G47" s="1072"/>
      <c r="H47" s="195"/>
      <c r="I47" s="1038"/>
      <c r="J47" s="1043"/>
      <c r="K47" s="1043"/>
      <c r="L47" s="1043"/>
      <c r="M47" s="1043"/>
      <c r="N47" s="1043"/>
      <c r="O47" s="1043"/>
      <c r="P47" s="1043"/>
      <c r="Q47" s="1043"/>
      <c r="R47" s="1043"/>
      <c r="S47" s="1043"/>
      <c r="T47" s="1043"/>
      <c r="U47" s="1043"/>
      <c r="V47" s="1043"/>
      <c r="W47" s="1043"/>
      <c r="X47" s="1043"/>
      <c r="Y47" s="1043"/>
      <c r="Z47" s="1043"/>
      <c r="AA47" s="1043"/>
      <c r="AB47" s="1043"/>
      <c r="AC47" s="1043"/>
      <c r="AD47" s="1043"/>
      <c r="AE47" s="1043"/>
      <c r="AF47" s="1043"/>
      <c r="AG47" s="1043"/>
      <c r="AH47" s="1043"/>
      <c r="AI47" s="1043"/>
      <c r="AJ47" s="1043"/>
      <c r="AK47" s="1043"/>
      <c r="AL47" s="1043"/>
      <c r="AM47" s="1043"/>
      <c r="AN47" s="1043"/>
      <c r="AO47" s="1043"/>
      <c r="AP47" s="1043"/>
      <c r="AQ47" s="1043"/>
      <c r="AR47" s="1043"/>
      <c r="AS47" s="1043"/>
      <c r="AT47" s="1043"/>
      <c r="AU47" s="1043"/>
      <c r="AV47" s="1043"/>
      <c r="AW47" s="1043"/>
      <c r="AX47" s="1043"/>
      <c r="AY47" s="1043"/>
      <c r="AZ47" s="1043"/>
      <c r="BA47" s="1043"/>
      <c r="BB47" s="1043"/>
      <c r="BC47" s="1043"/>
      <c r="BD47" s="1043"/>
      <c r="BE47" s="1043"/>
      <c r="BF47" s="1043"/>
      <c r="BG47" s="1043"/>
      <c r="BH47" s="1043"/>
      <c r="BI47" s="1043"/>
      <c r="BJ47" s="1038"/>
      <c r="BK47" s="1038"/>
      <c r="BL47" s="1038"/>
      <c r="BM47" s="1038"/>
      <c r="BN47" s="1038"/>
      <c r="BO47" s="1038"/>
      <c r="BP47" s="1038"/>
      <c r="BQ47" s="1038"/>
      <c r="BR47" s="1038"/>
      <c r="BS47" s="1038"/>
      <c r="BT47" s="1038"/>
      <c r="BU47" s="1038"/>
      <c r="BV47" s="1043"/>
      <c r="BW47" s="1125"/>
      <c r="BX47" s="977"/>
      <c r="BY47" s="977"/>
      <c r="BZ47" s="977"/>
      <c r="CA47" s="977"/>
      <c r="CB47" s="977"/>
      <c r="CC47" s="977"/>
      <c r="CD47" s="176"/>
      <c r="CE47" s="977"/>
      <c r="CF47" s="1125"/>
      <c r="CG47" s="977"/>
      <c r="CH47" s="1012"/>
      <c r="CI47" s="1120"/>
      <c r="CJ47" s="1125"/>
      <c r="CK47" s="977"/>
      <c r="CL47" s="977"/>
      <c r="CM47" s="977"/>
      <c r="CN47" s="977"/>
      <c r="CO47" s="977"/>
      <c r="CP47" s="977"/>
      <c r="CQ47" s="977"/>
      <c r="CR47" s="977"/>
      <c r="CS47" s="977"/>
      <c r="CT47" s="977"/>
      <c r="CU47" s="980"/>
      <c r="CV47" s="1018"/>
      <c r="CW47" s="1125"/>
      <c r="CX47" s="977"/>
      <c r="CY47" s="977"/>
      <c r="CZ47" s="977"/>
      <c r="DA47" s="977"/>
      <c r="DB47" s="977"/>
      <c r="DC47" s="977"/>
      <c r="DD47" s="977"/>
      <c r="DE47" s="977"/>
      <c r="DF47" s="977"/>
      <c r="DG47" s="977"/>
      <c r="DH47" s="980"/>
      <c r="DI47" s="1018"/>
      <c r="DJ47" s="972"/>
      <c r="DK47" s="214"/>
    </row>
    <row r="48" spans="1:115" ht="15" customHeight="1" x14ac:dyDescent="0.25">
      <c r="A48" s="1048"/>
      <c r="B48" s="1068"/>
      <c r="C48" s="1069"/>
      <c r="D48" s="975"/>
      <c r="E48" s="152" t="s">
        <v>230</v>
      </c>
      <c r="F48" s="150">
        <v>30</v>
      </c>
      <c r="G48" s="1072"/>
      <c r="H48" s="195"/>
      <c r="I48" s="1038"/>
      <c r="J48" s="1043"/>
      <c r="K48" s="1043"/>
      <c r="L48" s="1043"/>
      <c r="M48" s="1043"/>
      <c r="N48" s="1043"/>
      <c r="O48" s="1043"/>
      <c r="P48" s="1043"/>
      <c r="Q48" s="1043"/>
      <c r="R48" s="1043"/>
      <c r="S48" s="1043"/>
      <c r="T48" s="1043"/>
      <c r="U48" s="1043"/>
      <c r="V48" s="1043"/>
      <c r="W48" s="1043"/>
      <c r="X48" s="1043"/>
      <c r="Y48" s="1043"/>
      <c r="Z48" s="1043"/>
      <c r="AA48" s="1043"/>
      <c r="AB48" s="1043"/>
      <c r="AC48" s="1043"/>
      <c r="AD48" s="1043"/>
      <c r="AE48" s="1043"/>
      <c r="AF48" s="1043"/>
      <c r="AG48" s="1043"/>
      <c r="AH48" s="1043"/>
      <c r="AI48" s="1043"/>
      <c r="AJ48" s="1043"/>
      <c r="AK48" s="1043"/>
      <c r="AL48" s="1043"/>
      <c r="AM48" s="1043"/>
      <c r="AN48" s="1043"/>
      <c r="AO48" s="1043"/>
      <c r="AP48" s="1043"/>
      <c r="AQ48" s="1043"/>
      <c r="AR48" s="1043"/>
      <c r="AS48" s="1043"/>
      <c r="AT48" s="1043"/>
      <c r="AU48" s="1043"/>
      <c r="AV48" s="1043"/>
      <c r="AW48" s="1043"/>
      <c r="AX48" s="1043"/>
      <c r="AY48" s="1043"/>
      <c r="AZ48" s="1043"/>
      <c r="BA48" s="1043"/>
      <c r="BB48" s="1043"/>
      <c r="BC48" s="1043"/>
      <c r="BD48" s="1043"/>
      <c r="BE48" s="1043"/>
      <c r="BF48" s="1043"/>
      <c r="BG48" s="1043"/>
      <c r="BH48" s="1043"/>
      <c r="BI48" s="1043"/>
      <c r="BJ48" s="1038"/>
      <c r="BK48" s="1038"/>
      <c r="BL48" s="1038"/>
      <c r="BM48" s="1038"/>
      <c r="BN48" s="1038"/>
      <c r="BO48" s="1038"/>
      <c r="BP48" s="1038"/>
      <c r="BQ48" s="1038"/>
      <c r="BR48" s="1038"/>
      <c r="BS48" s="1038"/>
      <c r="BT48" s="1038"/>
      <c r="BU48" s="1038"/>
      <c r="BV48" s="1043"/>
      <c r="BW48" s="1125"/>
      <c r="BX48" s="977"/>
      <c r="BY48" s="977"/>
      <c r="BZ48" s="977"/>
      <c r="CA48" s="977"/>
      <c r="CB48" s="977"/>
      <c r="CC48" s="977"/>
      <c r="CD48" s="176"/>
      <c r="CE48" s="977"/>
      <c r="CF48" s="1125"/>
      <c r="CG48" s="977"/>
      <c r="CH48" s="1012"/>
      <c r="CI48" s="1120"/>
      <c r="CJ48" s="1125"/>
      <c r="CK48" s="977"/>
      <c r="CL48" s="977"/>
      <c r="CM48" s="977"/>
      <c r="CN48" s="977"/>
      <c r="CO48" s="977"/>
      <c r="CP48" s="977"/>
      <c r="CQ48" s="977"/>
      <c r="CR48" s="977"/>
      <c r="CS48" s="977"/>
      <c r="CT48" s="977"/>
      <c r="CU48" s="980"/>
      <c r="CV48" s="1018"/>
      <c r="CW48" s="1125"/>
      <c r="CX48" s="977"/>
      <c r="CY48" s="977"/>
      <c r="CZ48" s="977"/>
      <c r="DA48" s="977"/>
      <c r="DB48" s="977"/>
      <c r="DC48" s="977"/>
      <c r="DD48" s="977"/>
      <c r="DE48" s="977"/>
      <c r="DF48" s="977"/>
      <c r="DG48" s="977"/>
      <c r="DH48" s="980"/>
      <c r="DI48" s="1018"/>
      <c r="DJ48" s="972"/>
      <c r="DK48" s="214"/>
    </row>
    <row r="49" spans="1:115" ht="15" customHeight="1" x14ac:dyDescent="0.25">
      <c r="A49" s="1048"/>
      <c r="B49" s="1068"/>
      <c r="C49" s="1069"/>
      <c r="D49" s="975"/>
      <c r="E49" s="154" t="s">
        <v>231</v>
      </c>
      <c r="F49" s="147">
        <v>30</v>
      </c>
      <c r="G49" s="1072"/>
      <c r="H49" s="195"/>
      <c r="I49" s="1038"/>
      <c r="J49" s="1043"/>
      <c r="K49" s="1043"/>
      <c r="L49" s="1043"/>
      <c r="M49" s="1043"/>
      <c r="N49" s="1043"/>
      <c r="O49" s="1043"/>
      <c r="P49" s="1043"/>
      <c r="Q49" s="1043"/>
      <c r="R49" s="1043"/>
      <c r="S49" s="1043"/>
      <c r="T49" s="1043"/>
      <c r="U49" s="1043"/>
      <c r="V49" s="1043"/>
      <c r="W49" s="1043"/>
      <c r="X49" s="1043"/>
      <c r="Y49" s="1043"/>
      <c r="Z49" s="1043"/>
      <c r="AA49" s="1043"/>
      <c r="AB49" s="1043"/>
      <c r="AC49" s="1043"/>
      <c r="AD49" s="1043"/>
      <c r="AE49" s="1043"/>
      <c r="AF49" s="1043"/>
      <c r="AG49" s="1043"/>
      <c r="AH49" s="1043"/>
      <c r="AI49" s="1043"/>
      <c r="AJ49" s="1043"/>
      <c r="AK49" s="1043"/>
      <c r="AL49" s="1043"/>
      <c r="AM49" s="1043"/>
      <c r="AN49" s="1043"/>
      <c r="AO49" s="1043"/>
      <c r="AP49" s="1043"/>
      <c r="AQ49" s="1043"/>
      <c r="AR49" s="1043"/>
      <c r="AS49" s="1043"/>
      <c r="AT49" s="1043"/>
      <c r="AU49" s="1043"/>
      <c r="AV49" s="1043"/>
      <c r="AW49" s="1043"/>
      <c r="AX49" s="1043"/>
      <c r="AY49" s="1043"/>
      <c r="AZ49" s="1043"/>
      <c r="BA49" s="1043"/>
      <c r="BB49" s="1043"/>
      <c r="BC49" s="1043"/>
      <c r="BD49" s="1043"/>
      <c r="BE49" s="1043"/>
      <c r="BF49" s="1043"/>
      <c r="BG49" s="1043"/>
      <c r="BH49" s="1043"/>
      <c r="BI49" s="1043"/>
      <c r="BJ49" s="1038"/>
      <c r="BK49" s="1038"/>
      <c r="BL49" s="1038"/>
      <c r="BM49" s="1038"/>
      <c r="BN49" s="1038"/>
      <c r="BO49" s="1038"/>
      <c r="BP49" s="1038"/>
      <c r="BQ49" s="1038"/>
      <c r="BR49" s="1038"/>
      <c r="BS49" s="1038"/>
      <c r="BT49" s="1038"/>
      <c r="BU49" s="1038"/>
      <c r="BV49" s="1043"/>
      <c r="BW49" s="1125"/>
      <c r="BX49" s="977"/>
      <c r="BY49" s="977"/>
      <c r="BZ49" s="977"/>
      <c r="CA49" s="977"/>
      <c r="CB49" s="977"/>
      <c r="CC49" s="977"/>
      <c r="CD49" s="176"/>
      <c r="CE49" s="977"/>
      <c r="CF49" s="1125"/>
      <c r="CG49" s="977"/>
      <c r="CH49" s="1012"/>
      <c r="CI49" s="1120"/>
      <c r="CJ49" s="1125"/>
      <c r="CK49" s="977"/>
      <c r="CL49" s="977"/>
      <c r="CM49" s="977"/>
      <c r="CN49" s="977"/>
      <c r="CO49" s="977"/>
      <c r="CP49" s="977"/>
      <c r="CQ49" s="977"/>
      <c r="CR49" s="977"/>
      <c r="CS49" s="977"/>
      <c r="CT49" s="977"/>
      <c r="CU49" s="980"/>
      <c r="CV49" s="1018"/>
      <c r="CW49" s="1125"/>
      <c r="CX49" s="977"/>
      <c r="CY49" s="977"/>
      <c r="CZ49" s="977"/>
      <c r="DA49" s="977"/>
      <c r="DB49" s="977"/>
      <c r="DC49" s="977"/>
      <c r="DD49" s="977"/>
      <c r="DE49" s="977"/>
      <c r="DF49" s="977"/>
      <c r="DG49" s="977"/>
      <c r="DH49" s="980"/>
      <c r="DI49" s="1018"/>
      <c r="DJ49" s="972"/>
      <c r="DK49" s="214"/>
    </row>
    <row r="50" spans="1:115" ht="15" customHeight="1" x14ac:dyDescent="0.25">
      <c r="A50" s="1048"/>
      <c r="B50" s="1068"/>
      <c r="C50" s="1069"/>
      <c r="D50" s="1107"/>
      <c r="E50" s="154" t="s">
        <v>232</v>
      </c>
      <c r="F50" s="147">
        <v>30</v>
      </c>
      <c r="G50" s="1073"/>
      <c r="H50" s="196"/>
      <c r="I50" s="1039"/>
      <c r="J50" s="1043"/>
      <c r="K50" s="1043"/>
      <c r="L50" s="1043"/>
      <c r="M50" s="1043"/>
      <c r="N50" s="1043"/>
      <c r="O50" s="1043"/>
      <c r="P50" s="1043"/>
      <c r="Q50" s="1043"/>
      <c r="R50" s="1043"/>
      <c r="S50" s="1043"/>
      <c r="T50" s="1043"/>
      <c r="U50" s="1043"/>
      <c r="V50" s="1043"/>
      <c r="W50" s="1043"/>
      <c r="X50" s="1043"/>
      <c r="Y50" s="1043"/>
      <c r="Z50" s="1043"/>
      <c r="AA50" s="1043"/>
      <c r="AB50" s="1043"/>
      <c r="AC50" s="1043"/>
      <c r="AD50" s="1043"/>
      <c r="AE50" s="1043"/>
      <c r="AF50" s="1043"/>
      <c r="AG50" s="1043"/>
      <c r="AH50" s="1043"/>
      <c r="AI50" s="1043"/>
      <c r="AJ50" s="1043"/>
      <c r="AK50" s="1043"/>
      <c r="AL50" s="1043"/>
      <c r="AM50" s="1043"/>
      <c r="AN50" s="1043"/>
      <c r="AO50" s="1043"/>
      <c r="AP50" s="1043"/>
      <c r="AQ50" s="1043"/>
      <c r="AR50" s="1043"/>
      <c r="AS50" s="1043"/>
      <c r="AT50" s="1043"/>
      <c r="AU50" s="1043"/>
      <c r="AV50" s="1043"/>
      <c r="AW50" s="1043"/>
      <c r="AX50" s="1043"/>
      <c r="AY50" s="1043"/>
      <c r="AZ50" s="1043"/>
      <c r="BA50" s="1043"/>
      <c r="BB50" s="1043"/>
      <c r="BC50" s="1043"/>
      <c r="BD50" s="1043"/>
      <c r="BE50" s="1043"/>
      <c r="BF50" s="1043"/>
      <c r="BG50" s="1043"/>
      <c r="BH50" s="1043"/>
      <c r="BI50" s="1043"/>
      <c r="BJ50" s="1039"/>
      <c r="BK50" s="1039"/>
      <c r="BL50" s="1039"/>
      <c r="BM50" s="1039"/>
      <c r="BN50" s="1039"/>
      <c r="BO50" s="1039"/>
      <c r="BP50" s="1039"/>
      <c r="BQ50" s="1039"/>
      <c r="BR50" s="1039"/>
      <c r="BS50" s="1039"/>
      <c r="BT50" s="1039"/>
      <c r="BU50" s="1039"/>
      <c r="BV50" s="1043"/>
      <c r="BW50" s="1126"/>
      <c r="BX50" s="978"/>
      <c r="BY50" s="978"/>
      <c r="BZ50" s="978"/>
      <c r="CA50" s="978"/>
      <c r="CB50" s="978"/>
      <c r="CC50" s="978"/>
      <c r="CD50" s="177"/>
      <c r="CE50" s="978"/>
      <c r="CF50" s="1126"/>
      <c r="CG50" s="978"/>
      <c r="CH50" s="1013"/>
      <c r="CI50" s="1120"/>
      <c r="CJ50" s="1126"/>
      <c r="CK50" s="978"/>
      <c r="CL50" s="978"/>
      <c r="CM50" s="978"/>
      <c r="CN50" s="978"/>
      <c r="CO50" s="978"/>
      <c r="CP50" s="978"/>
      <c r="CQ50" s="978"/>
      <c r="CR50" s="978"/>
      <c r="CS50" s="978"/>
      <c r="CT50" s="978"/>
      <c r="CU50" s="981"/>
      <c r="CV50" s="1018"/>
      <c r="CW50" s="1126"/>
      <c r="CX50" s="978"/>
      <c r="CY50" s="978"/>
      <c r="CZ50" s="978"/>
      <c r="DA50" s="978"/>
      <c r="DB50" s="978"/>
      <c r="DC50" s="978"/>
      <c r="DD50" s="978"/>
      <c r="DE50" s="978"/>
      <c r="DF50" s="978"/>
      <c r="DG50" s="978"/>
      <c r="DH50" s="981"/>
      <c r="DI50" s="1018"/>
      <c r="DJ50" s="973"/>
      <c r="DK50" s="215"/>
    </row>
    <row r="51" spans="1:115" ht="15" customHeight="1" x14ac:dyDescent="0.25">
      <c r="A51" s="1048">
        <v>8</v>
      </c>
      <c r="B51" s="1105" t="s">
        <v>361</v>
      </c>
      <c r="C51" s="1069" t="s">
        <v>233</v>
      </c>
      <c r="D51" s="1085" t="s">
        <v>356</v>
      </c>
      <c r="E51" s="237" t="s">
        <v>234</v>
      </c>
      <c r="F51" s="149">
        <v>30</v>
      </c>
      <c r="G51" s="1071">
        <f>F51+F52+F53+F54+F55+F56+F57+F59+F58</f>
        <v>270</v>
      </c>
      <c r="H51" s="194"/>
      <c r="I51" s="1037">
        <v>15</v>
      </c>
      <c r="J51" s="1043"/>
      <c r="K51" s="1043"/>
      <c r="L51" s="1043"/>
      <c r="M51" s="1043"/>
      <c r="N51" s="1043"/>
      <c r="O51" s="1043"/>
      <c r="P51" s="1043"/>
      <c r="Q51" s="1043"/>
      <c r="R51" s="1043"/>
      <c r="S51" s="1043"/>
      <c r="T51" s="1043"/>
      <c r="U51" s="1043"/>
      <c r="V51" s="1043">
        <f>SUM(J51:U59)</f>
        <v>0</v>
      </c>
      <c r="W51" s="1043"/>
      <c r="X51" s="1043"/>
      <c r="Y51" s="1043"/>
      <c r="Z51" s="1043"/>
      <c r="AA51" s="1043"/>
      <c r="AB51" s="1043"/>
      <c r="AC51" s="1043"/>
      <c r="AD51" s="1043"/>
      <c r="AE51" s="1043"/>
      <c r="AF51" s="1043"/>
      <c r="AG51" s="1043"/>
      <c r="AH51" s="1043"/>
      <c r="AI51" s="1043">
        <f>SUM(W51:AH51)</f>
        <v>0</v>
      </c>
      <c r="AJ51" s="1043"/>
      <c r="AK51" s="1043">
        <v>14</v>
      </c>
      <c r="AL51" s="1043"/>
      <c r="AM51" s="1043"/>
      <c r="AN51" s="1043"/>
      <c r="AO51" s="1043"/>
      <c r="AP51" s="1043"/>
      <c r="AQ51" s="1043"/>
      <c r="AR51" s="1043"/>
      <c r="AS51" s="1043"/>
      <c r="AT51" s="1043"/>
      <c r="AU51" s="1043"/>
      <c r="AV51" s="1043">
        <f>SUM(AJ51:AU51)</f>
        <v>14</v>
      </c>
      <c r="AW51" s="1043"/>
      <c r="AX51" s="1043">
        <v>1</v>
      </c>
      <c r="AY51" s="1043"/>
      <c r="AZ51" s="1043">
        <v>1</v>
      </c>
      <c r="BA51" s="1043"/>
      <c r="BB51" s="1043">
        <v>5</v>
      </c>
      <c r="BC51" s="1043"/>
      <c r="BD51" s="1043"/>
      <c r="BE51" s="1043"/>
      <c r="BF51" s="1043"/>
      <c r="BG51" s="1043"/>
      <c r="BH51" s="1043"/>
      <c r="BI51" s="1043">
        <f>SUM(AW51:BH51)</f>
        <v>7</v>
      </c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043">
        <f>SUM(BJ51:BU51)</f>
        <v>0</v>
      </c>
      <c r="BW51" s="178"/>
      <c r="BX51" s="175"/>
      <c r="BY51" s="976">
        <v>15</v>
      </c>
      <c r="BZ51" s="175"/>
      <c r="CA51" s="175"/>
      <c r="CB51" s="175"/>
      <c r="CC51" s="175"/>
      <c r="CD51" s="175"/>
      <c r="CE51" s="175"/>
      <c r="CF51" s="175"/>
      <c r="CG51" s="175"/>
      <c r="CH51" s="184"/>
      <c r="CI51" s="1018">
        <f>SUM(BW51:CH51)</f>
        <v>15</v>
      </c>
      <c r="CJ51" s="988"/>
      <c r="CK51" s="976"/>
      <c r="CL51" s="976"/>
      <c r="CM51" s="976"/>
      <c r="CN51" s="976"/>
      <c r="CO51" s="976"/>
      <c r="CP51" s="976">
        <v>14</v>
      </c>
      <c r="CQ51" s="976"/>
      <c r="CR51" s="976"/>
      <c r="CS51" s="976"/>
      <c r="CT51" s="976"/>
      <c r="CU51" s="979"/>
      <c r="CV51" s="1018">
        <f>SUM(CJ51:CU51)</f>
        <v>14</v>
      </c>
      <c r="CW51" s="988"/>
      <c r="CX51" s="976"/>
      <c r="CY51" s="976"/>
      <c r="CZ51" s="976"/>
      <c r="DA51" s="976"/>
      <c r="DB51" s="976"/>
      <c r="DC51" s="976"/>
      <c r="DD51" s="976"/>
      <c r="DE51" s="976"/>
      <c r="DF51" s="976"/>
      <c r="DG51" s="976"/>
      <c r="DH51" s="979"/>
      <c r="DI51" s="1018">
        <f>SUM(CW51:DH51)</f>
        <v>0</v>
      </c>
      <c r="DJ51" s="971">
        <f>I51+V51+AI51+AV51+BI51+BV51+CI51+CV51+DI51</f>
        <v>65</v>
      </c>
      <c r="DK51" s="230">
        <f>H55-DJ51</f>
        <v>205</v>
      </c>
    </row>
    <row r="52" spans="1:115" ht="15" customHeight="1" x14ac:dyDescent="0.25">
      <c r="A52" s="1048"/>
      <c r="B52" s="1105"/>
      <c r="C52" s="1069"/>
      <c r="D52" s="1070"/>
      <c r="E52" s="153" t="s">
        <v>235</v>
      </c>
      <c r="F52" s="150">
        <v>30</v>
      </c>
      <c r="G52" s="1072"/>
      <c r="H52" s="195"/>
      <c r="I52" s="1038"/>
      <c r="J52" s="1043"/>
      <c r="K52" s="1043"/>
      <c r="L52" s="1043"/>
      <c r="M52" s="1043"/>
      <c r="N52" s="1043"/>
      <c r="O52" s="1043"/>
      <c r="P52" s="1043"/>
      <c r="Q52" s="1043"/>
      <c r="R52" s="1043"/>
      <c r="S52" s="1043"/>
      <c r="T52" s="1043"/>
      <c r="U52" s="1043"/>
      <c r="V52" s="1043"/>
      <c r="W52" s="1043"/>
      <c r="X52" s="1043"/>
      <c r="Y52" s="1043"/>
      <c r="Z52" s="1043"/>
      <c r="AA52" s="1043"/>
      <c r="AB52" s="1043"/>
      <c r="AC52" s="1043"/>
      <c r="AD52" s="1043"/>
      <c r="AE52" s="1043"/>
      <c r="AF52" s="1043"/>
      <c r="AG52" s="1043"/>
      <c r="AH52" s="1043"/>
      <c r="AI52" s="1043"/>
      <c r="AJ52" s="1043"/>
      <c r="AK52" s="1043"/>
      <c r="AL52" s="1043"/>
      <c r="AM52" s="1043"/>
      <c r="AN52" s="1043"/>
      <c r="AO52" s="1043"/>
      <c r="AP52" s="1043"/>
      <c r="AQ52" s="1043"/>
      <c r="AR52" s="1043"/>
      <c r="AS52" s="1043"/>
      <c r="AT52" s="1043"/>
      <c r="AU52" s="1043"/>
      <c r="AV52" s="1043"/>
      <c r="AW52" s="1043"/>
      <c r="AX52" s="1043"/>
      <c r="AY52" s="1043"/>
      <c r="AZ52" s="1043"/>
      <c r="BA52" s="1043"/>
      <c r="BB52" s="1043"/>
      <c r="BC52" s="1043"/>
      <c r="BD52" s="1043"/>
      <c r="BE52" s="1043"/>
      <c r="BF52" s="1043"/>
      <c r="BG52" s="1043"/>
      <c r="BH52" s="1043"/>
      <c r="BI52" s="1043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043"/>
      <c r="BW52" s="179"/>
      <c r="BX52" s="176"/>
      <c r="BY52" s="977"/>
      <c r="BZ52" s="176"/>
      <c r="CA52" s="176"/>
      <c r="CB52" s="176"/>
      <c r="CC52" s="176"/>
      <c r="CD52" s="176"/>
      <c r="CE52" s="176"/>
      <c r="CF52" s="176"/>
      <c r="CG52" s="176"/>
      <c r="CH52" s="185"/>
      <c r="CI52" s="1018"/>
      <c r="CJ52" s="989"/>
      <c r="CK52" s="977"/>
      <c r="CL52" s="977"/>
      <c r="CM52" s="977"/>
      <c r="CN52" s="977"/>
      <c r="CO52" s="977"/>
      <c r="CP52" s="977"/>
      <c r="CQ52" s="977"/>
      <c r="CR52" s="977"/>
      <c r="CS52" s="977"/>
      <c r="CT52" s="977"/>
      <c r="CU52" s="980"/>
      <c r="CV52" s="1018"/>
      <c r="CW52" s="989"/>
      <c r="CX52" s="977"/>
      <c r="CY52" s="977"/>
      <c r="CZ52" s="977"/>
      <c r="DA52" s="977"/>
      <c r="DB52" s="977"/>
      <c r="DC52" s="977"/>
      <c r="DD52" s="977"/>
      <c r="DE52" s="977"/>
      <c r="DF52" s="977"/>
      <c r="DG52" s="977"/>
      <c r="DH52" s="980"/>
      <c r="DI52" s="1018"/>
      <c r="DJ52" s="972"/>
      <c r="DK52" s="214"/>
    </row>
    <row r="53" spans="1:115" ht="15" customHeight="1" x14ac:dyDescent="0.25">
      <c r="A53" s="1048"/>
      <c r="B53" s="1105"/>
      <c r="C53" s="1069"/>
      <c r="D53" s="1070"/>
      <c r="E53" s="238" t="s">
        <v>236</v>
      </c>
      <c r="F53" s="147">
        <v>30</v>
      </c>
      <c r="G53" s="1072"/>
      <c r="H53" s="195"/>
      <c r="I53" s="1038"/>
      <c r="J53" s="1043"/>
      <c r="K53" s="1043"/>
      <c r="L53" s="1043"/>
      <c r="M53" s="1043"/>
      <c r="N53" s="1043"/>
      <c r="O53" s="1043"/>
      <c r="P53" s="1043"/>
      <c r="Q53" s="1043"/>
      <c r="R53" s="1043"/>
      <c r="S53" s="1043"/>
      <c r="T53" s="1043"/>
      <c r="U53" s="1043"/>
      <c r="V53" s="1043"/>
      <c r="W53" s="1043"/>
      <c r="X53" s="1043"/>
      <c r="Y53" s="1043"/>
      <c r="Z53" s="1043"/>
      <c r="AA53" s="1043"/>
      <c r="AB53" s="1043"/>
      <c r="AC53" s="1043"/>
      <c r="AD53" s="1043"/>
      <c r="AE53" s="1043"/>
      <c r="AF53" s="1043"/>
      <c r="AG53" s="1043"/>
      <c r="AH53" s="1043"/>
      <c r="AI53" s="1043"/>
      <c r="AJ53" s="1043"/>
      <c r="AK53" s="1043"/>
      <c r="AL53" s="1043"/>
      <c r="AM53" s="1043"/>
      <c r="AN53" s="1043"/>
      <c r="AO53" s="1043"/>
      <c r="AP53" s="1043"/>
      <c r="AQ53" s="1043"/>
      <c r="AR53" s="1043"/>
      <c r="AS53" s="1043"/>
      <c r="AT53" s="1043"/>
      <c r="AU53" s="1043"/>
      <c r="AV53" s="1043"/>
      <c r="AW53" s="1043"/>
      <c r="AX53" s="1043"/>
      <c r="AY53" s="1043"/>
      <c r="AZ53" s="1043"/>
      <c r="BA53" s="1043"/>
      <c r="BB53" s="1043"/>
      <c r="BC53" s="1043"/>
      <c r="BD53" s="1043"/>
      <c r="BE53" s="1043"/>
      <c r="BF53" s="1043"/>
      <c r="BG53" s="1043"/>
      <c r="BH53" s="1043"/>
      <c r="BI53" s="1043"/>
      <c r="BJ53" s="139"/>
      <c r="BK53" s="139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043"/>
      <c r="BW53" s="179"/>
      <c r="BX53" s="176"/>
      <c r="BY53" s="977"/>
      <c r="BZ53" s="176"/>
      <c r="CA53" s="176"/>
      <c r="CB53" s="176"/>
      <c r="CC53" s="176"/>
      <c r="CD53" s="176"/>
      <c r="CE53" s="176"/>
      <c r="CF53" s="176"/>
      <c r="CG53" s="176"/>
      <c r="CH53" s="185"/>
      <c r="CI53" s="1018"/>
      <c r="CJ53" s="989"/>
      <c r="CK53" s="977"/>
      <c r="CL53" s="977"/>
      <c r="CM53" s="977"/>
      <c r="CN53" s="977"/>
      <c r="CO53" s="977"/>
      <c r="CP53" s="977"/>
      <c r="CQ53" s="977"/>
      <c r="CR53" s="977"/>
      <c r="CS53" s="977"/>
      <c r="CT53" s="977"/>
      <c r="CU53" s="980"/>
      <c r="CV53" s="1018"/>
      <c r="CW53" s="989"/>
      <c r="CX53" s="977"/>
      <c r="CY53" s="977"/>
      <c r="CZ53" s="977"/>
      <c r="DA53" s="977"/>
      <c r="DB53" s="977"/>
      <c r="DC53" s="977"/>
      <c r="DD53" s="977"/>
      <c r="DE53" s="977"/>
      <c r="DF53" s="977"/>
      <c r="DG53" s="977"/>
      <c r="DH53" s="980"/>
      <c r="DI53" s="1018"/>
      <c r="DJ53" s="972"/>
      <c r="DK53" s="214"/>
    </row>
    <row r="54" spans="1:115" ht="15" customHeight="1" x14ac:dyDescent="0.25">
      <c r="A54" s="1048"/>
      <c r="B54" s="1105"/>
      <c r="C54" s="1069"/>
      <c r="D54" s="1070"/>
      <c r="E54" s="238" t="s">
        <v>237</v>
      </c>
      <c r="F54" s="147">
        <v>30</v>
      </c>
      <c r="G54" s="1072"/>
      <c r="H54" s="195"/>
      <c r="I54" s="1038"/>
      <c r="J54" s="1043"/>
      <c r="K54" s="1043"/>
      <c r="L54" s="1043"/>
      <c r="M54" s="1043"/>
      <c r="N54" s="1043"/>
      <c r="O54" s="1043"/>
      <c r="P54" s="1043"/>
      <c r="Q54" s="1043"/>
      <c r="R54" s="1043"/>
      <c r="S54" s="1043"/>
      <c r="T54" s="1043"/>
      <c r="U54" s="1043"/>
      <c r="V54" s="1043"/>
      <c r="W54" s="1043"/>
      <c r="X54" s="1043"/>
      <c r="Y54" s="1043"/>
      <c r="Z54" s="1043"/>
      <c r="AA54" s="1043"/>
      <c r="AB54" s="1043"/>
      <c r="AC54" s="1043"/>
      <c r="AD54" s="1043"/>
      <c r="AE54" s="1043"/>
      <c r="AF54" s="1043"/>
      <c r="AG54" s="1043"/>
      <c r="AH54" s="1043"/>
      <c r="AI54" s="1043"/>
      <c r="AJ54" s="1043"/>
      <c r="AK54" s="1043"/>
      <c r="AL54" s="1043"/>
      <c r="AM54" s="1043"/>
      <c r="AN54" s="1043"/>
      <c r="AO54" s="1043"/>
      <c r="AP54" s="1043"/>
      <c r="AQ54" s="1043"/>
      <c r="AR54" s="1043"/>
      <c r="AS54" s="1043"/>
      <c r="AT54" s="1043"/>
      <c r="AU54" s="1043"/>
      <c r="AV54" s="1043"/>
      <c r="AW54" s="1043"/>
      <c r="AX54" s="1043"/>
      <c r="AY54" s="1043"/>
      <c r="AZ54" s="1043"/>
      <c r="BA54" s="1043"/>
      <c r="BB54" s="1043"/>
      <c r="BC54" s="1043"/>
      <c r="BD54" s="1043"/>
      <c r="BE54" s="1043"/>
      <c r="BF54" s="1043"/>
      <c r="BG54" s="1043"/>
      <c r="BH54" s="1043"/>
      <c r="BI54" s="1043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043"/>
      <c r="BW54" s="179"/>
      <c r="BX54" s="176"/>
      <c r="BY54" s="977"/>
      <c r="BZ54" s="176"/>
      <c r="CA54" s="176"/>
      <c r="CB54" s="176"/>
      <c r="CC54" s="176"/>
      <c r="CD54" s="176"/>
      <c r="CE54" s="176"/>
      <c r="CF54" s="176"/>
      <c r="CG54" s="176"/>
      <c r="CH54" s="185"/>
      <c r="CI54" s="1018"/>
      <c r="CJ54" s="989"/>
      <c r="CK54" s="977"/>
      <c r="CL54" s="977"/>
      <c r="CM54" s="977"/>
      <c r="CN54" s="977"/>
      <c r="CO54" s="977"/>
      <c r="CP54" s="977"/>
      <c r="CQ54" s="977"/>
      <c r="CR54" s="977"/>
      <c r="CS54" s="977"/>
      <c r="CT54" s="977"/>
      <c r="CU54" s="980"/>
      <c r="CV54" s="1018"/>
      <c r="CW54" s="989"/>
      <c r="CX54" s="977"/>
      <c r="CY54" s="977"/>
      <c r="CZ54" s="977"/>
      <c r="DA54" s="977"/>
      <c r="DB54" s="977"/>
      <c r="DC54" s="977"/>
      <c r="DD54" s="977"/>
      <c r="DE54" s="977"/>
      <c r="DF54" s="977"/>
      <c r="DG54" s="977"/>
      <c r="DH54" s="980"/>
      <c r="DI54" s="1018"/>
      <c r="DJ54" s="972"/>
      <c r="DK54" s="214"/>
    </row>
    <row r="55" spans="1:115" ht="15" customHeight="1" x14ac:dyDescent="0.25">
      <c r="A55" s="1048"/>
      <c r="B55" s="1105"/>
      <c r="C55" s="1069"/>
      <c r="D55" s="1070"/>
      <c r="E55" s="238" t="s">
        <v>238</v>
      </c>
      <c r="F55" s="147">
        <v>30</v>
      </c>
      <c r="G55" s="1072"/>
      <c r="H55" s="228">
        <f>ROUNDDOWN(($H$2-D51)/365,0)*30</f>
        <v>270</v>
      </c>
      <c r="I55" s="1038"/>
      <c r="J55" s="1043"/>
      <c r="K55" s="1043"/>
      <c r="L55" s="1043"/>
      <c r="M55" s="1043"/>
      <c r="N55" s="1043"/>
      <c r="O55" s="1043"/>
      <c r="P55" s="1043"/>
      <c r="Q55" s="1043"/>
      <c r="R55" s="1043"/>
      <c r="S55" s="1043"/>
      <c r="T55" s="1043"/>
      <c r="U55" s="1043"/>
      <c r="V55" s="1043"/>
      <c r="W55" s="1043"/>
      <c r="X55" s="1043"/>
      <c r="Y55" s="1043"/>
      <c r="Z55" s="1043"/>
      <c r="AA55" s="1043"/>
      <c r="AB55" s="1043"/>
      <c r="AC55" s="1043"/>
      <c r="AD55" s="1043"/>
      <c r="AE55" s="1043"/>
      <c r="AF55" s="1043"/>
      <c r="AG55" s="1043"/>
      <c r="AH55" s="1043"/>
      <c r="AI55" s="1043"/>
      <c r="AJ55" s="1043"/>
      <c r="AK55" s="1043"/>
      <c r="AL55" s="1043"/>
      <c r="AM55" s="1043"/>
      <c r="AN55" s="1043"/>
      <c r="AO55" s="1043"/>
      <c r="AP55" s="1043"/>
      <c r="AQ55" s="1043"/>
      <c r="AR55" s="1043"/>
      <c r="AS55" s="1043"/>
      <c r="AT55" s="1043"/>
      <c r="AU55" s="1043"/>
      <c r="AV55" s="1043"/>
      <c r="AW55" s="1043"/>
      <c r="AX55" s="1043"/>
      <c r="AY55" s="1043"/>
      <c r="AZ55" s="1043"/>
      <c r="BA55" s="1043"/>
      <c r="BB55" s="1043"/>
      <c r="BC55" s="1043"/>
      <c r="BD55" s="1043"/>
      <c r="BE55" s="1043"/>
      <c r="BF55" s="1043"/>
      <c r="BG55" s="1043"/>
      <c r="BH55" s="1043"/>
      <c r="BI55" s="1043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39"/>
      <c r="BU55" s="139"/>
      <c r="BV55" s="1043"/>
      <c r="BW55" s="179"/>
      <c r="BX55" s="176"/>
      <c r="BY55" s="977"/>
      <c r="BZ55" s="176"/>
      <c r="CA55" s="176"/>
      <c r="CB55" s="176"/>
      <c r="CC55" s="176"/>
      <c r="CD55" s="176"/>
      <c r="CE55" s="176"/>
      <c r="CF55" s="176"/>
      <c r="CG55" s="176"/>
      <c r="CH55" s="185"/>
      <c r="CI55" s="1018"/>
      <c r="CJ55" s="989"/>
      <c r="CK55" s="977"/>
      <c r="CL55" s="977"/>
      <c r="CM55" s="977"/>
      <c r="CN55" s="977"/>
      <c r="CO55" s="977"/>
      <c r="CP55" s="977"/>
      <c r="CQ55" s="977"/>
      <c r="CR55" s="977"/>
      <c r="CS55" s="977"/>
      <c r="CT55" s="977"/>
      <c r="CU55" s="980"/>
      <c r="CV55" s="1018"/>
      <c r="CW55" s="989"/>
      <c r="CX55" s="977"/>
      <c r="CY55" s="977"/>
      <c r="CZ55" s="977"/>
      <c r="DA55" s="977"/>
      <c r="DB55" s="977"/>
      <c r="DC55" s="977"/>
      <c r="DD55" s="977"/>
      <c r="DE55" s="977"/>
      <c r="DF55" s="977"/>
      <c r="DG55" s="977"/>
      <c r="DH55" s="980"/>
      <c r="DI55" s="1018"/>
      <c r="DJ55" s="972"/>
      <c r="DK55" s="214"/>
    </row>
    <row r="56" spans="1:115" ht="15" customHeight="1" x14ac:dyDescent="0.25">
      <c r="A56" s="1048"/>
      <c r="B56" s="1105"/>
      <c r="C56" s="1069"/>
      <c r="D56" s="1070"/>
      <c r="E56" s="238" t="s">
        <v>239</v>
      </c>
      <c r="F56" s="147">
        <v>30</v>
      </c>
      <c r="G56" s="1072"/>
      <c r="H56" s="195"/>
      <c r="I56" s="1038"/>
      <c r="J56" s="1043"/>
      <c r="K56" s="1043"/>
      <c r="L56" s="1043"/>
      <c r="M56" s="1043"/>
      <c r="N56" s="1043"/>
      <c r="O56" s="1043"/>
      <c r="P56" s="1043"/>
      <c r="Q56" s="1043"/>
      <c r="R56" s="1043"/>
      <c r="S56" s="1043"/>
      <c r="T56" s="1043"/>
      <c r="U56" s="1043"/>
      <c r="V56" s="1043"/>
      <c r="W56" s="1043"/>
      <c r="X56" s="1043"/>
      <c r="Y56" s="1043"/>
      <c r="Z56" s="1043"/>
      <c r="AA56" s="1043"/>
      <c r="AB56" s="1043"/>
      <c r="AC56" s="1043"/>
      <c r="AD56" s="1043"/>
      <c r="AE56" s="1043"/>
      <c r="AF56" s="1043"/>
      <c r="AG56" s="1043"/>
      <c r="AH56" s="1043"/>
      <c r="AI56" s="1043"/>
      <c r="AJ56" s="1043"/>
      <c r="AK56" s="1043"/>
      <c r="AL56" s="1043"/>
      <c r="AM56" s="1043"/>
      <c r="AN56" s="1043"/>
      <c r="AO56" s="1043"/>
      <c r="AP56" s="1043"/>
      <c r="AQ56" s="1043"/>
      <c r="AR56" s="1043"/>
      <c r="AS56" s="1043"/>
      <c r="AT56" s="1043"/>
      <c r="AU56" s="1043"/>
      <c r="AV56" s="1043"/>
      <c r="AW56" s="1043"/>
      <c r="AX56" s="1043"/>
      <c r="AY56" s="1043"/>
      <c r="AZ56" s="1043"/>
      <c r="BA56" s="1043"/>
      <c r="BB56" s="1043"/>
      <c r="BC56" s="1043"/>
      <c r="BD56" s="1043"/>
      <c r="BE56" s="1043"/>
      <c r="BF56" s="1043"/>
      <c r="BG56" s="1043"/>
      <c r="BH56" s="1043"/>
      <c r="BI56" s="1043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043"/>
      <c r="BW56" s="179"/>
      <c r="BX56" s="176"/>
      <c r="BY56" s="977"/>
      <c r="BZ56" s="176"/>
      <c r="CA56" s="176"/>
      <c r="CB56" s="176"/>
      <c r="CC56" s="176"/>
      <c r="CD56" s="176"/>
      <c r="CE56" s="176"/>
      <c r="CF56" s="176"/>
      <c r="CG56" s="176"/>
      <c r="CH56" s="185"/>
      <c r="CI56" s="1018"/>
      <c r="CJ56" s="989"/>
      <c r="CK56" s="977"/>
      <c r="CL56" s="977"/>
      <c r="CM56" s="977"/>
      <c r="CN56" s="977"/>
      <c r="CO56" s="977"/>
      <c r="CP56" s="977"/>
      <c r="CQ56" s="977"/>
      <c r="CR56" s="977"/>
      <c r="CS56" s="977"/>
      <c r="CT56" s="977"/>
      <c r="CU56" s="980"/>
      <c r="CV56" s="1018"/>
      <c r="CW56" s="989"/>
      <c r="CX56" s="977"/>
      <c r="CY56" s="977"/>
      <c r="CZ56" s="977"/>
      <c r="DA56" s="977"/>
      <c r="DB56" s="977"/>
      <c r="DC56" s="977"/>
      <c r="DD56" s="977"/>
      <c r="DE56" s="977"/>
      <c r="DF56" s="977"/>
      <c r="DG56" s="977"/>
      <c r="DH56" s="980"/>
      <c r="DI56" s="1018"/>
      <c r="DJ56" s="972"/>
      <c r="DK56" s="214"/>
    </row>
    <row r="57" spans="1:115" ht="15" customHeight="1" x14ac:dyDescent="0.25">
      <c r="A57" s="1048"/>
      <c r="B57" s="1105"/>
      <c r="C57" s="1069"/>
      <c r="D57" s="1070"/>
      <c r="E57" s="238" t="s">
        <v>240</v>
      </c>
      <c r="F57" s="147">
        <v>30</v>
      </c>
      <c r="G57" s="1072"/>
      <c r="H57" s="195"/>
      <c r="I57" s="1038"/>
      <c r="J57" s="1043"/>
      <c r="K57" s="1043"/>
      <c r="L57" s="1043"/>
      <c r="M57" s="1043"/>
      <c r="N57" s="1043"/>
      <c r="O57" s="1043"/>
      <c r="P57" s="1043"/>
      <c r="Q57" s="1043"/>
      <c r="R57" s="1043"/>
      <c r="S57" s="1043"/>
      <c r="T57" s="1043"/>
      <c r="U57" s="1043"/>
      <c r="V57" s="1043"/>
      <c r="W57" s="1043"/>
      <c r="X57" s="1043"/>
      <c r="Y57" s="1043"/>
      <c r="Z57" s="1043"/>
      <c r="AA57" s="1043"/>
      <c r="AB57" s="1043"/>
      <c r="AC57" s="1043"/>
      <c r="AD57" s="1043"/>
      <c r="AE57" s="1043"/>
      <c r="AF57" s="1043"/>
      <c r="AG57" s="1043"/>
      <c r="AH57" s="1043"/>
      <c r="AI57" s="1043"/>
      <c r="AJ57" s="1043"/>
      <c r="AK57" s="1043"/>
      <c r="AL57" s="1043"/>
      <c r="AM57" s="1043"/>
      <c r="AN57" s="1043"/>
      <c r="AO57" s="1043"/>
      <c r="AP57" s="1043"/>
      <c r="AQ57" s="1043"/>
      <c r="AR57" s="1043"/>
      <c r="AS57" s="1043"/>
      <c r="AT57" s="1043"/>
      <c r="AU57" s="1043"/>
      <c r="AV57" s="1043"/>
      <c r="AW57" s="1043"/>
      <c r="AX57" s="1043"/>
      <c r="AY57" s="1043"/>
      <c r="AZ57" s="1043"/>
      <c r="BA57" s="1043"/>
      <c r="BB57" s="1043"/>
      <c r="BC57" s="1043"/>
      <c r="BD57" s="1043"/>
      <c r="BE57" s="1043"/>
      <c r="BF57" s="1043"/>
      <c r="BG57" s="1043"/>
      <c r="BH57" s="1043"/>
      <c r="BI57" s="1043"/>
      <c r="BJ57" s="139"/>
      <c r="BK57" s="139"/>
      <c r="BL57" s="139"/>
      <c r="BM57" s="139"/>
      <c r="BN57" s="139"/>
      <c r="BO57" s="139"/>
      <c r="BP57" s="139"/>
      <c r="BQ57" s="139"/>
      <c r="BR57" s="139"/>
      <c r="BS57" s="139"/>
      <c r="BT57" s="139"/>
      <c r="BU57" s="139"/>
      <c r="BV57" s="1043"/>
      <c r="BW57" s="179"/>
      <c r="BX57" s="176"/>
      <c r="BY57" s="977"/>
      <c r="BZ57" s="176"/>
      <c r="CA57" s="176"/>
      <c r="CB57" s="176"/>
      <c r="CC57" s="176"/>
      <c r="CD57" s="176"/>
      <c r="CE57" s="176"/>
      <c r="CF57" s="176"/>
      <c r="CG57" s="176"/>
      <c r="CH57" s="185"/>
      <c r="CI57" s="1018"/>
      <c r="CJ57" s="989"/>
      <c r="CK57" s="977"/>
      <c r="CL57" s="977"/>
      <c r="CM57" s="977"/>
      <c r="CN57" s="977"/>
      <c r="CO57" s="977"/>
      <c r="CP57" s="977"/>
      <c r="CQ57" s="977"/>
      <c r="CR57" s="977"/>
      <c r="CS57" s="977"/>
      <c r="CT57" s="977"/>
      <c r="CU57" s="980"/>
      <c r="CV57" s="1018"/>
      <c r="CW57" s="989"/>
      <c r="CX57" s="977"/>
      <c r="CY57" s="977"/>
      <c r="CZ57" s="977"/>
      <c r="DA57" s="977"/>
      <c r="DB57" s="977"/>
      <c r="DC57" s="977"/>
      <c r="DD57" s="977"/>
      <c r="DE57" s="977"/>
      <c r="DF57" s="977"/>
      <c r="DG57" s="977"/>
      <c r="DH57" s="980"/>
      <c r="DI57" s="1018"/>
      <c r="DJ57" s="972"/>
      <c r="DK57" s="214"/>
    </row>
    <row r="58" spans="1:115" ht="15" customHeight="1" x14ac:dyDescent="0.25">
      <c r="A58" s="1048"/>
      <c r="B58" s="1105"/>
      <c r="C58" s="1069"/>
      <c r="D58" s="1070"/>
      <c r="E58" s="238" t="s">
        <v>241</v>
      </c>
      <c r="F58" s="147">
        <v>30</v>
      </c>
      <c r="G58" s="1072"/>
      <c r="H58" s="195"/>
      <c r="I58" s="1038"/>
      <c r="J58" s="1043"/>
      <c r="K58" s="1043"/>
      <c r="L58" s="1043"/>
      <c r="M58" s="1043"/>
      <c r="N58" s="1043"/>
      <c r="O58" s="1043"/>
      <c r="P58" s="1043"/>
      <c r="Q58" s="1043"/>
      <c r="R58" s="1043"/>
      <c r="S58" s="1043"/>
      <c r="T58" s="1043"/>
      <c r="U58" s="1043"/>
      <c r="V58" s="1043"/>
      <c r="W58" s="1043"/>
      <c r="X58" s="1043"/>
      <c r="Y58" s="1043"/>
      <c r="Z58" s="1043"/>
      <c r="AA58" s="1043"/>
      <c r="AB58" s="1043"/>
      <c r="AC58" s="1043"/>
      <c r="AD58" s="1043"/>
      <c r="AE58" s="1043"/>
      <c r="AF58" s="1043"/>
      <c r="AG58" s="1043"/>
      <c r="AH58" s="1043"/>
      <c r="AI58" s="1043"/>
      <c r="AJ58" s="1043"/>
      <c r="AK58" s="1043"/>
      <c r="AL58" s="1043"/>
      <c r="AM58" s="1043"/>
      <c r="AN58" s="1043"/>
      <c r="AO58" s="1043"/>
      <c r="AP58" s="1043"/>
      <c r="AQ58" s="1043"/>
      <c r="AR58" s="1043"/>
      <c r="AS58" s="1043"/>
      <c r="AT58" s="1043"/>
      <c r="AU58" s="1043"/>
      <c r="AV58" s="1043"/>
      <c r="AW58" s="1043"/>
      <c r="AX58" s="1043"/>
      <c r="AY58" s="1043"/>
      <c r="AZ58" s="1043"/>
      <c r="BA58" s="1043"/>
      <c r="BB58" s="1043"/>
      <c r="BC58" s="1043"/>
      <c r="BD58" s="1043"/>
      <c r="BE58" s="1043"/>
      <c r="BF58" s="1043"/>
      <c r="BG58" s="1043"/>
      <c r="BH58" s="1043"/>
      <c r="BI58" s="1043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043"/>
      <c r="BW58" s="180"/>
      <c r="BX58" s="177"/>
      <c r="BY58" s="977"/>
      <c r="BZ58" s="177"/>
      <c r="CA58" s="177"/>
      <c r="CB58" s="177"/>
      <c r="CC58" s="177"/>
      <c r="CD58" s="177"/>
      <c r="CE58" s="177"/>
      <c r="CF58" s="177"/>
      <c r="CG58" s="177"/>
      <c r="CH58" s="186"/>
      <c r="CI58" s="1018"/>
      <c r="CJ58" s="989"/>
      <c r="CK58" s="977"/>
      <c r="CL58" s="977"/>
      <c r="CM58" s="977"/>
      <c r="CN58" s="977"/>
      <c r="CO58" s="977"/>
      <c r="CP58" s="977"/>
      <c r="CQ58" s="977"/>
      <c r="CR58" s="977"/>
      <c r="CS58" s="977"/>
      <c r="CT58" s="977"/>
      <c r="CU58" s="980"/>
      <c r="CV58" s="1018"/>
      <c r="CW58" s="989"/>
      <c r="CX58" s="977"/>
      <c r="CY58" s="977"/>
      <c r="CZ58" s="977"/>
      <c r="DA58" s="977"/>
      <c r="DB58" s="977"/>
      <c r="DC58" s="977"/>
      <c r="DD58" s="977"/>
      <c r="DE58" s="977"/>
      <c r="DF58" s="977"/>
      <c r="DG58" s="977"/>
      <c r="DH58" s="980"/>
      <c r="DI58" s="1018"/>
      <c r="DJ58" s="972"/>
      <c r="DK58" s="214"/>
    </row>
    <row r="59" spans="1:115" ht="15" customHeight="1" x14ac:dyDescent="0.25">
      <c r="A59" s="1048"/>
      <c r="B59" s="1105"/>
      <c r="C59" s="1069"/>
      <c r="D59" s="1070"/>
      <c r="E59" s="241" t="s">
        <v>242</v>
      </c>
      <c r="F59" s="147">
        <v>30</v>
      </c>
      <c r="G59" s="1073"/>
      <c r="H59" s="196"/>
      <c r="I59" s="1039"/>
      <c r="J59" s="1043"/>
      <c r="K59" s="1043"/>
      <c r="L59" s="1043"/>
      <c r="M59" s="1043"/>
      <c r="N59" s="1043"/>
      <c r="O59" s="1043"/>
      <c r="P59" s="1043"/>
      <c r="Q59" s="1043"/>
      <c r="R59" s="1043"/>
      <c r="S59" s="1043"/>
      <c r="T59" s="1043"/>
      <c r="U59" s="1043"/>
      <c r="V59" s="1043"/>
      <c r="W59" s="1043"/>
      <c r="X59" s="1043"/>
      <c r="Y59" s="1043"/>
      <c r="Z59" s="1043"/>
      <c r="AA59" s="1043"/>
      <c r="AB59" s="1043"/>
      <c r="AC59" s="1043"/>
      <c r="AD59" s="1043"/>
      <c r="AE59" s="1043"/>
      <c r="AF59" s="1043"/>
      <c r="AG59" s="1043"/>
      <c r="AH59" s="1043"/>
      <c r="AI59" s="1043"/>
      <c r="AJ59" s="1043"/>
      <c r="AK59" s="1043"/>
      <c r="AL59" s="1043"/>
      <c r="AM59" s="1043"/>
      <c r="AN59" s="1043"/>
      <c r="AO59" s="1043"/>
      <c r="AP59" s="1043"/>
      <c r="AQ59" s="1043"/>
      <c r="AR59" s="1043"/>
      <c r="AS59" s="1043"/>
      <c r="AT59" s="1043"/>
      <c r="AU59" s="1043"/>
      <c r="AV59" s="1043"/>
      <c r="AW59" s="1043"/>
      <c r="AX59" s="1043"/>
      <c r="AY59" s="1043"/>
      <c r="AZ59" s="1043"/>
      <c r="BA59" s="1043"/>
      <c r="BB59" s="1043"/>
      <c r="BC59" s="1043"/>
      <c r="BD59" s="1043"/>
      <c r="BE59" s="1043"/>
      <c r="BF59" s="1043"/>
      <c r="BG59" s="1043"/>
      <c r="BH59" s="1043"/>
      <c r="BI59" s="1043"/>
      <c r="BJ59" s="140"/>
      <c r="BK59" s="140"/>
      <c r="BL59" s="140"/>
      <c r="BM59" s="140"/>
      <c r="BN59" s="140"/>
      <c r="BO59" s="140"/>
      <c r="BP59" s="140"/>
      <c r="BQ59" s="140"/>
      <c r="BR59" s="140"/>
      <c r="BS59" s="140"/>
      <c r="BT59" s="140"/>
      <c r="BU59" s="140"/>
      <c r="BV59" s="1043"/>
      <c r="BW59" s="180"/>
      <c r="BX59" s="177"/>
      <c r="BY59" s="978"/>
      <c r="BZ59" s="177"/>
      <c r="CA59" s="177"/>
      <c r="CB59" s="177"/>
      <c r="CC59" s="177"/>
      <c r="CD59" s="177"/>
      <c r="CE59" s="177"/>
      <c r="CF59" s="177"/>
      <c r="CG59" s="177"/>
      <c r="CH59" s="186"/>
      <c r="CI59" s="1018"/>
      <c r="CJ59" s="990"/>
      <c r="CK59" s="978"/>
      <c r="CL59" s="978"/>
      <c r="CM59" s="978"/>
      <c r="CN59" s="978"/>
      <c r="CO59" s="978"/>
      <c r="CP59" s="978"/>
      <c r="CQ59" s="978"/>
      <c r="CR59" s="978"/>
      <c r="CS59" s="978"/>
      <c r="CT59" s="978"/>
      <c r="CU59" s="981"/>
      <c r="CV59" s="1018"/>
      <c r="CW59" s="990"/>
      <c r="CX59" s="978"/>
      <c r="CY59" s="978"/>
      <c r="CZ59" s="978"/>
      <c r="DA59" s="978"/>
      <c r="DB59" s="978"/>
      <c r="DC59" s="978"/>
      <c r="DD59" s="978"/>
      <c r="DE59" s="978"/>
      <c r="DF59" s="978"/>
      <c r="DG59" s="978"/>
      <c r="DH59" s="981"/>
      <c r="DI59" s="1018"/>
      <c r="DJ59" s="973"/>
      <c r="DK59" s="215"/>
    </row>
    <row r="60" spans="1:115" ht="15" customHeight="1" x14ac:dyDescent="0.25">
      <c r="A60" s="1048">
        <v>9</v>
      </c>
      <c r="B60" s="1105" t="s">
        <v>360</v>
      </c>
      <c r="C60" s="1069" t="s">
        <v>233</v>
      </c>
      <c r="D60" s="1070" t="s">
        <v>357</v>
      </c>
      <c r="E60" s="154" t="s">
        <v>243</v>
      </c>
      <c r="F60" s="134">
        <v>30</v>
      </c>
      <c r="G60" s="1071">
        <f>F60+F61+F62+F63+F64+F65+F66+F68+F67</f>
        <v>270</v>
      </c>
      <c r="H60" s="194"/>
      <c r="I60" s="1037"/>
      <c r="J60" s="1043"/>
      <c r="K60" s="1043"/>
      <c r="L60" s="1043"/>
      <c r="M60" s="1043"/>
      <c r="N60" s="1043"/>
      <c r="O60" s="1043"/>
      <c r="P60" s="1043"/>
      <c r="Q60" s="1043"/>
      <c r="R60" s="1043"/>
      <c r="S60" s="1043"/>
      <c r="T60" s="1043"/>
      <c r="U60" s="1043"/>
      <c r="V60" s="1043">
        <f>SUM(J60:U68)</f>
        <v>0</v>
      </c>
      <c r="W60" s="1043"/>
      <c r="X60" s="1043"/>
      <c r="Y60" s="1043"/>
      <c r="Z60" s="1043"/>
      <c r="AA60" s="1043"/>
      <c r="AB60" s="1043"/>
      <c r="AC60" s="1043"/>
      <c r="AD60" s="1043"/>
      <c r="AE60" s="1043"/>
      <c r="AF60" s="1043"/>
      <c r="AG60" s="1043"/>
      <c r="AH60" s="1043"/>
      <c r="AI60" s="1043">
        <f>SUM(W60:AH60)</f>
        <v>0</v>
      </c>
      <c r="AJ60" s="1043"/>
      <c r="AK60" s="1043"/>
      <c r="AL60" s="1043"/>
      <c r="AM60" s="1043"/>
      <c r="AN60" s="1043"/>
      <c r="AO60" s="1043">
        <v>6</v>
      </c>
      <c r="AP60" s="1043"/>
      <c r="AQ60" s="1043"/>
      <c r="AR60" s="1043"/>
      <c r="AS60" s="1043"/>
      <c r="AT60" s="1043"/>
      <c r="AU60" s="1043"/>
      <c r="AV60" s="1043">
        <f>SUM(AJ60:AU60)</f>
        <v>6</v>
      </c>
      <c r="AW60" s="1043"/>
      <c r="AX60" s="1043"/>
      <c r="AY60" s="1043"/>
      <c r="AZ60" s="1043"/>
      <c r="BA60" s="1043"/>
      <c r="BB60" s="1043"/>
      <c r="BC60" s="1043"/>
      <c r="BD60" s="1043"/>
      <c r="BE60" s="1043"/>
      <c r="BF60" s="1043"/>
      <c r="BG60" s="1043"/>
      <c r="BH60" s="1043"/>
      <c r="BI60" s="1043">
        <f>SUM(AW60:BH60)</f>
        <v>0</v>
      </c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043">
        <f>SUM(BJ60:BU60)</f>
        <v>0</v>
      </c>
      <c r="BW60" s="178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84"/>
      <c r="CI60" s="1018">
        <f>SUM(BW60:CH60)</f>
        <v>0</v>
      </c>
      <c r="CJ60" s="178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84"/>
      <c r="CV60" s="1018">
        <f>SUM(CJ60:CU60)</f>
        <v>0</v>
      </c>
      <c r="CW60" s="988"/>
      <c r="CX60" s="976"/>
      <c r="CY60" s="976"/>
      <c r="CZ60" s="976"/>
      <c r="DA60" s="976"/>
      <c r="DB60" s="976"/>
      <c r="DC60" s="976"/>
      <c r="DD60" s="976"/>
      <c r="DE60" s="976"/>
      <c r="DF60" s="976"/>
      <c r="DG60" s="976"/>
      <c r="DH60" s="979"/>
      <c r="DI60" s="1018">
        <f>SUM(CW60:DH60)</f>
        <v>0</v>
      </c>
      <c r="DJ60" s="1123">
        <f>SUM(AV60,BI60)</f>
        <v>6</v>
      </c>
      <c r="DK60" s="230">
        <f>H63-DJ60</f>
        <v>264</v>
      </c>
    </row>
    <row r="61" spans="1:115" ht="15" customHeight="1" x14ac:dyDescent="0.25">
      <c r="A61" s="1048"/>
      <c r="B61" s="1105"/>
      <c r="C61" s="1069"/>
      <c r="D61" s="1070"/>
      <c r="E61" s="154" t="s">
        <v>244</v>
      </c>
      <c r="F61" s="147">
        <v>30</v>
      </c>
      <c r="G61" s="1072"/>
      <c r="H61" s="195"/>
      <c r="I61" s="1038"/>
      <c r="J61" s="1043"/>
      <c r="K61" s="1043"/>
      <c r="L61" s="1043"/>
      <c r="M61" s="1043"/>
      <c r="N61" s="1043"/>
      <c r="O61" s="1043"/>
      <c r="P61" s="1043"/>
      <c r="Q61" s="1043"/>
      <c r="R61" s="1043"/>
      <c r="S61" s="1043"/>
      <c r="T61" s="1043"/>
      <c r="U61" s="1043"/>
      <c r="V61" s="1043"/>
      <c r="W61" s="1043"/>
      <c r="X61" s="1043"/>
      <c r="Y61" s="1043"/>
      <c r="Z61" s="1043"/>
      <c r="AA61" s="1043"/>
      <c r="AB61" s="1043"/>
      <c r="AC61" s="1043"/>
      <c r="AD61" s="1043"/>
      <c r="AE61" s="1043"/>
      <c r="AF61" s="1043"/>
      <c r="AG61" s="1043"/>
      <c r="AH61" s="1043"/>
      <c r="AI61" s="1043"/>
      <c r="AJ61" s="1043"/>
      <c r="AK61" s="1043"/>
      <c r="AL61" s="1043"/>
      <c r="AM61" s="1043"/>
      <c r="AN61" s="1043"/>
      <c r="AO61" s="1043"/>
      <c r="AP61" s="1043"/>
      <c r="AQ61" s="1043"/>
      <c r="AR61" s="1043"/>
      <c r="AS61" s="1043"/>
      <c r="AT61" s="1043"/>
      <c r="AU61" s="1043"/>
      <c r="AV61" s="1043"/>
      <c r="AW61" s="1043"/>
      <c r="AX61" s="1043"/>
      <c r="AY61" s="1043"/>
      <c r="AZ61" s="1043"/>
      <c r="BA61" s="1043"/>
      <c r="BB61" s="1043"/>
      <c r="BC61" s="1043"/>
      <c r="BD61" s="1043"/>
      <c r="BE61" s="1043"/>
      <c r="BF61" s="1043"/>
      <c r="BG61" s="1043"/>
      <c r="BH61" s="1043"/>
      <c r="BI61" s="1043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043"/>
      <c r="BW61" s="179"/>
      <c r="BX61" s="176"/>
      <c r="BY61" s="176"/>
      <c r="BZ61" s="176"/>
      <c r="CA61" s="176"/>
      <c r="CB61" s="176"/>
      <c r="CC61" s="176"/>
      <c r="CD61" s="176"/>
      <c r="CE61" s="176"/>
      <c r="CF61" s="176"/>
      <c r="CG61" s="176"/>
      <c r="CH61" s="185"/>
      <c r="CI61" s="1018"/>
      <c r="CJ61" s="179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85"/>
      <c r="CV61" s="1018"/>
      <c r="CW61" s="989"/>
      <c r="CX61" s="977"/>
      <c r="CY61" s="977"/>
      <c r="CZ61" s="977"/>
      <c r="DA61" s="977"/>
      <c r="DB61" s="977"/>
      <c r="DC61" s="977"/>
      <c r="DD61" s="977"/>
      <c r="DE61" s="977"/>
      <c r="DF61" s="977"/>
      <c r="DG61" s="977"/>
      <c r="DH61" s="980"/>
      <c r="DI61" s="1018"/>
      <c r="DJ61" s="972"/>
      <c r="DK61" s="214"/>
    </row>
    <row r="62" spans="1:115" ht="15" customHeight="1" x14ac:dyDescent="0.25">
      <c r="A62" s="1048"/>
      <c r="B62" s="1105"/>
      <c r="C62" s="1069"/>
      <c r="D62" s="1070"/>
      <c r="E62" s="154" t="s">
        <v>245</v>
      </c>
      <c r="F62" s="147">
        <v>30</v>
      </c>
      <c r="G62" s="1072"/>
      <c r="H62" s="195"/>
      <c r="I62" s="1038"/>
      <c r="J62" s="1043"/>
      <c r="K62" s="1043"/>
      <c r="L62" s="1043"/>
      <c r="M62" s="1043"/>
      <c r="N62" s="1043"/>
      <c r="O62" s="1043"/>
      <c r="P62" s="1043"/>
      <c r="Q62" s="1043"/>
      <c r="R62" s="1043"/>
      <c r="S62" s="1043"/>
      <c r="T62" s="1043"/>
      <c r="U62" s="1043"/>
      <c r="V62" s="1043"/>
      <c r="W62" s="1043"/>
      <c r="X62" s="1043"/>
      <c r="Y62" s="1043"/>
      <c r="Z62" s="1043"/>
      <c r="AA62" s="1043"/>
      <c r="AB62" s="1043"/>
      <c r="AC62" s="1043"/>
      <c r="AD62" s="1043"/>
      <c r="AE62" s="1043"/>
      <c r="AF62" s="1043"/>
      <c r="AG62" s="1043"/>
      <c r="AH62" s="1043"/>
      <c r="AI62" s="1043"/>
      <c r="AJ62" s="1043"/>
      <c r="AK62" s="1043"/>
      <c r="AL62" s="1043"/>
      <c r="AM62" s="1043"/>
      <c r="AN62" s="1043"/>
      <c r="AO62" s="1043"/>
      <c r="AP62" s="1043"/>
      <c r="AQ62" s="1043"/>
      <c r="AR62" s="1043"/>
      <c r="AS62" s="1043"/>
      <c r="AT62" s="1043"/>
      <c r="AU62" s="1043"/>
      <c r="AV62" s="1043"/>
      <c r="AW62" s="1043"/>
      <c r="AX62" s="1043"/>
      <c r="AY62" s="1043"/>
      <c r="AZ62" s="1043"/>
      <c r="BA62" s="1043"/>
      <c r="BB62" s="1043"/>
      <c r="BC62" s="1043"/>
      <c r="BD62" s="1043"/>
      <c r="BE62" s="1043"/>
      <c r="BF62" s="1043"/>
      <c r="BG62" s="1043"/>
      <c r="BH62" s="1043"/>
      <c r="BI62" s="1043"/>
      <c r="BJ62" s="139"/>
      <c r="BK62" s="139"/>
      <c r="BL62" s="139"/>
      <c r="BM62" s="139"/>
      <c r="BN62" s="139"/>
      <c r="BO62" s="139"/>
      <c r="BP62" s="139"/>
      <c r="BQ62" s="139"/>
      <c r="BR62" s="139"/>
      <c r="BS62" s="139"/>
      <c r="BT62" s="139"/>
      <c r="BU62" s="139"/>
      <c r="BV62" s="1043"/>
      <c r="BW62" s="179"/>
      <c r="BX62" s="176"/>
      <c r="BY62" s="176"/>
      <c r="BZ62" s="176"/>
      <c r="CA62" s="176"/>
      <c r="CB62" s="176"/>
      <c r="CC62" s="176"/>
      <c r="CD62" s="176"/>
      <c r="CE62" s="176"/>
      <c r="CF62" s="176"/>
      <c r="CG62" s="176"/>
      <c r="CH62" s="185"/>
      <c r="CI62" s="1018"/>
      <c r="CJ62" s="179"/>
      <c r="CK62" s="176"/>
      <c r="CL62" s="176"/>
      <c r="CM62" s="176"/>
      <c r="CN62" s="176"/>
      <c r="CO62" s="176"/>
      <c r="CP62" s="176"/>
      <c r="CQ62" s="176"/>
      <c r="CR62" s="176"/>
      <c r="CS62" s="176"/>
      <c r="CT62" s="176"/>
      <c r="CU62" s="185"/>
      <c r="CV62" s="1018"/>
      <c r="CW62" s="989"/>
      <c r="CX62" s="977"/>
      <c r="CY62" s="977"/>
      <c r="CZ62" s="977"/>
      <c r="DA62" s="977"/>
      <c r="DB62" s="977"/>
      <c r="DC62" s="977"/>
      <c r="DD62" s="977"/>
      <c r="DE62" s="977"/>
      <c r="DF62" s="977"/>
      <c r="DG62" s="977"/>
      <c r="DH62" s="980"/>
      <c r="DI62" s="1018"/>
      <c r="DJ62" s="972"/>
      <c r="DK62" s="214"/>
    </row>
    <row r="63" spans="1:115" ht="15" customHeight="1" x14ac:dyDescent="0.25">
      <c r="A63" s="1048"/>
      <c r="B63" s="1105"/>
      <c r="C63" s="1069"/>
      <c r="D63" s="1070"/>
      <c r="E63" s="154" t="s">
        <v>246</v>
      </c>
      <c r="F63" s="147">
        <v>30</v>
      </c>
      <c r="G63" s="1072"/>
      <c r="H63" s="228">
        <f>ROUNDDOWN(($H$2-D60)/365,0)*30</f>
        <v>270</v>
      </c>
      <c r="I63" s="1038"/>
      <c r="J63" s="1043"/>
      <c r="K63" s="1043"/>
      <c r="L63" s="1043"/>
      <c r="M63" s="1043"/>
      <c r="N63" s="1043"/>
      <c r="O63" s="1043"/>
      <c r="P63" s="1043"/>
      <c r="Q63" s="1043"/>
      <c r="R63" s="1043"/>
      <c r="S63" s="1043"/>
      <c r="T63" s="1043"/>
      <c r="U63" s="1043"/>
      <c r="V63" s="1043"/>
      <c r="W63" s="1043"/>
      <c r="X63" s="1043"/>
      <c r="Y63" s="1043"/>
      <c r="Z63" s="1043"/>
      <c r="AA63" s="1043"/>
      <c r="AB63" s="1043"/>
      <c r="AC63" s="1043"/>
      <c r="AD63" s="1043"/>
      <c r="AE63" s="1043"/>
      <c r="AF63" s="1043"/>
      <c r="AG63" s="1043"/>
      <c r="AH63" s="1043"/>
      <c r="AI63" s="1043"/>
      <c r="AJ63" s="1043"/>
      <c r="AK63" s="1043"/>
      <c r="AL63" s="1043"/>
      <c r="AM63" s="1043"/>
      <c r="AN63" s="1043"/>
      <c r="AO63" s="1043"/>
      <c r="AP63" s="1043"/>
      <c r="AQ63" s="1043"/>
      <c r="AR63" s="1043"/>
      <c r="AS63" s="1043"/>
      <c r="AT63" s="1043"/>
      <c r="AU63" s="1043"/>
      <c r="AV63" s="1043"/>
      <c r="AW63" s="1043"/>
      <c r="AX63" s="1043"/>
      <c r="AY63" s="1043"/>
      <c r="AZ63" s="1043"/>
      <c r="BA63" s="1043"/>
      <c r="BB63" s="1043"/>
      <c r="BC63" s="1043"/>
      <c r="BD63" s="1043"/>
      <c r="BE63" s="1043"/>
      <c r="BF63" s="1043"/>
      <c r="BG63" s="1043"/>
      <c r="BH63" s="1043"/>
      <c r="BI63" s="1043"/>
      <c r="BJ63" s="139"/>
      <c r="BK63" s="139"/>
      <c r="BL63" s="139"/>
      <c r="BM63" s="139"/>
      <c r="BN63" s="139"/>
      <c r="BO63" s="139"/>
      <c r="BP63" s="139"/>
      <c r="BQ63" s="139"/>
      <c r="BR63" s="139"/>
      <c r="BS63" s="139"/>
      <c r="BT63" s="139"/>
      <c r="BU63" s="139"/>
      <c r="BV63" s="1043"/>
      <c r="BW63" s="179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85"/>
      <c r="CI63" s="1018"/>
      <c r="CJ63" s="179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85"/>
      <c r="CV63" s="1018"/>
      <c r="CW63" s="989"/>
      <c r="CX63" s="977"/>
      <c r="CY63" s="977"/>
      <c r="CZ63" s="977"/>
      <c r="DA63" s="977"/>
      <c r="DB63" s="977"/>
      <c r="DC63" s="977"/>
      <c r="DD63" s="977"/>
      <c r="DE63" s="977"/>
      <c r="DF63" s="977"/>
      <c r="DG63" s="977"/>
      <c r="DH63" s="980"/>
      <c r="DI63" s="1018"/>
      <c r="DJ63" s="972"/>
      <c r="DK63" s="214"/>
    </row>
    <row r="64" spans="1:115" ht="15" customHeight="1" x14ac:dyDescent="0.25">
      <c r="A64" s="1048"/>
      <c r="B64" s="1105"/>
      <c r="C64" s="1069"/>
      <c r="D64" s="1070"/>
      <c r="E64" s="154" t="s">
        <v>247</v>
      </c>
      <c r="F64" s="147">
        <v>30</v>
      </c>
      <c r="G64" s="1072"/>
      <c r="H64" s="195"/>
      <c r="I64" s="1038"/>
      <c r="J64" s="1043"/>
      <c r="K64" s="1043"/>
      <c r="L64" s="1043"/>
      <c r="M64" s="1043"/>
      <c r="N64" s="1043"/>
      <c r="O64" s="1043"/>
      <c r="P64" s="1043"/>
      <c r="Q64" s="1043"/>
      <c r="R64" s="1043"/>
      <c r="S64" s="1043"/>
      <c r="T64" s="1043"/>
      <c r="U64" s="1043"/>
      <c r="V64" s="1043"/>
      <c r="W64" s="1043"/>
      <c r="X64" s="1043"/>
      <c r="Y64" s="1043"/>
      <c r="Z64" s="1043"/>
      <c r="AA64" s="1043"/>
      <c r="AB64" s="1043"/>
      <c r="AC64" s="1043"/>
      <c r="AD64" s="1043"/>
      <c r="AE64" s="1043"/>
      <c r="AF64" s="1043"/>
      <c r="AG64" s="1043"/>
      <c r="AH64" s="1043"/>
      <c r="AI64" s="1043"/>
      <c r="AJ64" s="1043"/>
      <c r="AK64" s="1043"/>
      <c r="AL64" s="1043"/>
      <c r="AM64" s="1043"/>
      <c r="AN64" s="1043"/>
      <c r="AO64" s="1043"/>
      <c r="AP64" s="1043"/>
      <c r="AQ64" s="1043"/>
      <c r="AR64" s="1043"/>
      <c r="AS64" s="1043"/>
      <c r="AT64" s="1043"/>
      <c r="AU64" s="1043"/>
      <c r="AV64" s="1043"/>
      <c r="AW64" s="1043"/>
      <c r="AX64" s="1043"/>
      <c r="AY64" s="1043"/>
      <c r="AZ64" s="1043"/>
      <c r="BA64" s="1043"/>
      <c r="BB64" s="1043"/>
      <c r="BC64" s="1043"/>
      <c r="BD64" s="1043"/>
      <c r="BE64" s="1043"/>
      <c r="BF64" s="1043"/>
      <c r="BG64" s="1043"/>
      <c r="BH64" s="1043"/>
      <c r="BI64" s="1043"/>
      <c r="BJ64" s="139"/>
      <c r="BK64" s="139"/>
      <c r="BL64" s="139"/>
      <c r="BM64" s="139"/>
      <c r="BN64" s="139"/>
      <c r="BO64" s="139"/>
      <c r="BP64" s="139"/>
      <c r="BQ64" s="139"/>
      <c r="BR64" s="139"/>
      <c r="BS64" s="139"/>
      <c r="BT64" s="139"/>
      <c r="BU64" s="139"/>
      <c r="BV64" s="1043"/>
      <c r="BW64" s="179"/>
      <c r="BX64" s="176"/>
      <c r="BY64" s="176"/>
      <c r="BZ64" s="176"/>
      <c r="CA64" s="176"/>
      <c r="CB64" s="176"/>
      <c r="CC64" s="176"/>
      <c r="CD64" s="176"/>
      <c r="CE64" s="176"/>
      <c r="CF64" s="176"/>
      <c r="CG64" s="176"/>
      <c r="CH64" s="185"/>
      <c r="CI64" s="1018"/>
      <c r="CJ64" s="179"/>
      <c r="CK64" s="176"/>
      <c r="CL64" s="176"/>
      <c r="CM64" s="176"/>
      <c r="CN64" s="176"/>
      <c r="CO64" s="176"/>
      <c r="CP64" s="176"/>
      <c r="CQ64" s="176"/>
      <c r="CR64" s="176"/>
      <c r="CS64" s="176"/>
      <c r="CT64" s="176"/>
      <c r="CU64" s="185"/>
      <c r="CV64" s="1018"/>
      <c r="CW64" s="989"/>
      <c r="CX64" s="977"/>
      <c r="CY64" s="977"/>
      <c r="CZ64" s="977"/>
      <c r="DA64" s="977"/>
      <c r="DB64" s="977"/>
      <c r="DC64" s="977"/>
      <c r="DD64" s="977"/>
      <c r="DE64" s="977"/>
      <c r="DF64" s="977"/>
      <c r="DG64" s="977"/>
      <c r="DH64" s="980"/>
      <c r="DI64" s="1018"/>
      <c r="DJ64" s="972"/>
      <c r="DK64" s="214"/>
    </row>
    <row r="65" spans="1:116" ht="15" customHeight="1" x14ac:dyDescent="0.25">
      <c r="A65" s="1048"/>
      <c r="B65" s="1105"/>
      <c r="C65" s="1069"/>
      <c r="D65" s="1070"/>
      <c r="E65" s="154" t="s">
        <v>248</v>
      </c>
      <c r="F65" s="147">
        <v>30</v>
      </c>
      <c r="G65" s="1072"/>
      <c r="H65" s="195"/>
      <c r="I65" s="1038"/>
      <c r="J65" s="1043"/>
      <c r="K65" s="1043"/>
      <c r="L65" s="1043"/>
      <c r="M65" s="1043"/>
      <c r="N65" s="1043"/>
      <c r="O65" s="1043"/>
      <c r="P65" s="1043"/>
      <c r="Q65" s="1043"/>
      <c r="R65" s="1043"/>
      <c r="S65" s="1043"/>
      <c r="T65" s="1043"/>
      <c r="U65" s="1043"/>
      <c r="V65" s="1043"/>
      <c r="W65" s="1043"/>
      <c r="X65" s="1043"/>
      <c r="Y65" s="1043"/>
      <c r="Z65" s="1043"/>
      <c r="AA65" s="1043"/>
      <c r="AB65" s="1043"/>
      <c r="AC65" s="1043"/>
      <c r="AD65" s="1043"/>
      <c r="AE65" s="1043"/>
      <c r="AF65" s="1043"/>
      <c r="AG65" s="1043"/>
      <c r="AH65" s="1043"/>
      <c r="AI65" s="1043"/>
      <c r="AJ65" s="1043"/>
      <c r="AK65" s="1043"/>
      <c r="AL65" s="1043"/>
      <c r="AM65" s="1043"/>
      <c r="AN65" s="1043"/>
      <c r="AO65" s="1043"/>
      <c r="AP65" s="1043"/>
      <c r="AQ65" s="1043"/>
      <c r="AR65" s="1043"/>
      <c r="AS65" s="1043"/>
      <c r="AT65" s="1043"/>
      <c r="AU65" s="1043"/>
      <c r="AV65" s="1043"/>
      <c r="AW65" s="1043"/>
      <c r="AX65" s="1043"/>
      <c r="AY65" s="1043"/>
      <c r="AZ65" s="1043"/>
      <c r="BA65" s="1043"/>
      <c r="BB65" s="1043"/>
      <c r="BC65" s="1043"/>
      <c r="BD65" s="1043"/>
      <c r="BE65" s="1043"/>
      <c r="BF65" s="1043"/>
      <c r="BG65" s="1043"/>
      <c r="BH65" s="1043"/>
      <c r="BI65" s="1043"/>
      <c r="BJ65" s="139"/>
      <c r="BK65" s="139"/>
      <c r="BL65" s="139"/>
      <c r="BM65" s="139"/>
      <c r="BN65" s="139"/>
      <c r="BO65" s="139"/>
      <c r="BP65" s="139"/>
      <c r="BQ65" s="139"/>
      <c r="BR65" s="139"/>
      <c r="BS65" s="139"/>
      <c r="BT65" s="139"/>
      <c r="BU65" s="139"/>
      <c r="BV65" s="1043"/>
      <c r="BW65" s="179"/>
      <c r="BX65" s="176"/>
      <c r="BY65" s="176"/>
      <c r="BZ65" s="176"/>
      <c r="CA65" s="176"/>
      <c r="CB65" s="176"/>
      <c r="CC65" s="176"/>
      <c r="CD65" s="176"/>
      <c r="CE65" s="176"/>
      <c r="CF65" s="176"/>
      <c r="CG65" s="176"/>
      <c r="CH65" s="185"/>
      <c r="CI65" s="1018"/>
      <c r="CJ65" s="179"/>
      <c r="CK65" s="176"/>
      <c r="CL65" s="176"/>
      <c r="CM65" s="176"/>
      <c r="CN65" s="176"/>
      <c r="CO65" s="176"/>
      <c r="CP65" s="176"/>
      <c r="CQ65" s="176"/>
      <c r="CR65" s="176"/>
      <c r="CS65" s="176"/>
      <c r="CT65" s="176"/>
      <c r="CU65" s="185"/>
      <c r="CV65" s="1018"/>
      <c r="CW65" s="989"/>
      <c r="CX65" s="977"/>
      <c r="CY65" s="977"/>
      <c r="CZ65" s="977"/>
      <c r="DA65" s="977"/>
      <c r="DB65" s="977"/>
      <c r="DC65" s="977"/>
      <c r="DD65" s="977"/>
      <c r="DE65" s="977"/>
      <c r="DF65" s="977"/>
      <c r="DG65" s="977"/>
      <c r="DH65" s="980"/>
      <c r="DI65" s="1018"/>
      <c r="DJ65" s="972"/>
      <c r="DK65" s="214"/>
    </row>
    <row r="66" spans="1:116" ht="15" customHeight="1" x14ac:dyDescent="0.25">
      <c r="A66" s="1048"/>
      <c r="B66" s="1105"/>
      <c r="C66" s="1069"/>
      <c r="D66" s="1070"/>
      <c r="E66" s="154" t="s">
        <v>249</v>
      </c>
      <c r="F66" s="147">
        <v>30</v>
      </c>
      <c r="G66" s="1072"/>
      <c r="H66" s="195"/>
      <c r="I66" s="1038"/>
      <c r="J66" s="1043"/>
      <c r="K66" s="1043"/>
      <c r="L66" s="1043"/>
      <c r="M66" s="1043"/>
      <c r="N66" s="1043"/>
      <c r="O66" s="1043"/>
      <c r="P66" s="1043"/>
      <c r="Q66" s="1043"/>
      <c r="R66" s="1043"/>
      <c r="S66" s="1043"/>
      <c r="T66" s="1043"/>
      <c r="U66" s="1043"/>
      <c r="V66" s="1043"/>
      <c r="W66" s="1043"/>
      <c r="X66" s="1043"/>
      <c r="Y66" s="1043"/>
      <c r="Z66" s="1043"/>
      <c r="AA66" s="1043"/>
      <c r="AB66" s="1043"/>
      <c r="AC66" s="1043"/>
      <c r="AD66" s="1043"/>
      <c r="AE66" s="1043"/>
      <c r="AF66" s="1043"/>
      <c r="AG66" s="1043"/>
      <c r="AH66" s="1043"/>
      <c r="AI66" s="1043"/>
      <c r="AJ66" s="1043"/>
      <c r="AK66" s="1043"/>
      <c r="AL66" s="1043"/>
      <c r="AM66" s="1043"/>
      <c r="AN66" s="1043"/>
      <c r="AO66" s="1043"/>
      <c r="AP66" s="1043"/>
      <c r="AQ66" s="1043"/>
      <c r="AR66" s="1043"/>
      <c r="AS66" s="1043"/>
      <c r="AT66" s="1043"/>
      <c r="AU66" s="1043"/>
      <c r="AV66" s="1043"/>
      <c r="AW66" s="1043"/>
      <c r="AX66" s="1043"/>
      <c r="AY66" s="1043"/>
      <c r="AZ66" s="1043"/>
      <c r="BA66" s="1043"/>
      <c r="BB66" s="1043"/>
      <c r="BC66" s="1043"/>
      <c r="BD66" s="1043"/>
      <c r="BE66" s="1043"/>
      <c r="BF66" s="1043"/>
      <c r="BG66" s="1043"/>
      <c r="BH66" s="1043"/>
      <c r="BI66" s="1043"/>
      <c r="BJ66" s="139"/>
      <c r="BK66" s="139"/>
      <c r="BL66" s="139"/>
      <c r="BM66" s="139"/>
      <c r="BN66" s="139"/>
      <c r="BO66" s="139"/>
      <c r="BP66" s="139"/>
      <c r="BQ66" s="139"/>
      <c r="BR66" s="139"/>
      <c r="BS66" s="139"/>
      <c r="BT66" s="139"/>
      <c r="BU66" s="139"/>
      <c r="BV66" s="1043"/>
      <c r="BW66" s="179"/>
      <c r="BX66" s="176"/>
      <c r="BY66" s="176"/>
      <c r="BZ66" s="176"/>
      <c r="CA66" s="176"/>
      <c r="CB66" s="176"/>
      <c r="CC66" s="176"/>
      <c r="CD66" s="176"/>
      <c r="CE66" s="176"/>
      <c r="CF66" s="176"/>
      <c r="CG66" s="176"/>
      <c r="CH66" s="185"/>
      <c r="CI66" s="1018"/>
      <c r="CJ66" s="179"/>
      <c r="CK66" s="176"/>
      <c r="CL66" s="176"/>
      <c r="CM66" s="176"/>
      <c r="CN66" s="176"/>
      <c r="CO66" s="176"/>
      <c r="CP66" s="176"/>
      <c r="CQ66" s="176"/>
      <c r="CR66" s="176"/>
      <c r="CS66" s="176"/>
      <c r="CT66" s="176"/>
      <c r="CU66" s="185"/>
      <c r="CV66" s="1018"/>
      <c r="CW66" s="989"/>
      <c r="CX66" s="977"/>
      <c r="CY66" s="977"/>
      <c r="CZ66" s="977"/>
      <c r="DA66" s="977"/>
      <c r="DB66" s="977"/>
      <c r="DC66" s="977"/>
      <c r="DD66" s="977"/>
      <c r="DE66" s="977"/>
      <c r="DF66" s="977"/>
      <c r="DG66" s="977"/>
      <c r="DH66" s="980"/>
      <c r="DI66" s="1018"/>
      <c r="DJ66" s="972"/>
      <c r="DK66" s="214"/>
    </row>
    <row r="67" spans="1:116" ht="15" customHeight="1" x14ac:dyDescent="0.25">
      <c r="A67" s="1048"/>
      <c r="B67" s="1105"/>
      <c r="C67" s="1069"/>
      <c r="D67" s="1070"/>
      <c r="E67" s="154" t="s">
        <v>250</v>
      </c>
      <c r="F67" s="147">
        <v>30</v>
      </c>
      <c r="G67" s="1072"/>
      <c r="H67" s="195"/>
      <c r="I67" s="1038"/>
      <c r="J67" s="1043"/>
      <c r="K67" s="1043"/>
      <c r="L67" s="1043"/>
      <c r="M67" s="1043"/>
      <c r="N67" s="1043"/>
      <c r="O67" s="1043"/>
      <c r="P67" s="1043"/>
      <c r="Q67" s="1043"/>
      <c r="R67" s="1043"/>
      <c r="S67" s="1043"/>
      <c r="T67" s="1043"/>
      <c r="U67" s="1043"/>
      <c r="V67" s="1043"/>
      <c r="W67" s="1043"/>
      <c r="X67" s="1043"/>
      <c r="Y67" s="1043"/>
      <c r="Z67" s="1043"/>
      <c r="AA67" s="1043"/>
      <c r="AB67" s="1043"/>
      <c r="AC67" s="1043"/>
      <c r="AD67" s="1043"/>
      <c r="AE67" s="1043"/>
      <c r="AF67" s="1043"/>
      <c r="AG67" s="1043"/>
      <c r="AH67" s="1043"/>
      <c r="AI67" s="1043"/>
      <c r="AJ67" s="1043"/>
      <c r="AK67" s="1043"/>
      <c r="AL67" s="1043"/>
      <c r="AM67" s="1043"/>
      <c r="AN67" s="1043"/>
      <c r="AO67" s="1043"/>
      <c r="AP67" s="1043"/>
      <c r="AQ67" s="1043"/>
      <c r="AR67" s="1043"/>
      <c r="AS67" s="1043"/>
      <c r="AT67" s="1043"/>
      <c r="AU67" s="1043"/>
      <c r="AV67" s="1043"/>
      <c r="AW67" s="1043"/>
      <c r="AX67" s="1043"/>
      <c r="AY67" s="1043"/>
      <c r="AZ67" s="1043"/>
      <c r="BA67" s="1043"/>
      <c r="BB67" s="1043"/>
      <c r="BC67" s="1043"/>
      <c r="BD67" s="1043"/>
      <c r="BE67" s="1043"/>
      <c r="BF67" s="1043"/>
      <c r="BG67" s="1043"/>
      <c r="BH67" s="1043"/>
      <c r="BI67" s="1043"/>
      <c r="BJ67" s="140"/>
      <c r="BK67" s="140"/>
      <c r="BL67" s="140"/>
      <c r="BM67" s="140"/>
      <c r="BN67" s="140"/>
      <c r="BO67" s="140"/>
      <c r="BP67" s="140"/>
      <c r="BQ67" s="140"/>
      <c r="BR67" s="140"/>
      <c r="BS67" s="140"/>
      <c r="BT67" s="140"/>
      <c r="BU67" s="140"/>
      <c r="BV67" s="1043"/>
      <c r="BW67" s="180"/>
      <c r="BX67" s="177"/>
      <c r="BY67" s="177"/>
      <c r="BZ67" s="177"/>
      <c r="CA67" s="177"/>
      <c r="CB67" s="177"/>
      <c r="CC67" s="177"/>
      <c r="CD67" s="177"/>
      <c r="CE67" s="177"/>
      <c r="CF67" s="177"/>
      <c r="CG67" s="177"/>
      <c r="CH67" s="186"/>
      <c r="CI67" s="1018"/>
      <c r="CJ67" s="180"/>
      <c r="CK67" s="177"/>
      <c r="CL67" s="177"/>
      <c r="CM67" s="177"/>
      <c r="CN67" s="177"/>
      <c r="CO67" s="177"/>
      <c r="CP67" s="177"/>
      <c r="CQ67" s="177"/>
      <c r="CR67" s="177"/>
      <c r="CS67" s="177"/>
      <c r="CT67" s="177"/>
      <c r="CU67" s="186"/>
      <c r="CV67" s="1018"/>
      <c r="CW67" s="989"/>
      <c r="CX67" s="977"/>
      <c r="CY67" s="977"/>
      <c r="CZ67" s="977"/>
      <c r="DA67" s="977"/>
      <c r="DB67" s="977"/>
      <c r="DC67" s="977"/>
      <c r="DD67" s="977"/>
      <c r="DE67" s="977"/>
      <c r="DF67" s="977"/>
      <c r="DG67" s="977"/>
      <c r="DH67" s="980"/>
      <c r="DI67" s="1018"/>
      <c r="DJ67" s="972"/>
      <c r="DK67" s="214"/>
    </row>
    <row r="68" spans="1:116" ht="15" customHeight="1" x14ac:dyDescent="0.25">
      <c r="A68" s="1048"/>
      <c r="B68" s="1105"/>
      <c r="C68" s="1069"/>
      <c r="D68" s="1070"/>
      <c r="E68" s="154" t="s">
        <v>251</v>
      </c>
      <c r="F68" s="147">
        <v>30</v>
      </c>
      <c r="G68" s="1073"/>
      <c r="H68" s="196"/>
      <c r="I68" s="1039"/>
      <c r="J68" s="1043"/>
      <c r="K68" s="1043"/>
      <c r="L68" s="1043"/>
      <c r="M68" s="1043"/>
      <c r="N68" s="1043"/>
      <c r="O68" s="1043"/>
      <c r="P68" s="1043"/>
      <c r="Q68" s="1043"/>
      <c r="R68" s="1043"/>
      <c r="S68" s="1043"/>
      <c r="T68" s="1043"/>
      <c r="U68" s="1043"/>
      <c r="V68" s="1043"/>
      <c r="W68" s="1043"/>
      <c r="X68" s="1043"/>
      <c r="Y68" s="1043"/>
      <c r="Z68" s="1043"/>
      <c r="AA68" s="1043"/>
      <c r="AB68" s="1043"/>
      <c r="AC68" s="1043"/>
      <c r="AD68" s="1043"/>
      <c r="AE68" s="1043"/>
      <c r="AF68" s="1043"/>
      <c r="AG68" s="1043"/>
      <c r="AH68" s="1043"/>
      <c r="AI68" s="1043"/>
      <c r="AJ68" s="1043"/>
      <c r="AK68" s="1043"/>
      <c r="AL68" s="1043"/>
      <c r="AM68" s="1043"/>
      <c r="AN68" s="1043"/>
      <c r="AO68" s="1043"/>
      <c r="AP68" s="1043"/>
      <c r="AQ68" s="1043"/>
      <c r="AR68" s="1043"/>
      <c r="AS68" s="1043"/>
      <c r="AT68" s="1043"/>
      <c r="AU68" s="1043"/>
      <c r="AV68" s="1043"/>
      <c r="AW68" s="1043"/>
      <c r="AX68" s="1043"/>
      <c r="AY68" s="1043"/>
      <c r="AZ68" s="1043"/>
      <c r="BA68" s="1043"/>
      <c r="BB68" s="1043"/>
      <c r="BC68" s="1043"/>
      <c r="BD68" s="1043"/>
      <c r="BE68" s="1043"/>
      <c r="BF68" s="1043"/>
      <c r="BG68" s="1043"/>
      <c r="BH68" s="1043"/>
      <c r="BI68" s="1043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043"/>
      <c r="BW68" s="180"/>
      <c r="BX68" s="177"/>
      <c r="BY68" s="177"/>
      <c r="BZ68" s="177"/>
      <c r="CA68" s="177"/>
      <c r="CB68" s="177"/>
      <c r="CC68" s="177"/>
      <c r="CD68" s="177"/>
      <c r="CE68" s="177"/>
      <c r="CF68" s="177"/>
      <c r="CG68" s="177"/>
      <c r="CH68" s="186"/>
      <c r="CI68" s="1018"/>
      <c r="CJ68" s="180"/>
      <c r="CK68" s="177"/>
      <c r="CL68" s="177"/>
      <c r="CM68" s="177"/>
      <c r="CN68" s="177"/>
      <c r="CO68" s="177"/>
      <c r="CP68" s="177"/>
      <c r="CQ68" s="177"/>
      <c r="CR68" s="177"/>
      <c r="CS68" s="177"/>
      <c r="CT68" s="177"/>
      <c r="CU68" s="186"/>
      <c r="CV68" s="1018"/>
      <c r="CW68" s="990"/>
      <c r="CX68" s="978"/>
      <c r="CY68" s="978"/>
      <c r="CZ68" s="978"/>
      <c r="DA68" s="978"/>
      <c r="DB68" s="978"/>
      <c r="DC68" s="978"/>
      <c r="DD68" s="978"/>
      <c r="DE68" s="978"/>
      <c r="DF68" s="978"/>
      <c r="DG68" s="978"/>
      <c r="DH68" s="981"/>
      <c r="DI68" s="1018"/>
      <c r="DJ68" s="973"/>
      <c r="DK68" s="215"/>
    </row>
    <row r="69" spans="1:116" ht="15" customHeight="1" x14ac:dyDescent="0.25">
      <c r="A69" s="1048">
        <v>10</v>
      </c>
      <c r="B69" s="1068" t="s">
        <v>74</v>
      </c>
      <c r="C69" s="1069" t="s">
        <v>252</v>
      </c>
      <c r="D69" s="1070" t="s">
        <v>253</v>
      </c>
      <c r="E69" s="239"/>
      <c r="F69" s="149"/>
      <c r="G69" s="1071">
        <f>F69+F70+F71+F72+F73+F74+F75+F76+F77</f>
        <v>0</v>
      </c>
      <c r="H69" s="194"/>
      <c r="I69" s="1037"/>
      <c r="J69" s="1043"/>
      <c r="K69" s="1043"/>
      <c r="L69" s="1043"/>
      <c r="M69" s="1043"/>
      <c r="N69" s="1043"/>
      <c r="O69" s="1043"/>
      <c r="P69" s="1043"/>
      <c r="Q69" s="1043"/>
      <c r="R69" s="1043"/>
      <c r="S69" s="1043"/>
      <c r="T69" s="1043"/>
      <c r="U69" s="1043"/>
      <c r="V69" s="1043"/>
      <c r="W69" s="1043"/>
      <c r="X69" s="1043"/>
      <c r="Y69" s="1043"/>
      <c r="Z69" s="1043"/>
      <c r="AA69" s="1043"/>
      <c r="AB69" s="1043"/>
      <c r="AC69" s="1043"/>
      <c r="AD69" s="1043"/>
      <c r="AE69" s="1043"/>
      <c r="AF69" s="1043"/>
      <c r="AG69" s="1043"/>
      <c r="AH69" s="1043"/>
      <c r="AI69" s="1043"/>
      <c r="AJ69" s="1043"/>
      <c r="AK69" s="1043"/>
      <c r="AL69" s="1043"/>
      <c r="AM69" s="1043"/>
      <c r="AN69" s="1043"/>
      <c r="AO69" s="1043"/>
      <c r="AP69" s="1043"/>
      <c r="AQ69" s="1043"/>
      <c r="AR69" s="1043"/>
      <c r="AS69" s="1043"/>
      <c r="AT69" s="1043"/>
      <c r="AU69" s="1043"/>
      <c r="AV69" s="1043"/>
      <c r="AW69" s="1043"/>
      <c r="AX69" s="1043"/>
      <c r="AY69" s="1043"/>
      <c r="AZ69" s="1043"/>
      <c r="BA69" s="1043"/>
      <c r="BB69" s="1043"/>
      <c r="BC69" s="1043"/>
      <c r="BD69" s="1043"/>
      <c r="BE69" s="1043"/>
      <c r="BF69" s="1043"/>
      <c r="BG69" s="1043"/>
      <c r="BH69" s="1043"/>
      <c r="BI69" s="1043"/>
      <c r="BJ69" s="1037"/>
      <c r="BK69" s="1037"/>
      <c r="BL69" s="1037"/>
      <c r="BM69" s="1037"/>
      <c r="BN69" s="1037"/>
      <c r="BO69" s="1037"/>
      <c r="BP69" s="1037"/>
      <c r="BQ69" s="1037"/>
      <c r="BR69" s="1037"/>
      <c r="BS69" s="1037"/>
      <c r="BT69" s="1037"/>
      <c r="BU69" s="1037"/>
      <c r="BV69" s="1043"/>
      <c r="BW69" s="178"/>
      <c r="BX69" s="976"/>
      <c r="BY69" s="175"/>
      <c r="BZ69" s="175"/>
      <c r="CA69" s="175"/>
      <c r="CB69" s="175"/>
      <c r="CC69" s="175"/>
      <c r="CD69" s="175"/>
      <c r="CE69" s="175"/>
      <c r="CF69" s="976"/>
      <c r="CG69" s="175"/>
      <c r="CH69" s="184"/>
      <c r="CI69" s="1018"/>
      <c r="CJ69" s="178"/>
      <c r="CK69" s="976"/>
      <c r="CL69" s="976"/>
      <c r="CM69" s="976"/>
      <c r="CN69" s="976"/>
      <c r="CO69" s="976"/>
      <c r="CP69" s="976"/>
      <c r="CQ69" s="976"/>
      <c r="CR69" s="976"/>
      <c r="CS69" s="976"/>
      <c r="CT69" s="976"/>
      <c r="CU69" s="1011"/>
      <c r="CV69" s="1120"/>
      <c r="CW69" s="988"/>
      <c r="CX69" s="976"/>
      <c r="CY69" s="976"/>
      <c r="CZ69" s="976"/>
      <c r="DA69" s="976"/>
      <c r="DB69" s="976"/>
      <c r="DC69" s="976"/>
      <c r="DD69" s="976"/>
      <c r="DE69" s="976"/>
      <c r="DF69" s="976"/>
      <c r="DG69" s="976"/>
      <c r="DH69" s="1011"/>
      <c r="DI69" s="1120"/>
      <c r="DJ69" s="971">
        <f>I69+V69+AI69+AV69+BI69+BV69+CI69+CV69</f>
        <v>0</v>
      </c>
      <c r="DK69" s="230">
        <f>H73-DJ69</f>
        <v>0</v>
      </c>
    </row>
    <row r="70" spans="1:116" ht="15" customHeight="1" x14ac:dyDescent="0.25">
      <c r="A70" s="1048"/>
      <c r="B70" s="1068"/>
      <c r="C70" s="1069"/>
      <c r="D70" s="1070"/>
      <c r="E70" s="153"/>
      <c r="F70" s="150"/>
      <c r="G70" s="1072"/>
      <c r="H70" s="195"/>
      <c r="I70" s="1038"/>
      <c r="J70" s="1043"/>
      <c r="K70" s="1043"/>
      <c r="L70" s="1043"/>
      <c r="M70" s="1043"/>
      <c r="N70" s="1043"/>
      <c r="O70" s="1043"/>
      <c r="P70" s="1043"/>
      <c r="Q70" s="1043"/>
      <c r="R70" s="1043"/>
      <c r="S70" s="1043"/>
      <c r="T70" s="1043"/>
      <c r="U70" s="1043"/>
      <c r="V70" s="1043"/>
      <c r="W70" s="1043"/>
      <c r="X70" s="1043"/>
      <c r="Y70" s="1043"/>
      <c r="Z70" s="1043"/>
      <c r="AA70" s="1043"/>
      <c r="AB70" s="1043"/>
      <c r="AC70" s="1043"/>
      <c r="AD70" s="1043"/>
      <c r="AE70" s="1043"/>
      <c r="AF70" s="1043"/>
      <c r="AG70" s="1043"/>
      <c r="AH70" s="1043"/>
      <c r="AI70" s="1043"/>
      <c r="AJ70" s="1043"/>
      <c r="AK70" s="1043"/>
      <c r="AL70" s="1043"/>
      <c r="AM70" s="1043"/>
      <c r="AN70" s="1043"/>
      <c r="AO70" s="1043"/>
      <c r="AP70" s="1043"/>
      <c r="AQ70" s="1043"/>
      <c r="AR70" s="1043"/>
      <c r="AS70" s="1043"/>
      <c r="AT70" s="1043"/>
      <c r="AU70" s="1043"/>
      <c r="AV70" s="1043"/>
      <c r="AW70" s="1043"/>
      <c r="AX70" s="1043"/>
      <c r="AY70" s="1043"/>
      <c r="AZ70" s="1043"/>
      <c r="BA70" s="1043"/>
      <c r="BB70" s="1043"/>
      <c r="BC70" s="1043"/>
      <c r="BD70" s="1043"/>
      <c r="BE70" s="1043"/>
      <c r="BF70" s="1043"/>
      <c r="BG70" s="1043"/>
      <c r="BH70" s="1043"/>
      <c r="BI70" s="1043"/>
      <c r="BJ70" s="1038"/>
      <c r="BK70" s="1038"/>
      <c r="BL70" s="1038"/>
      <c r="BM70" s="1038"/>
      <c r="BN70" s="1038"/>
      <c r="BO70" s="1038"/>
      <c r="BP70" s="1038"/>
      <c r="BQ70" s="1038"/>
      <c r="BR70" s="1038"/>
      <c r="BS70" s="1038"/>
      <c r="BT70" s="1038"/>
      <c r="BU70" s="1038"/>
      <c r="BV70" s="1043"/>
      <c r="BW70" s="179"/>
      <c r="BX70" s="977"/>
      <c r="BY70" s="176"/>
      <c r="BZ70" s="176"/>
      <c r="CA70" s="176"/>
      <c r="CB70" s="176"/>
      <c r="CC70" s="176"/>
      <c r="CD70" s="176"/>
      <c r="CE70" s="176"/>
      <c r="CF70" s="977"/>
      <c r="CG70" s="176"/>
      <c r="CH70" s="185"/>
      <c r="CI70" s="1018"/>
      <c r="CJ70" s="179"/>
      <c r="CK70" s="977"/>
      <c r="CL70" s="977"/>
      <c r="CM70" s="977"/>
      <c r="CN70" s="977"/>
      <c r="CO70" s="977"/>
      <c r="CP70" s="977"/>
      <c r="CQ70" s="977"/>
      <c r="CR70" s="977"/>
      <c r="CS70" s="977"/>
      <c r="CT70" s="977"/>
      <c r="CU70" s="1012"/>
      <c r="CV70" s="1120"/>
      <c r="CW70" s="989"/>
      <c r="CX70" s="977"/>
      <c r="CY70" s="977"/>
      <c r="CZ70" s="977"/>
      <c r="DA70" s="977"/>
      <c r="DB70" s="977"/>
      <c r="DC70" s="977"/>
      <c r="DD70" s="977"/>
      <c r="DE70" s="977"/>
      <c r="DF70" s="977"/>
      <c r="DG70" s="977"/>
      <c r="DH70" s="1012"/>
      <c r="DI70" s="1120"/>
      <c r="DJ70" s="972"/>
      <c r="DK70" s="214"/>
    </row>
    <row r="71" spans="1:116" ht="15" customHeight="1" x14ac:dyDescent="0.25">
      <c r="A71" s="1048"/>
      <c r="B71" s="1068"/>
      <c r="C71" s="1069"/>
      <c r="D71" s="1070"/>
      <c r="E71" s="153"/>
      <c r="F71" s="150"/>
      <c r="G71" s="1072"/>
      <c r="H71" s="195"/>
      <c r="I71" s="1038"/>
      <c r="J71" s="1043"/>
      <c r="K71" s="1043"/>
      <c r="L71" s="1043"/>
      <c r="M71" s="1043"/>
      <c r="N71" s="1043"/>
      <c r="O71" s="1043"/>
      <c r="P71" s="1043"/>
      <c r="Q71" s="1043"/>
      <c r="R71" s="1043"/>
      <c r="S71" s="1043"/>
      <c r="T71" s="1043"/>
      <c r="U71" s="1043"/>
      <c r="V71" s="1043"/>
      <c r="W71" s="1043"/>
      <c r="X71" s="1043"/>
      <c r="Y71" s="1043"/>
      <c r="Z71" s="1043"/>
      <c r="AA71" s="1043"/>
      <c r="AB71" s="1043"/>
      <c r="AC71" s="1043"/>
      <c r="AD71" s="1043"/>
      <c r="AE71" s="1043"/>
      <c r="AF71" s="1043"/>
      <c r="AG71" s="1043"/>
      <c r="AH71" s="1043"/>
      <c r="AI71" s="1043"/>
      <c r="AJ71" s="1043"/>
      <c r="AK71" s="1043"/>
      <c r="AL71" s="1043"/>
      <c r="AM71" s="1043"/>
      <c r="AN71" s="1043"/>
      <c r="AO71" s="1043"/>
      <c r="AP71" s="1043"/>
      <c r="AQ71" s="1043"/>
      <c r="AR71" s="1043"/>
      <c r="AS71" s="1043"/>
      <c r="AT71" s="1043"/>
      <c r="AU71" s="1043"/>
      <c r="AV71" s="1043"/>
      <c r="AW71" s="1043"/>
      <c r="AX71" s="1043"/>
      <c r="AY71" s="1043"/>
      <c r="AZ71" s="1043"/>
      <c r="BA71" s="1043"/>
      <c r="BB71" s="1043"/>
      <c r="BC71" s="1043"/>
      <c r="BD71" s="1043"/>
      <c r="BE71" s="1043"/>
      <c r="BF71" s="1043"/>
      <c r="BG71" s="1043"/>
      <c r="BH71" s="1043"/>
      <c r="BI71" s="1043"/>
      <c r="BJ71" s="1038"/>
      <c r="BK71" s="1038"/>
      <c r="BL71" s="1038"/>
      <c r="BM71" s="1038"/>
      <c r="BN71" s="1038"/>
      <c r="BO71" s="1038"/>
      <c r="BP71" s="1038"/>
      <c r="BQ71" s="1038"/>
      <c r="BR71" s="1038"/>
      <c r="BS71" s="1038"/>
      <c r="BT71" s="1038"/>
      <c r="BU71" s="1038"/>
      <c r="BV71" s="1043"/>
      <c r="BW71" s="179"/>
      <c r="BX71" s="977"/>
      <c r="BY71" s="176"/>
      <c r="BZ71" s="176"/>
      <c r="CA71" s="176"/>
      <c r="CB71" s="176"/>
      <c r="CC71" s="176"/>
      <c r="CD71" s="176"/>
      <c r="CE71" s="176"/>
      <c r="CF71" s="977"/>
      <c r="CG71" s="176"/>
      <c r="CH71" s="185"/>
      <c r="CI71" s="1018"/>
      <c r="CJ71" s="179"/>
      <c r="CK71" s="977"/>
      <c r="CL71" s="977"/>
      <c r="CM71" s="977"/>
      <c r="CN71" s="977"/>
      <c r="CO71" s="977"/>
      <c r="CP71" s="977"/>
      <c r="CQ71" s="977"/>
      <c r="CR71" s="977"/>
      <c r="CS71" s="977"/>
      <c r="CT71" s="977"/>
      <c r="CU71" s="1012"/>
      <c r="CV71" s="1120"/>
      <c r="CW71" s="989"/>
      <c r="CX71" s="977"/>
      <c r="CY71" s="977"/>
      <c r="CZ71" s="977"/>
      <c r="DA71" s="977"/>
      <c r="DB71" s="977"/>
      <c r="DC71" s="977"/>
      <c r="DD71" s="977"/>
      <c r="DE71" s="977"/>
      <c r="DF71" s="977"/>
      <c r="DG71" s="977"/>
      <c r="DH71" s="1012"/>
      <c r="DI71" s="1120"/>
      <c r="DJ71" s="972"/>
      <c r="DK71" s="214"/>
    </row>
    <row r="72" spans="1:116" ht="15" customHeight="1" x14ac:dyDescent="0.25">
      <c r="A72" s="1048"/>
      <c r="B72" s="1068"/>
      <c r="C72" s="1069"/>
      <c r="D72" s="1070"/>
      <c r="E72" s="153"/>
      <c r="F72" s="150"/>
      <c r="G72" s="1072"/>
      <c r="H72" s="195"/>
      <c r="I72" s="1038"/>
      <c r="J72" s="1043"/>
      <c r="K72" s="1043"/>
      <c r="L72" s="1043"/>
      <c r="M72" s="1043"/>
      <c r="N72" s="1043"/>
      <c r="O72" s="1043"/>
      <c r="P72" s="1043"/>
      <c r="Q72" s="1043"/>
      <c r="R72" s="1043"/>
      <c r="S72" s="1043"/>
      <c r="T72" s="1043"/>
      <c r="U72" s="1043"/>
      <c r="V72" s="1043"/>
      <c r="W72" s="1043"/>
      <c r="X72" s="1043"/>
      <c r="Y72" s="1043"/>
      <c r="Z72" s="1043"/>
      <c r="AA72" s="1043"/>
      <c r="AB72" s="1043"/>
      <c r="AC72" s="1043"/>
      <c r="AD72" s="1043"/>
      <c r="AE72" s="1043"/>
      <c r="AF72" s="1043"/>
      <c r="AG72" s="1043"/>
      <c r="AH72" s="1043"/>
      <c r="AI72" s="1043"/>
      <c r="AJ72" s="1043"/>
      <c r="AK72" s="1043"/>
      <c r="AL72" s="1043"/>
      <c r="AM72" s="1043"/>
      <c r="AN72" s="1043"/>
      <c r="AO72" s="1043"/>
      <c r="AP72" s="1043"/>
      <c r="AQ72" s="1043"/>
      <c r="AR72" s="1043"/>
      <c r="AS72" s="1043"/>
      <c r="AT72" s="1043"/>
      <c r="AU72" s="1043"/>
      <c r="AV72" s="1043"/>
      <c r="AW72" s="1043"/>
      <c r="AX72" s="1043"/>
      <c r="AY72" s="1043"/>
      <c r="AZ72" s="1043"/>
      <c r="BA72" s="1043"/>
      <c r="BB72" s="1043"/>
      <c r="BC72" s="1043"/>
      <c r="BD72" s="1043"/>
      <c r="BE72" s="1043"/>
      <c r="BF72" s="1043"/>
      <c r="BG72" s="1043"/>
      <c r="BH72" s="1043"/>
      <c r="BI72" s="1043"/>
      <c r="BJ72" s="1038"/>
      <c r="BK72" s="1038"/>
      <c r="BL72" s="1038"/>
      <c r="BM72" s="1038"/>
      <c r="BN72" s="1038"/>
      <c r="BO72" s="1038"/>
      <c r="BP72" s="1038"/>
      <c r="BQ72" s="1038"/>
      <c r="BR72" s="1038"/>
      <c r="BS72" s="1038"/>
      <c r="BT72" s="1038"/>
      <c r="BU72" s="1038"/>
      <c r="BV72" s="1043"/>
      <c r="BW72" s="179"/>
      <c r="BX72" s="977"/>
      <c r="BY72" s="176"/>
      <c r="BZ72" s="176"/>
      <c r="CA72" s="176"/>
      <c r="CB72" s="176"/>
      <c r="CC72" s="176"/>
      <c r="CD72" s="176"/>
      <c r="CE72" s="176"/>
      <c r="CF72" s="977"/>
      <c r="CG72" s="176"/>
      <c r="CH72" s="185"/>
      <c r="CI72" s="1018"/>
      <c r="CJ72" s="179"/>
      <c r="CK72" s="977"/>
      <c r="CL72" s="977"/>
      <c r="CM72" s="977"/>
      <c r="CN72" s="977"/>
      <c r="CO72" s="977"/>
      <c r="CP72" s="977"/>
      <c r="CQ72" s="977"/>
      <c r="CR72" s="977"/>
      <c r="CS72" s="977"/>
      <c r="CT72" s="977"/>
      <c r="CU72" s="1012"/>
      <c r="CV72" s="1120"/>
      <c r="CW72" s="989"/>
      <c r="CX72" s="977"/>
      <c r="CY72" s="977"/>
      <c r="CZ72" s="977"/>
      <c r="DA72" s="977"/>
      <c r="DB72" s="977"/>
      <c r="DC72" s="977"/>
      <c r="DD72" s="977"/>
      <c r="DE72" s="977"/>
      <c r="DF72" s="977"/>
      <c r="DG72" s="977"/>
      <c r="DH72" s="1012"/>
      <c r="DI72" s="1120"/>
      <c r="DJ72" s="972"/>
      <c r="DK72" s="214"/>
      <c r="DL72" s="128"/>
    </row>
    <row r="73" spans="1:116" ht="15" customHeight="1" x14ac:dyDescent="0.25">
      <c r="A73" s="1048"/>
      <c r="B73" s="1068"/>
      <c r="C73" s="1069"/>
      <c r="D73" s="1070"/>
      <c r="E73" s="153"/>
      <c r="F73" s="150"/>
      <c r="G73" s="1072"/>
      <c r="H73" s="228">
        <f>ROUNDDOWN(($H$2-D69)/365,0)*30</f>
        <v>0</v>
      </c>
      <c r="I73" s="1038"/>
      <c r="J73" s="1043"/>
      <c r="K73" s="1043"/>
      <c r="L73" s="1043"/>
      <c r="M73" s="1043"/>
      <c r="N73" s="1043"/>
      <c r="O73" s="1043"/>
      <c r="P73" s="1043"/>
      <c r="Q73" s="1043"/>
      <c r="R73" s="1043"/>
      <c r="S73" s="1043"/>
      <c r="T73" s="1043"/>
      <c r="U73" s="1043"/>
      <c r="V73" s="1043"/>
      <c r="W73" s="1043"/>
      <c r="X73" s="1043"/>
      <c r="Y73" s="1043"/>
      <c r="Z73" s="1043"/>
      <c r="AA73" s="1043"/>
      <c r="AB73" s="1043"/>
      <c r="AC73" s="1043"/>
      <c r="AD73" s="1043"/>
      <c r="AE73" s="1043"/>
      <c r="AF73" s="1043"/>
      <c r="AG73" s="1043"/>
      <c r="AH73" s="1043"/>
      <c r="AI73" s="1043"/>
      <c r="AJ73" s="1043"/>
      <c r="AK73" s="1043"/>
      <c r="AL73" s="1043"/>
      <c r="AM73" s="1043"/>
      <c r="AN73" s="1043"/>
      <c r="AO73" s="1043"/>
      <c r="AP73" s="1043"/>
      <c r="AQ73" s="1043"/>
      <c r="AR73" s="1043"/>
      <c r="AS73" s="1043"/>
      <c r="AT73" s="1043"/>
      <c r="AU73" s="1043"/>
      <c r="AV73" s="1043"/>
      <c r="AW73" s="1043"/>
      <c r="AX73" s="1043"/>
      <c r="AY73" s="1043"/>
      <c r="AZ73" s="1043"/>
      <c r="BA73" s="1043"/>
      <c r="BB73" s="1043"/>
      <c r="BC73" s="1043"/>
      <c r="BD73" s="1043"/>
      <c r="BE73" s="1043"/>
      <c r="BF73" s="1043"/>
      <c r="BG73" s="1043"/>
      <c r="BH73" s="1043"/>
      <c r="BI73" s="1043"/>
      <c r="BJ73" s="1038"/>
      <c r="BK73" s="1038"/>
      <c r="BL73" s="1038"/>
      <c r="BM73" s="1038"/>
      <c r="BN73" s="1038"/>
      <c r="BO73" s="1038"/>
      <c r="BP73" s="1038"/>
      <c r="BQ73" s="1038"/>
      <c r="BR73" s="1038"/>
      <c r="BS73" s="1038"/>
      <c r="BT73" s="1038"/>
      <c r="BU73" s="1038"/>
      <c r="BV73" s="1043"/>
      <c r="BW73" s="179"/>
      <c r="BX73" s="977"/>
      <c r="BY73" s="176"/>
      <c r="BZ73" s="176"/>
      <c r="CA73" s="176"/>
      <c r="CB73" s="176"/>
      <c r="CC73" s="176"/>
      <c r="CD73" s="176"/>
      <c r="CE73" s="176"/>
      <c r="CF73" s="977"/>
      <c r="CG73" s="176"/>
      <c r="CH73" s="185"/>
      <c r="CI73" s="1018"/>
      <c r="CJ73" s="179"/>
      <c r="CK73" s="977"/>
      <c r="CL73" s="977"/>
      <c r="CM73" s="977"/>
      <c r="CN73" s="977"/>
      <c r="CO73" s="977"/>
      <c r="CP73" s="977"/>
      <c r="CQ73" s="977"/>
      <c r="CR73" s="977"/>
      <c r="CS73" s="977"/>
      <c r="CT73" s="977"/>
      <c r="CU73" s="1012"/>
      <c r="CV73" s="1120"/>
      <c r="CW73" s="989"/>
      <c r="CX73" s="977"/>
      <c r="CY73" s="977"/>
      <c r="CZ73" s="977"/>
      <c r="DA73" s="977"/>
      <c r="DB73" s="977"/>
      <c r="DC73" s="977"/>
      <c r="DD73" s="977"/>
      <c r="DE73" s="977"/>
      <c r="DF73" s="977"/>
      <c r="DG73" s="977"/>
      <c r="DH73" s="1012"/>
      <c r="DI73" s="1120"/>
      <c r="DJ73" s="972"/>
      <c r="DK73" s="214"/>
    </row>
    <row r="74" spans="1:116" ht="15" customHeight="1" x14ac:dyDescent="0.25">
      <c r="A74" s="1048"/>
      <c r="B74" s="1068"/>
      <c r="C74" s="1069"/>
      <c r="D74" s="1070"/>
      <c r="E74" s="153"/>
      <c r="F74" s="150"/>
      <c r="G74" s="1072"/>
      <c r="H74" s="195"/>
      <c r="I74" s="1038"/>
      <c r="J74" s="1043"/>
      <c r="K74" s="1043"/>
      <c r="L74" s="1043"/>
      <c r="M74" s="1043"/>
      <c r="N74" s="1043"/>
      <c r="O74" s="1043"/>
      <c r="P74" s="1043"/>
      <c r="Q74" s="1043"/>
      <c r="R74" s="1043"/>
      <c r="S74" s="1043"/>
      <c r="T74" s="1043"/>
      <c r="U74" s="1043"/>
      <c r="V74" s="1043"/>
      <c r="W74" s="1043"/>
      <c r="X74" s="1043"/>
      <c r="Y74" s="1043"/>
      <c r="Z74" s="1043"/>
      <c r="AA74" s="1043"/>
      <c r="AB74" s="1043"/>
      <c r="AC74" s="1043"/>
      <c r="AD74" s="1043"/>
      <c r="AE74" s="1043"/>
      <c r="AF74" s="1043"/>
      <c r="AG74" s="1043"/>
      <c r="AH74" s="1043"/>
      <c r="AI74" s="1043"/>
      <c r="AJ74" s="1043"/>
      <c r="AK74" s="1043"/>
      <c r="AL74" s="1043"/>
      <c r="AM74" s="1043"/>
      <c r="AN74" s="1043"/>
      <c r="AO74" s="1043"/>
      <c r="AP74" s="1043"/>
      <c r="AQ74" s="1043"/>
      <c r="AR74" s="1043"/>
      <c r="AS74" s="1043"/>
      <c r="AT74" s="1043"/>
      <c r="AU74" s="1043"/>
      <c r="AV74" s="1043"/>
      <c r="AW74" s="1043"/>
      <c r="AX74" s="1043"/>
      <c r="AY74" s="1043"/>
      <c r="AZ74" s="1043"/>
      <c r="BA74" s="1043"/>
      <c r="BB74" s="1043"/>
      <c r="BC74" s="1043"/>
      <c r="BD74" s="1043"/>
      <c r="BE74" s="1043"/>
      <c r="BF74" s="1043"/>
      <c r="BG74" s="1043"/>
      <c r="BH74" s="1043"/>
      <c r="BI74" s="1043"/>
      <c r="BJ74" s="1038"/>
      <c r="BK74" s="1038"/>
      <c r="BL74" s="1038"/>
      <c r="BM74" s="1038"/>
      <c r="BN74" s="1038"/>
      <c r="BO74" s="1038"/>
      <c r="BP74" s="1038"/>
      <c r="BQ74" s="1038"/>
      <c r="BR74" s="1038"/>
      <c r="BS74" s="1038"/>
      <c r="BT74" s="1038"/>
      <c r="BU74" s="1038"/>
      <c r="BV74" s="1043"/>
      <c r="BW74" s="179"/>
      <c r="BX74" s="977"/>
      <c r="BY74" s="176"/>
      <c r="BZ74" s="176"/>
      <c r="CA74" s="176"/>
      <c r="CB74" s="176"/>
      <c r="CC74" s="176"/>
      <c r="CD74" s="176"/>
      <c r="CE74" s="176"/>
      <c r="CF74" s="977"/>
      <c r="CG74" s="176"/>
      <c r="CH74" s="185"/>
      <c r="CI74" s="1018"/>
      <c r="CJ74" s="179"/>
      <c r="CK74" s="977"/>
      <c r="CL74" s="977"/>
      <c r="CM74" s="977"/>
      <c r="CN74" s="977"/>
      <c r="CO74" s="977"/>
      <c r="CP74" s="977"/>
      <c r="CQ74" s="977"/>
      <c r="CR74" s="977"/>
      <c r="CS74" s="977"/>
      <c r="CT74" s="977"/>
      <c r="CU74" s="1012"/>
      <c r="CV74" s="1120"/>
      <c r="CW74" s="989"/>
      <c r="CX74" s="977"/>
      <c r="CY74" s="977"/>
      <c r="CZ74" s="977"/>
      <c r="DA74" s="977"/>
      <c r="DB74" s="977"/>
      <c r="DC74" s="977"/>
      <c r="DD74" s="977"/>
      <c r="DE74" s="977"/>
      <c r="DF74" s="977"/>
      <c r="DG74" s="977"/>
      <c r="DH74" s="1012"/>
      <c r="DI74" s="1120"/>
      <c r="DJ74" s="972"/>
      <c r="DK74" s="214"/>
      <c r="DL74" s="128"/>
    </row>
    <row r="75" spans="1:116" ht="15" customHeight="1" x14ac:dyDescent="0.25">
      <c r="A75" s="1048"/>
      <c r="B75" s="1068"/>
      <c r="C75" s="1069"/>
      <c r="D75" s="1070"/>
      <c r="E75" s="153"/>
      <c r="F75" s="150"/>
      <c r="G75" s="1072"/>
      <c r="H75" s="195"/>
      <c r="I75" s="1038"/>
      <c r="J75" s="1043"/>
      <c r="K75" s="1043"/>
      <c r="L75" s="1043"/>
      <c r="M75" s="1043"/>
      <c r="N75" s="1043"/>
      <c r="O75" s="1043"/>
      <c r="P75" s="1043"/>
      <c r="Q75" s="1043"/>
      <c r="R75" s="1043"/>
      <c r="S75" s="1043"/>
      <c r="T75" s="1043"/>
      <c r="U75" s="1043"/>
      <c r="V75" s="1043"/>
      <c r="W75" s="1043"/>
      <c r="X75" s="1043"/>
      <c r="Y75" s="1043"/>
      <c r="Z75" s="1043"/>
      <c r="AA75" s="1043"/>
      <c r="AB75" s="1043"/>
      <c r="AC75" s="1043"/>
      <c r="AD75" s="1043"/>
      <c r="AE75" s="1043"/>
      <c r="AF75" s="1043"/>
      <c r="AG75" s="1043"/>
      <c r="AH75" s="1043"/>
      <c r="AI75" s="1043"/>
      <c r="AJ75" s="1043"/>
      <c r="AK75" s="1043"/>
      <c r="AL75" s="1043"/>
      <c r="AM75" s="1043"/>
      <c r="AN75" s="1043"/>
      <c r="AO75" s="1043"/>
      <c r="AP75" s="1043"/>
      <c r="AQ75" s="1043"/>
      <c r="AR75" s="1043"/>
      <c r="AS75" s="1043"/>
      <c r="AT75" s="1043"/>
      <c r="AU75" s="1043"/>
      <c r="AV75" s="1043"/>
      <c r="AW75" s="1043"/>
      <c r="AX75" s="1043"/>
      <c r="AY75" s="1043"/>
      <c r="AZ75" s="1043"/>
      <c r="BA75" s="1043"/>
      <c r="BB75" s="1043"/>
      <c r="BC75" s="1043"/>
      <c r="BD75" s="1043"/>
      <c r="BE75" s="1043"/>
      <c r="BF75" s="1043"/>
      <c r="BG75" s="1043"/>
      <c r="BH75" s="1043"/>
      <c r="BI75" s="1043"/>
      <c r="BJ75" s="1038"/>
      <c r="BK75" s="1038"/>
      <c r="BL75" s="1038"/>
      <c r="BM75" s="1038"/>
      <c r="BN75" s="1038"/>
      <c r="BO75" s="1038"/>
      <c r="BP75" s="1038"/>
      <c r="BQ75" s="1038"/>
      <c r="BR75" s="1038"/>
      <c r="BS75" s="1038"/>
      <c r="BT75" s="1038"/>
      <c r="BU75" s="1038"/>
      <c r="BV75" s="1043"/>
      <c r="BW75" s="179"/>
      <c r="BX75" s="977"/>
      <c r="BY75" s="176"/>
      <c r="BZ75" s="176"/>
      <c r="CA75" s="176"/>
      <c r="CB75" s="176"/>
      <c r="CC75" s="176"/>
      <c r="CD75" s="176"/>
      <c r="CE75" s="176"/>
      <c r="CF75" s="977"/>
      <c r="CG75" s="176"/>
      <c r="CH75" s="185"/>
      <c r="CI75" s="1018"/>
      <c r="CJ75" s="179"/>
      <c r="CK75" s="977"/>
      <c r="CL75" s="977"/>
      <c r="CM75" s="977"/>
      <c r="CN75" s="977"/>
      <c r="CO75" s="977"/>
      <c r="CP75" s="977"/>
      <c r="CQ75" s="977"/>
      <c r="CR75" s="977"/>
      <c r="CS75" s="977"/>
      <c r="CT75" s="977"/>
      <c r="CU75" s="1012"/>
      <c r="CV75" s="1120"/>
      <c r="CW75" s="989"/>
      <c r="CX75" s="977"/>
      <c r="CY75" s="977"/>
      <c r="CZ75" s="977"/>
      <c r="DA75" s="977"/>
      <c r="DB75" s="977"/>
      <c r="DC75" s="977"/>
      <c r="DD75" s="977"/>
      <c r="DE75" s="977"/>
      <c r="DF75" s="977"/>
      <c r="DG75" s="977"/>
      <c r="DH75" s="1012"/>
      <c r="DI75" s="1120"/>
      <c r="DJ75" s="972"/>
      <c r="DK75" s="214"/>
    </row>
    <row r="76" spans="1:116" ht="15" customHeight="1" x14ac:dyDescent="0.25">
      <c r="A76" s="1048"/>
      <c r="B76" s="1068"/>
      <c r="C76" s="1069"/>
      <c r="D76" s="1070"/>
      <c r="E76" s="243"/>
      <c r="F76" s="155"/>
      <c r="G76" s="1072"/>
      <c r="H76" s="195"/>
      <c r="I76" s="1038"/>
      <c r="J76" s="1043"/>
      <c r="K76" s="1043"/>
      <c r="L76" s="1043"/>
      <c r="M76" s="1043"/>
      <c r="N76" s="1043"/>
      <c r="O76" s="1043"/>
      <c r="P76" s="1043"/>
      <c r="Q76" s="1043"/>
      <c r="R76" s="1043"/>
      <c r="S76" s="1043"/>
      <c r="T76" s="1043"/>
      <c r="U76" s="1043"/>
      <c r="V76" s="1043"/>
      <c r="W76" s="1043"/>
      <c r="X76" s="1043"/>
      <c r="Y76" s="1043"/>
      <c r="Z76" s="1043"/>
      <c r="AA76" s="1043"/>
      <c r="AB76" s="1043"/>
      <c r="AC76" s="1043"/>
      <c r="AD76" s="1043"/>
      <c r="AE76" s="1043"/>
      <c r="AF76" s="1043"/>
      <c r="AG76" s="1043"/>
      <c r="AH76" s="1043"/>
      <c r="AI76" s="1043"/>
      <c r="AJ76" s="1043"/>
      <c r="AK76" s="1043"/>
      <c r="AL76" s="1043"/>
      <c r="AM76" s="1043"/>
      <c r="AN76" s="1043"/>
      <c r="AO76" s="1043"/>
      <c r="AP76" s="1043"/>
      <c r="AQ76" s="1043"/>
      <c r="AR76" s="1043"/>
      <c r="AS76" s="1043"/>
      <c r="AT76" s="1043"/>
      <c r="AU76" s="1043"/>
      <c r="AV76" s="1043"/>
      <c r="AW76" s="1043"/>
      <c r="AX76" s="1043"/>
      <c r="AY76" s="1043"/>
      <c r="AZ76" s="1043"/>
      <c r="BA76" s="1043"/>
      <c r="BB76" s="1043"/>
      <c r="BC76" s="1043"/>
      <c r="BD76" s="1043"/>
      <c r="BE76" s="1043"/>
      <c r="BF76" s="1043"/>
      <c r="BG76" s="1043"/>
      <c r="BH76" s="1043"/>
      <c r="BI76" s="1043"/>
      <c r="BJ76" s="1038"/>
      <c r="BK76" s="1038"/>
      <c r="BL76" s="1038"/>
      <c r="BM76" s="1038"/>
      <c r="BN76" s="1038"/>
      <c r="BO76" s="1038"/>
      <c r="BP76" s="1038"/>
      <c r="BQ76" s="1038"/>
      <c r="BR76" s="1038"/>
      <c r="BS76" s="1038"/>
      <c r="BT76" s="1038"/>
      <c r="BU76" s="1038"/>
      <c r="BV76" s="1043"/>
      <c r="BW76" s="179"/>
      <c r="BX76" s="977"/>
      <c r="BY76" s="176"/>
      <c r="BZ76" s="176"/>
      <c r="CA76" s="176"/>
      <c r="CB76" s="176"/>
      <c r="CC76" s="176"/>
      <c r="CD76" s="176"/>
      <c r="CE76" s="176"/>
      <c r="CF76" s="977"/>
      <c r="CG76" s="176"/>
      <c r="CH76" s="185"/>
      <c r="CI76" s="1018"/>
      <c r="CJ76" s="179"/>
      <c r="CK76" s="977"/>
      <c r="CL76" s="977"/>
      <c r="CM76" s="977"/>
      <c r="CN76" s="977"/>
      <c r="CO76" s="977"/>
      <c r="CP76" s="977"/>
      <c r="CQ76" s="977"/>
      <c r="CR76" s="977"/>
      <c r="CS76" s="977"/>
      <c r="CT76" s="977"/>
      <c r="CU76" s="1012"/>
      <c r="CV76" s="1120"/>
      <c r="CW76" s="989"/>
      <c r="CX76" s="977"/>
      <c r="CY76" s="977"/>
      <c r="CZ76" s="977"/>
      <c r="DA76" s="977"/>
      <c r="DB76" s="977"/>
      <c r="DC76" s="977"/>
      <c r="DD76" s="977"/>
      <c r="DE76" s="977"/>
      <c r="DF76" s="977"/>
      <c r="DG76" s="977"/>
      <c r="DH76" s="1012"/>
      <c r="DI76" s="1120"/>
      <c r="DJ76" s="972"/>
      <c r="DK76" s="214"/>
    </row>
    <row r="77" spans="1:116" ht="15" customHeight="1" x14ac:dyDescent="0.25">
      <c r="A77" s="1048"/>
      <c r="B77" s="1068"/>
      <c r="C77" s="1069"/>
      <c r="D77" s="1070"/>
      <c r="E77" s="244"/>
      <c r="F77" s="155"/>
      <c r="G77" s="1073"/>
      <c r="H77" s="196"/>
      <c r="I77" s="1039"/>
      <c r="J77" s="1043"/>
      <c r="K77" s="1043"/>
      <c r="L77" s="1043"/>
      <c r="M77" s="1043"/>
      <c r="N77" s="1043"/>
      <c r="O77" s="1043"/>
      <c r="P77" s="1043"/>
      <c r="Q77" s="1043"/>
      <c r="R77" s="1043"/>
      <c r="S77" s="1043"/>
      <c r="T77" s="1043"/>
      <c r="U77" s="1043"/>
      <c r="V77" s="1043"/>
      <c r="W77" s="1043"/>
      <c r="X77" s="1043"/>
      <c r="Y77" s="1043"/>
      <c r="Z77" s="1043"/>
      <c r="AA77" s="1043"/>
      <c r="AB77" s="1043"/>
      <c r="AC77" s="1043"/>
      <c r="AD77" s="1043"/>
      <c r="AE77" s="1043"/>
      <c r="AF77" s="1043"/>
      <c r="AG77" s="1043"/>
      <c r="AH77" s="1043"/>
      <c r="AI77" s="1043"/>
      <c r="AJ77" s="1043"/>
      <c r="AK77" s="1043"/>
      <c r="AL77" s="1043"/>
      <c r="AM77" s="1043"/>
      <c r="AN77" s="1043"/>
      <c r="AO77" s="1043"/>
      <c r="AP77" s="1043"/>
      <c r="AQ77" s="1043"/>
      <c r="AR77" s="1043"/>
      <c r="AS77" s="1043"/>
      <c r="AT77" s="1043"/>
      <c r="AU77" s="1043"/>
      <c r="AV77" s="1043"/>
      <c r="AW77" s="1043"/>
      <c r="AX77" s="1043"/>
      <c r="AY77" s="1043"/>
      <c r="AZ77" s="1043"/>
      <c r="BA77" s="1043"/>
      <c r="BB77" s="1043"/>
      <c r="BC77" s="1043"/>
      <c r="BD77" s="1043"/>
      <c r="BE77" s="1043"/>
      <c r="BF77" s="1043"/>
      <c r="BG77" s="1043"/>
      <c r="BH77" s="1043"/>
      <c r="BI77" s="1043"/>
      <c r="BJ77" s="1039"/>
      <c r="BK77" s="1039"/>
      <c r="BL77" s="1039"/>
      <c r="BM77" s="1039"/>
      <c r="BN77" s="1039"/>
      <c r="BO77" s="1039"/>
      <c r="BP77" s="1039"/>
      <c r="BQ77" s="1039"/>
      <c r="BR77" s="1039"/>
      <c r="BS77" s="1039"/>
      <c r="BT77" s="1039"/>
      <c r="BU77" s="1039"/>
      <c r="BV77" s="1043"/>
      <c r="BW77" s="180"/>
      <c r="BX77" s="978"/>
      <c r="BY77" s="177"/>
      <c r="BZ77" s="177"/>
      <c r="CA77" s="177"/>
      <c r="CB77" s="177"/>
      <c r="CC77" s="177"/>
      <c r="CD77" s="177"/>
      <c r="CE77" s="177"/>
      <c r="CF77" s="978"/>
      <c r="CG77" s="177"/>
      <c r="CH77" s="186"/>
      <c r="CI77" s="1018"/>
      <c r="CJ77" s="180"/>
      <c r="CK77" s="978"/>
      <c r="CL77" s="978"/>
      <c r="CM77" s="978"/>
      <c r="CN77" s="978"/>
      <c r="CO77" s="978"/>
      <c r="CP77" s="978"/>
      <c r="CQ77" s="978"/>
      <c r="CR77" s="978"/>
      <c r="CS77" s="978"/>
      <c r="CT77" s="978"/>
      <c r="CU77" s="1013"/>
      <c r="CV77" s="1120"/>
      <c r="CW77" s="990"/>
      <c r="CX77" s="978"/>
      <c r="CY77" s="978"/>
      <c r="CZ77" s="978"/>
      <c r="DA77" s="978"/>
      <c r="DB77" s="978"/>
      <c r="DC77" s="978"/>
      <c r="DD77" s="978"/>
      <c r="DE77" s="978"/>
      <c r="DF77" s="978"/>
      <c r="DG77" s="978"/>
      <c r="DH77" s="1013"/>
      <c r="DI77" s="1120"/>
      <c r="DJ77" s="973"/>
      <c r="DK77" s="215"/>
    </row>
    <row r="78" spans="1:116" ht="15" customHeight="1" x14ac:dyDescent="0.25">
      <c r="A78" s="995">
        <v>12</v>
      </c>
      <c r="B78" s="985" t="s">
        <v>362</v>
      </c>
      <c r="C78" s="1117"/>
      <c r="D78" s="975" t="s">
        <v>358</v>
      </c>
      <c r="E78" s="245" t="s">
        <v>254</v>
      </c>
      <c r="F78" s="149">
        <v>30</v>
      </c>
      <c r="G78" s="1071">
        <f>F78+F79+F80+F81+F82+F83+F84+F86+F85</f>
        <v>270</v>
      </c>
      <c r="H78" s="194"/>
      <c r="I78" s="1037"/>
      <c r="J78" s="1037"/>
      <c r="K78" s="1037"/>
      <c r="L78" s="1037"/>
      <c r="M78" s="1037"/>
      <c r="N78" s="1037"/>
      <c r="O78" s="1037"/>
      <c r="P78" s="1037"/>
      <c r="Q78" s="1037"/>
      <c r="R78" s="1037"/>
      <c r="S78" s="1037"/>
      <c r="T78" s="1037"/>
      <c r="U78" s="1037"/>
      <c r="V78" s="1037">
        <f>SUM(J78:U80)</f>
        <v>0</v>
      </c>
      <c r="W78" s="1037">
        <v>10</v>
      </c>
      <c r="X78" s="1037"/>
      <c r="Y78" s="1037"/>
      <c r="Z78" s="1037"/>
      <c r="AA78" s="1037"/>
      <c r="AB78" s="1037"/>
      <c r="AC78" s="1037"/>
      <c r="AD78" s="1037">
        <v>16</v>
      </c>
      <c r="AE78" s="1037">
        <v>30</v>
      </c>
      <c r="AF78" s="1037">
        <v>30</v>
      </c>
      <c r="AG78" s="1037"/>
      <c r="AH78" s="1037"/>
      <c r="AI78" s="1037">
        <f>SUM(W78:AH78)</f>
        <v>86</v>
      </c>
      <c r="AJ78" s="1037"/>
      <c r="AK78" s="1037"/>
      <c r="AL78" s="1037"/>
      <c r="AM78" s="1037"/>
      <c r="AN78" s="1037"/>
      <c r="AO78" s="1037"/>
      <c r="AP78" s="1037"/>
      <c r="AQ78" s="1037">
        <v>3</v>
      </c>
      <c r="AR78" s="1037"/>
      <c r="AS78" s="1037">
        <v>23</v>
      </c>
      <c r="AT78" s="1037"/>
      <c r="AU78" s="1037">
        <v>1</v>
      </c>
      <c r="AV78" s="1037">
        <f>SUM(AJ78:AU78)</f>
        <v>27</v>
      </c>
      <c r="AW78" s="1037">
        <v>1</v>
      </c>
      <c r="AX78" s="1037"/>
      <c r="AY78" s="1037"/>
      <c r="AZ78" s="1037"/>
      <c r="BA78" s="1037"/>
      <c r="BB78" s="1037"/>
      <c r="BC78" s="1037"/>
      <c r="BD78" s="1037"/>
      <c r="BE78" s="1037"/>
      <c r="BF78" s="1037"/>
      <c r="BG78" s="1037">
        <v>1</v>
      </c>
      <c r="BH78" s="1037"/>
      <c r="BI78" s="1037">
        <f>SUM(AW78:BH78)</f>
        <v>2</v>
      </c>
      <c r="BJ78" s="1037"/>
      <c r="BK78" s="1037"/>
      <c r="BL78" s="1037">
        <v>7</v>
      </c>
      <c r="BM78" s="1037"/>
      <c r="BN78" s="1037"/>
      <c r="BO78" s="1037"/>
      <c r="BP78" s="1037"/>
      <c r="BQ78" s="1037"/>
      <c r="BR78" s="1037"/>
      <c r="BS78" s="1037"/>
      <c r="BT78" s="1037"/>
      <c r="BU78" s="1037">
        <v>4</v>
      </c>
      <c r="BV78" s="1037">
        <f>SUM(BJ78:BU78)</f>
        <v>11</v>
      </c>
      <c r="BW78" s="988">
        <v>54</v>
      </c>
      <c r="BX78" s="976"/>
      <c r="BY78" s="976"/>
      <c r="BZ78" s="976"/>
      <c r="CA78" s="976"/>
      <c r="CB78" s="976"/>
      <c r="CC78" s="976"/>
      <c r="CD78" s="976"/>
      <c r="CE78" s="976"/>
      <c r="CF78" s="976"/>
      <c r="CG78" s="976"/>
      <c r="CH78" s="979"/>
      <c r="CI78" s="1065">
        <f>SUM(BW78:CH78)</f>
        <v>54</v>
      </c>
      <c r="CJ78" s="988"/>
      <c r="CK78" s="976"/>
      <c r="CL78" s="976"/>
      <c r="CM78" s="976"/>
      <c r="CN78" s="976"/>
      <c r="CO78" s="976"/>
      <c r="CP78" s="976">
        <v>9</v>
      </c>
      <c r="CQ78" s="976"/>
      <c r="CR78" s="976"/>
      <c r="CS78" s="976"/>
      <c r="CT78" s="976">
        <v>11</v>
      </c>
      <c r="CU78" s="979"/>
      <c r="CV78" s="1065">
        <f>SUM(CJ78:CU78)</f>
        <v>20</v>
      </c>
      <c r="CW78" s="988"/>
      <c r="CX78" s="976"/>
      <c r="CY78" s="976"/>
      <c r="CZ78" s="976"/>
      <c r="DA78" s="976"/>
      <c r="DB78" s="976"/>
      <c r="DC78" s="976"/>
      <c r="DD78" s="976"/>
      <c r="DE78" s="976"/>
      <c r="DF78" s="976"/>
      <c r="DG78" s="976"/>
      <c r="DH78" s="979"/>
      <c r="DI78" s="1065">
        <f>SUM(CW78:DH78)</f>
        <v>0</v>
      </c>
      <c r="DJ78" s="971">
        <f>I78+V78+AI78+AV78+BI78+BV78+CI78+CV78</f>
        <v>200</v>
      </c>
      <c r="DK78" s="216">
        <f>H82-DJ78</f>
        <v>70</v>
      </c>
    </row>
    <row r="79" spans="1:116" ht="15" customHeight="1" x14ac:dyDescent="0.25">
      <c r="A79" s="995"/>
      <c r="B79" s="986"/>
      <c r="C79" s="1118"/>
      <c r="D79" s="1119"/>
      <c r="E79" s="245" t="s">
        <v>255</v>
      </c>
      <c r="F79" s="150">
        <v>30</v>
      </c>
      <c r="G79" s="1072"/>
      <c r="H79" s="195"/>
      <c r="I79" s="1038"/>
      <c r="J79" s="1038"/>
      <c r="K79" s="1038"/>
      <c r="L79" s="1038"/>
      <c r="M79" s="1038"/>
      <c r="N79" s="1038"/>
      <c r="O79" s="1038"/>
      <c r="P79" s="1038"/>
      <c r="Q79" s="1038"/>
      <c r="R79" s="1038"/>
      <c r="S79" s="1038"/>
      <c r="T79" s="1038"/>
      <c r="U79" s="1038"/>
      <c r="V79" s="1038"/>
      <c r="W79" s="1038"/>
      <c r="X79" s="1038"/>
      <c r="Y79" s="1038"/>
      <c r="Z79" s="1038"/>
      <c r="AA79" s="1038"/>
      <c r="AB79" s="1038"/>
      <c r="AC79" s="1038"/>
      <c r="AD79" s="1038"/>
      <c r="AE79" s="1038"/>
      <c r="AF79" s="1038"/>
      <c r="AG79" s="1038"/>
      <c r="AH79" s="1038"/>
      <c r="AI79" s="1038"/>
      <c r="AJ79" s="1038"/>
      <c r="AK79" s="1038"/>
      <c r="AL79" s="1038"/>
      <c r="AM79" s="1038"/>
      <c r="AN79" s="1038"/>
      <c r="AO79" s="1038"/>
      <c r="AP79" s="1038"/>
      <c r="AQ79" s="1038"/>
      <c r="AR79" s="1038"/>
      <c r="AS79" s="1038"/>
      <c r="AT79" s="1038"/>
      <c r="AU79" s="1038"/>
      <c r="AV79" s="1038"/>
      <c r="AW79" s="1038"/>
      <c r="AX79" s="1038"/>
      <c r="AY79" s="1038"/>
      <c r="AZ79" s="1038"/>
      <c r="BA79" s="1038"/>
      <c r="BB79" s="1038"/>
      <c r="BC79" s="1038"/>
      <c r="BD79" s="1038"/>
      <c r="BE79" s="1038"/>
      <c r="BF79" s="1038"/>
      <c r="BG79" s="1038"/>
      <c r="BH79" s="1038"/>
      <c r="BI79" s="1038"/>
      <c r="BJ79" s="1038"/>
      <c r="BK79" s="1038"/>
      <c r="BL79" s="1038"/>
      <c r="BM79" s="1038"/>
      <c r="BN79" s="1038"/>
      <c r="BO79" s="1038"/>
      <c r="BP79" s="1038"/>
      <c r="BQ79" s="1038"/>
      <c r="BR79" s="1038"/>
      <c r="BS79" s="1038"/>
      <c r="BT79" s="1038"/>
      <c r="BU79" s="1038"/>
      <c r="BV79" s="1038"/>
      <c r="BW79" s="989"/>
      <c r="BX79" s="977"/>
      <c r="BY79" s="977"/>
      <c r="BZ79" s="977"/>
      <c r="CA79" s="977"/>
      <c r="CB79" s="977"/>
      <c r="CC79" s="977"/>
      <c r="CD79" s="977"/>
      <c r="CE79" s="977"/>
      <c r="CF79" s="977"/>
      <c r="CG79" s="977"/>
      <c r="CH79" s="980"/>
      <c r="CI79" s="1115"/>
      <c r="CJ79" s="989"/>
      <c r="CK79" s="977"/>
      <c r="CL79" s="977"/>
      <c r="CM79" s="977"/>
      <c r="CN79" s="977"/>
      <c r="CO79" s="977"/>
      <c r="CP79" s="977"/>
      <c r="CQ79" s="977"/>
      <c r="CR79" s="977"/>
      <c r="CS79" s="977"/>
      <c r="CT79" s="977"/>
      <c r="CU79" s="980"/>
      <c r="CV79" s="1115"/>
      <c r="CW79" s="989"/>
      <c r="CX79" s="977"/>
      <c r="CY79" s="977"/>
      <c r="CZ79" s="977"/>
      <c r="DA79" s="977"/>
      <c r="DB79" s="977"/>
      <c r="DC79" s="977"/>
      <c r="DD79" s="977"/>
      <c r="DE79" s="977"/>
      <c r="DF79" s="977"/>
      <c r="DG79" s="977"/>
      <c r="DH79" s="980"/>
      <c r="DI79" s="1115"/>
      <c r="DJ79" s="972"/>
      <c r="DK79" s="214"/>
    </row>
    <row r="80" spans="1:116" ht="15" customHeight="1" x14ac:dyDescent="0.25">
      <c r="A80" s="995"/>
      <c r="B80" s="986"/>
      <c r="C80" s="1118"/>
      <c r="D80" s="1119"/>
      <c r="E80" s="245" t="s">
        <v>256</v>
      </c>
      <c r="F80" s="150">
        <v>30</v>
      </c>
      <c r="G80" s="1072"/>
      <c r="H80" s="195"/>
      <c r="I80" s="1038"/>
      <c r="J80" s="1038"/>
      <c r="K80" s="1038"/>
      <c r="L80" s="1038"/>
      <c r="M80" s="1038"/>
      <c r="N80" s="1038"/>
      <c r="O80" s="1038"/>
      <c r="P80" s="1038"/>
      <c r="Q80" s="1038"/>
      <c r="R80" s="1038"/>
      <c r="S80" s="1038"/>
      <c r="T80" s="1038"/>
      <c r="U80" s="1038"/>
      <c r="V80" s="1038"/>
      <c r="W80" s="1038"/>
      <c r="X80" s="1038"/>
      <c r="Y80" s="1038"/>
      <c r="Z80" s="1038"/>
      <c r="AA80" s="1038"/>
      <c r="AB80" s="1038"/>
      <c r="AC80" s="1038"/>
      <c r="AD80" s="1038"/>
      <c r="AE80" s="1038"/>
      <c r="AF80" s="1038"/>
      <c r="AG80" s="1038"/>
      <c r="AH80" s="1038"/>
      <c r="AI80" s="1038"/>
      <c r="AJ80" s="1038"/>
      <c r="AK80" s="1038"/>
      <c r="AL80" s="1038"/>
      <c r="AM80" s="1038"/>
      <c r="AN80" s="1038"/>
      <c r="AO80" s="1038"/>
      <c r="AP80" s="1038"/>
      <c r="AQ80" s="1038"/>
      <c r="AR80" s="1038"/>
      <c r="AS80" s="1038"/>
      <c r="AT80" s="1038"/>
      <c r="AU80" s="1038"/>
      <c r="AV80" s="1038"/>
      <c r="AW80" s="1038"/>
      <c r="AX80" s="1038"/>
      <c r="AY80" s="1038"/>
      <c r="AZ80" s="1038"/>
      <c r="BA80" s="1038"/>
      <c r="BB80" s="1038"/>
      <c r="BC80" s="1038"/>
      <c r="BD80" s="1038"/>
      <c r="BE80" s="1038"/>
      <c r="BF80" s="1038"/>
      <c r="BG80" s="1038"/>
      <c r="BH80" s="1038"/>
      <c r="BI80" s="1038"/>
      <c r="BJ80" s="1038"/>
      <c r="BK80" s="1038"/>
      <c r="BL80" s="1038"/>
      <c r="BM80" s="1038"/>
      <c r="BN80" s="1038"/>
      <c r="BO80" s="1038"/>
      <c r="BP80" s="1038"/>
      <c r="BQ80" s="1038"/>
      <c r="BR80" s="1038"/>
      <c r="BS80" s="1038"/>
      <c r="BT80" s="1038"/>
      <c r="BU80" s="1038"/>
      <c r="BV80" s="1038"/>
      <c r="BW80" s="989"/>
      <c r="BX80" s="977"/>
      <c r="BY80" s="977"/>
      <c r="BZ80" s="977"/>
      <c r="CA80" s="977"/>
      <c r="CB80" s="977"/>
      <c r="CC80" s="977"/>
      <c r="CD80" s="977"/>
      <c r="CE80" s="977"/>
      <c r="CF80" s="977"/>
      <c r="CG80" s="977"/>
      <c r="CH80" s="980"/>
      <c r="CI80" s="1115"/>
      <c r="CJ80" s="989"/>
      <c r="CK80" s="977"/>
      <c r="CL80" s="977"/>
      <c r="CM80" s="977"/>
      <c r="CN80" s="977"/>
      <c r="CO80" s="977"/>
      <c r="CP80" s="977"/>
      <c r="CQ80" s="977"/>
      <c r="CR80" s="977"/>
      <c r="CS80" s="977"/>
      <c r="CT80" s="977"/>
      <c r="CU80" s="980"/>
      <c r="CV80" s="1115"/>
      <c r="CW80" s="989"/>
      <c r="CX80" s="977"/>
      <c r="CY80" s="977"/>
      <c r="CZ80" s="977"/>
      <c r="DA80" s="977"/>
      <c r="DB80" s="977"/>
      <c r="DC80" s="977"/>
      <c r="DD80" s="977"/>
      <c r="DE80" s="977"/>
      <c r="DF80" s="977"/>
      <c r="DG80" s="977"/>
      <c r="DH80" s="980"/>
      <c r="DI80" s="1115"/>
      <c r="DJ80" s="972"/>
      <c r="DK80" s="214"/>
    </row>
    <row r="81" spans="1:116" ht="15" customHeight="1" x14ac:dyDescent="0.25">
      <c r="A81" s="995"/>
      <c r="B81" s="986"/>
      <c r="C81" s="1118"/>
      <c r="D81" s="1119"/>
      <c r="E81" s="245" t="s">
        <v>257</v>
      </c>
      <c r="F81" s="150">
        <v>30</v>
      </c>
      <c r="G81" s="1072"/>
      <c r="H81" s="195"/>
      <c r="I81" s="1038"/>
      <c r="J81" s="1038"/>
      <c r="K81" s="1038"/>
      <c r="L81" s="1038"/>
      <c r="M81" s="1038"/>
      <c r="N81" s="1038"/>
      <c r="O81" s="1038"/>
      <c r="P81" s="1038"/>
      <c r="Q81" s="1038"/>
      <c r="R81" s="1038"/>
      <c r="S81" s="1038"/>
      <c r="T81" s="1038"/>
      <c r="U81" s="1038"/>
      <c r="V81" s="1038"/>
      <c r="W81" s="1038"/>
      <c r="X81" s="1038"/>
      <c r="Y81" s="1038"/>
      <c r="Z81" s="1038"/>
      <c r="AA81" s="1038"/>
      <c r="AB81" s="1038"/>
      <c r="AC81" s="1038"/>
      <c r="AD81" s="1038"/>
      <c r="AE81" s="1038"/>
      <c r="AF81" s="1038"/>
      <c r="AG81" s="1038"/>
      <c r="AH81" s="1038"/>
      <c r="AI81" s="1038"/>
      <c r="AJ81" s="1038"/>
      <c r="AK81" s="1038"/>
      <c r="AL81" s="1038"/>
      <c r="AM81" s="1038"/>
      <c r="AN81" s="1038"/>
      <c r="AO81" s="1038"/>
      <c r="AP81" s="1038"/>
      <c r="AQ81" s="1038"/>
      <c r="AR81" s="1038"/>
      <c r="AS81" s="1038"/>
      <c r="AT81" s="1038"/>
      <c r="AU81" s="1038"/>
      <c r="AV81" s="1038"/>
      <c r="AW81" s="1038"/>
      <c r="AX81" s="1038"/>
      <c r="AY81" s="1038"/>
      <c r="AZ81" s="1038"/>
      <c r="BA81" s="1038"/>
      <c r="BB81" s="1038"/>
      <c r="BC81" s="1038"/>
      <c r="BD81" s="1038"/>
      <c r="BE81" s="1038"/>
      <c r="BF81" s="1038"/>
      <c r="BG81" s="1038"/>
      <c r="BH81" s="1038"/>
      <c r="BI81" s="1038"/>
      <c r="BJ81" s="1038"/>
      <c r="BK81" s="1038"/>
      <c r="BL81" s="1038"/>
      <c r="BM81" s="1038"/>
      <c r="BN81" s="1038"/>
      <c r="BO81" s="1038"/>
      <c r="BP81" s="1038"/>
      <c r="BQ81" s="1038"/>
      <c r="BR81" s="1038"/>
      <c r="BS81" s="1038"/>
      <c r="BT81" s="1038"/>
      <c r="BU81" s="1038"/>
      <c r="BV81" s="1038"/>
      <c r="BW81" s="989"/>
      <c r="BX81" s="977"/>
      <c r="BY81" s="977"/>
      <c r="BZ81" s="977"/>
      <c r="CA81" s="977"/>
      <c r="CB81" s="977"/>
      <c r="CC81" s="977"/>
      <c r="CD81" s="977"/>
      <c r="CE81" s="977"/>
      <c r="CF81" s="977"/>
      <c r="CG81" s="977"/>
      <c r="CH81" s="980"/>
      <c r="CI81" s="1115"/>
      <c r="CJ81" s="989"/>
      <c r="CK81" s="977"/>
      <c r="CL81" s="977"/>
      <c r="CM81" s="977"/>
      <c r="CN81" s="977"/>
      <c r="CO81" s="977"/>
      <c r="CP81" s="977"/>
      <c r="CQ81" s="977"/>
      <c r="CR81" s="977"/>
      <c r="CS81" s="977"/>
      <c r="CT81" s="977"/>
      <c r="CU81" s="980"/>
      <c r="CV81" s="1115"/>
      <c r="CW81" s="989"/>
      <c r="CX81" s="977"/>
      <c r="CY81" s="977"/>
      <c r="CZ81" s="977"/>
      <c r="DA81" s="977"/>
      <c r="DB81" s="977"/>
      <c r="DC81" s="977"/>
      <c r="DD81" s="977"/>
      <c r="DE81" s="977"/>
      <c r="DF81" s="977"/>
      <c r="DG81" s="977"/>
      <c r="DH81" s="980"/>
      <c r="DI81" s="1115"/>
      <c r="DJ81" s="972"/>
      <c r="DK81" s="214"/>
    </row>
    <row r="82" spans="1:116" ht="13.5" customHeight="1" x14ac:dyDescent="0.25">
      <c r="A82" s="995"/>
      <c r="B82" s="986"/>
      <c r="C82" s="1118"/>
      <c r="D82" s="1119"/>
      <c r="E82" s="245" t="s">
        <v>258</v>
      </c>
      <c r="F82" s="150">
        <v>30</v>
      </c>
      <c r="G82" s="1072"/>
      <c r="H82" s="228">
        <f>ROUNDDOWN(($H$2-D78)/365,0)*30</f>
        <v>270</v>
      </c>
      <c r="I82" s="1038"/>
      <c r="J82" s="1038"/>
      <c r="K82" s="1038"/>
      <c r="L82" s="1038"/>
      <c r="M82" s="1038"/>
      <c r="N82" s="1038"/>
      <c r="O82" s="1038"/>
      <c r="P82" s="1038"/>
      <c r="Q82" s="1038"/>
      <c r="R82" s="1038"/>
      <c r="S82" s="1038"/>
      <c r="T82" s="1038"/>
      <c r="U82" s="1038"/>
      <c r="V82" s="1038"/>
      <c r="W82" s="1038"/>
      <c r="X82" s="1038"/>
      <c r="Y82" s="1038"/>
      <c r="Z82" s="1038"/>
      <c r="AA82" s="1038"/>
      <c r="AB82" s="1038"/>
      <c r="AC82" s="1038"/>
      <c r="AD82" s="1038"/>
      <c r="AE82" s="1038"/>
      <c r="AF82" s="1038"/>
      <c r="AG82" s="1038"/>
      <c r="AH82" s="1038"/>
      <c r="AI82" s="1038"/>
      <c r="AJ82" s="1038"/>
      <c r="AK82" s="1038"/>
      <c r="AL82" s="1038"/>
      <c r="AM82" s="1038"/>
      <c r="AN82" s="1038"/>
      <c r="AO82" s="1038"/>
      <c r="AP82" s="1038"/>
      <c r="AQ82" s="1038"/>
      <c r="AR82" s="1038"/>
      <c r="AS82" s="1038"/>
      <c r="AT82" s="1038"/>
      <c r="AU82" s="1038"/>
      <c r="AV82" s="1038"/>
      <c r="AW82" s="1038"/>
      <c r="AX82" s="1038"/>
      <c r="AY82" s="1038"/>
      <c r="AZ82" s="1038"/>
      <c r="BA82" s="1038"/>
      <c r="BB82" s="1038"/>
      <c r="BC82" s="1038"/>
      <c r="BD82" s="1038"/>
      <c r="BE82" s="1038"/>
      <c r="BF82" s="1038"/>
      <c r="BG82" s="1038"/>
      <c r="BH82" s="1038"/>
      <c r="BI82" s="1038"/>
      <c r="BJ82" s="1038"/>
      <c r="BK82" s="1038"/>
      <c r="BL82" s="1038"/>
      <c r="BM82" s="1038"/>
      <c r="BN82" s="1038"/>
      <c r="BO82" s="1038"/>
      <c r="BP82" s="1038"/>
      <c r="BQ82" s="1038"/>
      <c r="BR82" s="1038"/>
      <c r="BS82" s="1038"/>
      <c r="BT82" s="1038"/>
      <c r="BU82" s="1038"/>
      <c r="BV82" s="1038"/>
      <c r="BW82" s="989"/>
      <c r="BX82" s="977"/>
      <c r="BY82" s="977"/>
      <c r="BZ82" s="977"/>
      <c r="CA82" s="977"/>
      <c r="CB82" s="977"/>
      <c r="CC82" s="977"/>
      <c r="CD82" s="977"/>
      <c r="CE82" s="977"/>
      <c r="CF82" s="977"/>
      <c r="CG82" s="977"/>
      <c r="CH82" s="980"/>
      <c r="CI82" s="1115"/>
      <c r="CJ82" s="989"/>
      <c r="CK82" s="977"/>
      <c r="CL82" s="977"/>
      <c r="CM82" s="977"/>
      <c r="CN82" s="977"/>
      <c r="CO82" s="977"/>
      <c r="CP82" s="977"/>
      <c r="CQ82" s="977"/>
      <c r="CR82" s="977"/>
      <c r="CS82" s="977"/>
      <c r="CT82" s="977"/>
      <c r="CU82" s="980"/>
      <c r="CV82" s="1115"/>
      <c r="CW82" s="989"/>
      <c r="CX82" s="977"/>
      <c r="CY82" s="977"/>
      <c r="CZ82" s="977"/>
      <c r="DA82" s="977"/>
      <c r="DB82" s="977"/>
      <c r="DC82" s="977"/>
      <c r="DD82" s="977"/>
      <c r="DE82" s="977"/>
      <c r="DF82" s="977"/>
      <c r="DG82" s="977"/>
      <c r="DH82" s="980"/>
      <c r="DI82" s="1115"/>
      <c r="DJ82" s="972"/>
      <c r="DK82" s="214"/>
    </row>
    <row r="83" spans="1:116" ht="13.5" customHeight="1" x14ac:dyDescent="0.25">
      <c r="A83" s="995"/>
      <c r="B83" s="986"/>
      <c r="C83" s="1118"/>
      <c r="D83" s="1119"/>
      <c r="E83" s="245" t="s">
        <v>259</v>
      </c>
      <c r="F83" s="150">
        <v>30</v>
      </c>
      <c r="G83" s="1072"/>
      <c r="H83" s="195"/>
      <c r="I83" s="1038"/>
      <c r="J83" s="1038"/>
      <c r="K83" s="1038"/>
      <c r="L83" s="1038"/>
      <c r="M83" s="1038"/>
      <c r="N83" s="1038"/>
      <c r="O83" s="1038"/>
      <c r="P83" s="1038"/>
      <c r="Q83" s="1038"/>
      <c r="R83" s="1038"/>
      <c r="S83" s="1038"/>
      <c r="T83" s="1038"/>
      <c r="U83" s="1038"/>
      <c r="V83" s="1038"/>
      <c r="W83" s="1038"/>
      <c r="X83" s="1038"/>
      <c r="Y83" s="1038"/>
      <c r="Z83" s="1038"/>
      <c r="AA83" s="1038"/>
      <c r="AB83" s="1038"/>
      <c r="AC83" s="1038"/>
      <c r="AD83" s="1038"/>
      <c r="AE83" s="1038"/>
      <c r="AF83" s="1038"/>
      <c r="AG83" s="1038"/>
      <c r="AH83" s="1038"/>
      <c r="AI83" s="1038"/>
      <c r="AJ83" s="1038"/>
      <c r="AK83" s="1038"/>
      <c r="AL83" s="1038"/>
      <c r="AM83" s="1038"/>
      <c r="AN83" s="1038"/>
      <c r="AO83" s="1038"/>
      <c r="AP83" s="1038"/>
      <c r="AQ83" s="1038"/>
      <c r="AR83" s="1038"/>
      <c r="AS83" s="1038"/>
      <c r="AT83" s="1038"/>
      <c r="AU83" s="1038"/>
      <c r="AV83" s="1038"/>
      <c r="AW83" s="1038"/>
      <c r="AX83" s="1038"/>
      <c r="AY83" s="1038"/>
      <c r="AZ83" s="1038"/>
      <c r="BA83" s="1038"/>
      <c r="BB83" s="1038"/>
      <c r="BC83" s="1038"/>
      <c r="BD83" s="1038"/>
      <c r="BE83" s="1038"/>
      <c r="BF83" s="1038"/>
      <c r="BG83" s="1038"/>
      <c r="BH83" s="1038"/>
      <c r="BI83" s="1038"/>
      <c r="BJ83" s="1038"/>
      <c r="BK83" s="1038"/>
      <c r="BL83" s="1038"/>
      <c r="BM83" s="1038"/>
      <c r="BN83" s="1038"/>
      <c r="BO83" s="1038"/>
      <c r="BP83" s="1038"/>
      <c r="BQ83" s="1038"/>
      <c r="BR83" s="1038"/>
      <c r="BS83" s="1038"/>
      <c r="BT83" s="1038"/>
      <c r="BU83" s="1038"/>
      <c r="BV83" s="1038"/>
      <c r="BW83" s="989"/>
      <c r="BX83" s="977"/>
      <c r="BY83" s="977"/>
      <c r="BZ83" s="977"/>
      <c r="CA83" s="977"/>
      <c r="CB83" s="977"/>
      <c r="CC83" s="977"/>
      <c r="CD83" s="977"/>
      <c r="CE83" s="977"/>
      <c r="CF83" s="977"/>
      <c r="CG83" s="977"/>
      <c r="CH83" s="980"/>
      <c r="CI83" s="1115"/>
      <c r="CJ83" s="989"/>
      <c r="CK83" s="977"/>
      <c r="CL83" s="977"/>
      <c r="CM83" s="977"/>
      <c r="CN83" s="977"/>
      <c r="CO83" s="977"/>
      <c r="CP83" s="977"/>
      <c r="CQ83" s="977"/>
      <c r="CR83" s="977"/>
      <c r="CS83" s="977"/>
      <c r="CT83" s="977"/>
      <c r="CU83" s="980"/>
      <c r="CV83" s="1115"/>
      <c r="CW83" s="989"/>
      <c r="CX83" s="977"/>
      <c r="CY83" s="977"/>
      <c r="CZ83" s="977"/>
      <c r="DA83" s="977"/>
      <c r="DB83" s="977"/>
      <c r="DC83" s="977"/>
      <c r="DD83" s="977"/>
      <c r="DE83" s="977"/>
      <c r="DF83" s="977"/>
      <c r="DG83" s="977"/>
      <c r="DH83" s="980"/>
      <c r="DI83" s="1115"/>
      <c r="DJ83" s="972"/>
      <c r="DK83" s="214"/>
    </row>
    <row r="84" spans="1:116" ht="13.5" customHeight="1" x14ac:dyDescent="0.25">
      <c r="A84" s="995"/>
      <c r="B84" s="986"/>
      <c r="C84" s="1118"/>
      <c r="D84" s="1119"/>
      <c r="E84" s="189" t="s">
        <v>260</v>
      </c>
      <c r="F84" s="147">
        <v>30</v>
      </c>
      <c r="G84" s="1072"/>
      <c r="H84" s="195"/>
      <c r="I84" s="1038"/>
      <c r="J84" s="1038"/>
      <c r="K84" s="1038"/>
      <c r="L84" s="1038"/>
      <c r="M84" s="1038"/>
      <c r="N84" s="1038"/>
      <c r="O84" s="1038"/>
      <c r="P84" s="1038"/>
      <c r="Q84" s="1038"/>
      <c r="R84" s="1038"/>
      <c r="S84" s="1038"/>
      <c r="T84" s="1038"/>
      <c r="U84" s="1038"/>
      <c r="V84" s="1038"/>
      <c r="W84" s="1038"/>
      <c r="X84" s="1038"/>
      <c r="Y84" s="1038"/>
      <c r="Z84" s="1038"/>
      <c r="AA84" s="1038"/>
      <c r="AB84" s="1038"/>
      <c r="AC84" s="1038"/>
      <c r="AD84" s="1038"/>
      <c r="AE84" s="1038"/>
      <c r="AF84" s="1038"/>
      <c r="AG84" s="1038"/>
      <c r="AH84" s="1038"/>
      <c r="AI84" s="1038"/>
      <c r="AJ84" s="1038"/>
      <c r="AK84" s="1038"/>
      <c r="AL84" s="1038"/>
      <c r="AM84" s="1038"/>
      <c r="AN84" s="1038"/>
      <c r="AO84" s="1038"/>
      <c r="AP84" s="1038"/>
      <c r="AQ84" s="1038"/>
      <c r="AR84" s="1038"/>
      <c r="AS84" s="1038"/>
      <c r="AT84" s="1038"/>
      <c r="AU84" s="1038"/>
      <c r="AV84" s="1038"/>
      <c r="AW84" s="1038"/>
      <c r="AX84" s="1038"/>
      <c r="AY84" s="1038"/>
      <c r="AZ84" s="1038"/>
      <c r="BA84" s="1038"/>
      <c r="BB84" s="1038"/>
      <c r="BC84" s="1038"/>
      <c r="BD84" s="1038"/>
      <c r="BE84" s="1038"/>
      <c r="BF84" s="1038"/>
      <c r="BG84" s="1038"/>
      <c r="BH84" s="1038"/>
      <c r="BI84" s="1038"/>
      <c r="BJ84" s="1038"/>
      <c r="BK84" s="1038"/>
      <c r="BL84" s="1038"/>
      <c r="BM84" s="1038"/>
      <c r="BN84" s="1038"/>
      <c r="BO84" s="1038"/>
      <c r="BP84" s="1038"/>
      <c r="BQ84" s="1038"/>
      <c r="BR84" s="1038"/>
      <c r="BS84" s="1038"/>
      <c r="BT84" s="1038"/>
      <c r="BU84" s="1038"/>
      <c r="BV84" s="1038"/>
      <c r="BW84" s="989"/>
      <c r="BX84" s="977"/>
      <c r="BY84" s="977"/>
      <c r="BZ84" s="977"/>
      <c r="CA84" s="977"/>
      <c r="CB84" s="977"/>
      <c r="CC84" s="977"/>
      <c r="CD84" s="977"/>
      <c r="CE84" s="977"/>
      <c r="CF84" s="977"/>
      <c r="CG84" s="977"/>
      <c r="CH84" s="980"/>
      <c r="CI84" s="1115"/>
      <c r="CJ84" s="989"/>
      <c r="CK84" s="977"/>
      <c r="CL84" s="977"/>
      <c r="CM84" s="977"/>
      <c r="CN84" s="977"/>
      <c r="CO84" s="977"/>
      <c r="CP84" s="977"/>
      <c r="CQ84" s="977"/>
      <c r="CR84" s="977"/>
      <c r="CS84" s="977"/>
      <c r="CT84" s="977"/>
      <c r="CU84" s="980"/>
      <c r="CV84" s="1115"/>
      <c r="CW84" s="989"/>
      <c r="CX84" s="977"/>
      <c r="CY84" s="977"/>
      <c r="CZ84" s="977"/>
      <c r="DA84" s="977"/>
      <c r="DB84" s="977"/>
      <c r="DC84" s="977"/>
      <c r="DD84" s="977"/>
      <c r="DE84" s="977"/>
      <c r="DF84" s="977"/>
      <c r="DG84" s="977"/>
      <c r="DH84" s="980"/>
      <c r="DI84" s="1115"/>
      <c r="DJ84" s="972"/>
      <c r="DK84" s="214"/>
    </row>
    <row r="85" spans="1:116" ht="15" customHeight="1" x14ac:dyDescent="0.25">
      <c r="A85" s="995"/>
      <c r="B85" s="986"/>
      <c r="C85" s="1118"/>
      <c r="D85" s="1119"/>
      <c r="E85" s="189" t="s">
        <v>261</v>
      </c>
      <c r="F85" s="147">
        <v>30</v>
      </c>
      <c r="G85" s="1072"/>
      <c r="H85" s="195"/>
      <c r="I85" s="1038"/>
      <c r="J85" s="1038"/>
      <c r="K85" s="1038"/>
      <c r="L85" s="1038"/>
      <c r="M85" s="1038"/>
      <c r="N85" s="1038"/>
      <c r="O85" s="1038"/>
      <c r="P85" s="1038"/>
      <c r="Q85" s="1038"/>
      <c r="R85" s="1038"/>
      <c r="S85" s="1038"/>
      <c r="T85" s="1038"/>
      <c r="U85" s="1038"/>
      <c r="V85" s="1038"/>
      <c r="W85" s="1038"/>
      <c r="X85" s="1038"/>
      <c r="Y85" s="1038"/>
      <c r="Z85" s="1038"/>
      <c r="AA85" s="1038"/>
      <c r="AB85" s="1038"/>
      <c r="AC85" s="1038"/>
      <c r="AD85" s="1038"/>
      <c r="AE85" s="1038"/>
      <c r="AF85" s="1038"/>
      <c r="AG85" s="1038"/>
      <c r="AH85" s="1038"/>
      <c r="AI85" s="1038"/>
      <c r="AJ85" s="1038"/>
      <c r="AK85" s="1038"/>
      <c r="AL85" s="1038"/>
      <c r="AM85" s="1038"/>
      <c r="AN85" s="1038"/>
      <c r="AO85" s="1038"/>
      <c r="AP85" s="1038"/>
      <c r="AQ85" s="1038"/>
      <c r="AR85" s="1038"/>
      <c r="AS85" s="1038"/>
      <c r="AT85" s="1038"/>
      <c r="AU85" s="1038"/>
      <c r="AV85" s="1038"/>
      <c r="AW85" s="1038"/>
      <c r="AX85" s="1038"/>
      <c r="AY85" s="1038"/>
      <c r="AZ85" s="1038"/>
      <c r="BA85" s="1038"/>
      <c r="BB85" s="1038"/>
      <c r="BC85" s="1038"/>
      <c r="BD85" s="1038"/>
      <c r="BE85" s="1038"/>
      <c r="BF85" s="1038"/>
      <c r="BG85" s="1038"/>
      <c r="BH85" s="1038"/>
      <c r="BI85" s="1038"/>
      <c r="BJ85" s="1038"/>
      <c r="BK85" s="1038"/>
      <c r="BL85" s="1038"/>
      <c r="BM85" s="1038"/>
      <c r="BN85" s="1038"/>
      <c r="BO85" s="1038"/>
      <c r="BP85" s="1038"/>
      <c r="BQ85" s="1038"/>
      <c r="BR85" s="1038"/>
      <c r="BS85" s="1038"/>
      <c r="BT85" s="1038"/>
      <c r="BU85" s="1038"/>
      <c r="BV85" s="1038"/>
      <c r="BW85" s="989"/>
      <c r="BX85" s="977"/>
      <c r="BY85" s="977"/>
      <c r="BZ85" s="977"/>
      <c r="CA85" s="977"/>
      <c r="CB85" s="977"/>
      <c r="CC85" s="977"/>
      <c r="CD85" s="977"/>
      <c r="CE85" s="977"/>
      <c r="CF85" s="977"/>
      <c r="CG85" s="977"/>
      <c r="CH85" s="980"/>
      <c r="CI85" s="1115"/>
      <c r="CJ85" s="989"/>
      <c r="CK85" s="977"/>
      <c r="CL85" s="977"/>
      <c r="CM85" s="977"/>
      <c r="CN85" s="977"/>
      <c r="CO85" s="977"/>
      <c r="CP85" s="977"/>
      <c r="CQ85" s="977"/>
      <c r="CR85" s="977"/>
      <c r="CS85" s="977"/>
      <c r="CT85" s="977"/>
      <c r="CU85" s="980"/>
      <c r="CV85" s="1115"/>
      <c r="CW85" s="989"/>
      <c r="CX85" s="977"/>
      <c r="CY85" s="977"/>
      <c r="CZ85" s="977"/>
      <c r="DA85" s="977"/>
      <c r="DB85" s="977"/>
      <c r="DC85" s="977"/>
      <c r="DD85" s="977"/>
      <c r="DE85" s="977"/>
      <c r="DF85" s="977"/>
      <c r="DG85" s="977"/>
      <c r="DH85" s="980"/>
      <c r="DI85" s="1115"/>
      <c r="DJ85" s="972"/>
      <c r="DK85" s="214"/>
    </row>
    <row r="86" spans="1:116" ht="15" customHeight="1" x14ac:dyDescent="0.25">
      <c r="A86" s="995"/>
      <c r="B86" s="987"/>
      <c r="C86" s="1114"/>
      <c r="D86" s="1085"/>
      <c r="E86" s="189" t="s">
        <v>262</v>
      </c>
      <c r="F86" s="147">
        <v>30</v>
      </c>
      <c r="G86" s="1073"/>
      <c r="H86" s="196"/>
      <c r="I86" s="1039"/>
      <c r="J86" s="1039"/>
      <c r="K86" s="1039"/>
      <c r="L86" s="1039"/>
      <c r="M86" s="1039"/>
      <c r="N86" s="1039"/>
      <c r="O86" s="1039"/>
      <c r="P86" s="1039"/>
      <c r="Q86" s="1039"/>
      <c r="R86" s="1039"/>
      <c r="S86" s="1039"/>
      <c r="T86" s="1039"/>
      <c r="U86" s="1039"/>
      <c r="V86" s="1039"/>
      <c r="W86" s="1039"/>
      <c r="X86" s="1039"/>
      <c r="Y86" s="1039"/>
      <c r="Z86" s="1039"/>
      <c r="AA86" s="1039"/>
      <c r="AB86" s="1039"/>
      <c r="AC86" s="1039"/>
      <c r="AD86" s="1039"/>
      <c r="AE86" s="1039"/>
      <c r="AF86" s="1039"/>
      <c r="AG86" s="1039"/>
      <c r="AH86" s="1039"/>
      <c r="AI86" s="1039"/>
      <c r="AJ86" s="1039"/>
      <c r="AK86" s="1039"/>
      <c r="AL86" s="1039"/>
      <c r="AM86" s="1039"/>
      <c r="AN86" s="1039"/>
      <c r="AO86" s="1039"/>
      <c r="AP86" s="1039"/>
      <c r="AQ86" s="1039"/>
      <c r="AR86" s="1039"/>
      <c r="AS86" s="1039"/>
      <c r="AT86" s="1039"/>
      <c r="AU86" s="1039"/>
      <c r="AV86" s="1039"/>
      <c r="AW86" s="1039"/>
      <c r="AX86" s="1039"/>
      <c r="AY86" s="1039"/>
      <c r="AZ86" s="1039"/>
      <c r="BA86" s="1039"/>
      <c r="BB86" s="1039"/>
      <c r="BC86" s="1039"/>
      <c r="BD86" s="1039"/>
      <c r="BE86" s="1039"/>
      <c r="BF86" s="1039"/>
      <c r="BG86" s="1039"/>
      <c r="BH86" s="1039"/>
      <c r="BI86" s="1039"/>
      <c r="BJ86" s="1039"/>
      <c r="BK86" s="1039"/>
      <c r="BL86" s="1039"/>
      <c r="BM86" s="1039"/>
      <c r="BN86" s="1039"/>
      <c r="BO86" s="1039"/>
      <c r="BP86" s="1039"/>
      <c r="BQ86" s="1039"/>
      <c r="BR86" s="1039"/>
      <c r="BS86" s="1039"/>
      <c r="BT86" s="1039"/>
      <c r="BU86" s="1039"/>
      <c r="BV86" s="1039"/>
      <c r="BW86" s="990"/>
      <c r="BX86" s="978"/>
      <c r="BY86" s="978"/>
      <c r="BZ86" s="978"/>
      <c r="CA86" s="978"/>
      <c r="CB86" s="978"/>
      <c r="CC86" s="978"/>
      <c r="CD86" s="978"/>
      <c r="CE86" s="978"/>
      <c r="CF86" s="978"/>
      <c r="CG86" s="978"/>
      <c r="CH86" s="981"/>
      <c r="CI86" s="1111"/>
      <c r="CJ86" s="990"/>
      <c r="CK86" s="978"/>
      <c r="CL86" s="978"/>
      <c r="CM86" s="978"/>
      <c r="CN86" s="978"/>
      <c r="CO86" s="978"/>
      <c r="CP86" s="978"/>
      <c r="CQ86" s="978"/>
      <c r="CR86" s="978"/>
      <c r="CS86" s="978"/>
      <c r="CT86" s="978"/>
      <c r="CU86" s="981"/>
      <c r="CV86" s="1111"/>
      <c r="CW86" s="990"/>
      <c r="CX86" s="978"/>
      <c r="CY86" s="978"/>
      <c r="CZ86" s="978"/>
      <c r="DA86" s="978"/>
      <c r="DB86" s="978"/>
      <c r="DC86" s="978"/>
      <c r="DD86" s="978"/>
      <c r="DE86" s="978"/>
      <c r="DF86" s="978"/>
      <c r="DG86" s="978"/>
      <c r="DH86" s="981"/>
      <c r="DI86" s="1111"/>
      <c r="DJ86" s="973"/>
      <c r="DK86" s="215"/>
    </row>
    <row r="87" spans="1:116" ht="15" customHeight="1" x14ac:dyDescent="0.25">
      <c r="A87" s="1048">
        <v>13</v>
      </c>
      <c r="B87" s="1068" t="s">
        <v>21</v>
      </c>
      <c r="C87" s="1069" t="s">
        <v>263</v>
      </c>
      <c r="D87" s="1070" t="s">
        <v>253</v>
      </c>
      <c r="E87" s="239"/>
      <c r="F87" s="149"/>
      <c r="G87" s="1071">
        <f>F87+F88+F89+F90+F91+F92+F93+F95</f>
        <v>0</v>
      </c>
      <c r="H87" s="194"/>
      <c r="I87" s="1037"/>
      <c r="J87" s="1043"/>
      <c r="K87" s="1043"/>
      <c r="L87" s="1043"/>
      <c r="M87" s="1043"/>
      <c r="N87" s="1043"/>
      <c r="O87" s="1043"/>
      <c r="P87" s="1043">
        <v>15</v>
      </c>
      <c r="Q87" s="1043"/>
      <c r="R87" s="1043"/>
      <c r="S87" s="1043"/>
      <c r="T87" s="1043"/>
      <c r="U87" s="1043">
        <v>7</v>
      </c>
      <c r="V87" s="1043"/>
      <c r="W87" s="1043"/>
      <c r="X87" s="1043"/>
      <c r="Y87" s="1043"/>
      <c r="Z87" s="1043"/>
      <c r="AA87" s="1043"/>
      <c r="AB87" s="1043"/>
      <c r="AC87" s="1043"/>
      <c r="AD87" s="1043"/>
      <c r="AE87" s="1043"/>
      <c r="AF87" s="1043"/>
      <c r="AG87" s="1043"/>
      <c r="AH87" s="1043"/>
      <c r="AI87" s="1043"/>
      <c r="AJ87" s="1043"/>
      <c r="AK87" s="1043"/>
      <c r="AL87" s="1043"/>
      <c r="AM87" s="1043"/>
      <c r="AN87" s="1043"/>
      <c r="AO87" s="1043"/>
      <c r="AP87" s="1043"/>
      <c r="AQ87" s="1043"/>
      <c r="AR87" s="1043"/>
      <c r="AS87" s="1043"/>
      <c r="AT87" s="1043"/>
      <c r="AU87" s="1043"/>
      <c r="AV87" s="1043"/>
      <c r="AW87" s="1043"/>
      <c r="AX87" s="1043"/>
      <c r="AY87" s="1043"/>
      <c r="AZ87" s="1043"/>
      <c r="BA87" s="1043"/>
      <c r="BB87" s="1043"/>
      <c r="BC87" s="1043"/>
      <c r="BD87" s="1043"/>
      <c r="BE87" s="1043"/>
      <c r="BF87" s="1043"/>
      <c r="BG87" s="1043"/>
      <c r="BH87" s="1043"/>
      <c r="BI87" s="1043"/>
      <c r="BJ87" s="1037"/>
      <c r="BK87" s="1037"/>
      <c r="BL87" s="1037"/>
      <c r="BM87" s="1037"/>
      <c r="BN87" s="1037"/>
      <c r="BO87" s="1037"/>
      <c r="BP87" s="1037"/>
      <c r="BQ87" s="1037"/>
      <c r="BR87" s="1037"/>
      <c r="BS87" s="1037"/>
      <c r="BT87" s="1037"/>
      <c r="BU87" s="1037"/>
      <c r="BV87" s="1043"/>
      <c r="BW87" s="178"/>
      <c r="BX87" s="976"/>
      <c r="BY87" s="175"/>
      <c r="BZ87" s="175"/>
      <c r="CA87" s="175"/>
      <c r="CB87" s="175"/>
      <c r="CC87" s="175"/>
      <c r="CD87" s="175"/>
      <c r="CE87" s="175"/>
      <c r="CF87" s="976"/>
      <c r="CG87" s="175"/>
      <c r="CH87" s="184"/>
      <c r="CI87" s="1018"/>
      <c r="CJ87" s="988"/>
      <c r="CK87" s="976"/>
      <c r="CL87" s="976"/>
      <c r="CM87" s="976"/>
      <c r="CN87" s="976"/>
      <c r="CO87" s="976"/>
      <c r="CP87" s="976"/>
      <c r="CQ87" s="976"/>
      <c r="CR87" s="976"/>
      <c r="CS87" s="976"/>
      <c r="CT87" s="976"/>
      <c r="CU87" s="1011"/>
      <c r="CV87" s="1120"/>
      <c r="CW87" s="988"/>
      <c r="CX87" s="976"/>
      <c r="CY87" s="976"/>
      <c r="CZ87" s="976"/>
      <c r="DA87" s="976"/>
      <c r="DB87" s="976"/>
      <c r="DC87" s="976"/>
      <c r="DD87" s="976"/>
      <c r="DE87" s="976"/>
      <c r="DF87" s="976"/>
      <c r="DG87" s="976"/>
      <c r="DH87" s="1011"/>
      <c r="DI87" s="1120"/>
      <c r="DJ87" s="971">
        <f>V87+AI87+AV87+BI87+BV87+CI87+CV87+DI87</f>
        <v>0</v>
      </c>
      <c r="DK87" s="230">
        <f>H91-DJ87</f>
        <v>0</v>
      </c>
    </row>
    <row r="88" spans="1:116" ht="15" customHeight="1" x14ac:dyDescent="0.25">
      <c r="A88" s="1048"/>
      <c r="B88" s="1068"/>
      <c r="C88" s="1069"/>
      <c r="D88" s="1070"/>
      <c r="E88" s="153"/>
      <c r="F88" s="150"/>
      <c r="G88" s="1072"/>
      <c r="H88" s="195"/>
      <c r="I88" s="1038"/>
      <c r="J88" s="1043"/>
      <c r="K88" s="1043"/>
      <c r="L88" s="1043"/>
      <c r="M88" s="1043"/>
      <c r="N88" s="1043"/>
      <c r="O88" s="1043"/>
      <c r="P88" s="1043"/>
      <c r="Q88" s="1043"/>
      <c r="R88" s="1043"/>
      <c r="S88" s="1043"/>
      <c r="T88" s="1043"/>
      <c r="U88" s="1043"/>
      <c r="V88" s="1043"/>
      <c r="W88" s="1043"/>
      <c r="X88" s="1043"/>
      <c r="Y88" s="1043"/>
      <c r="Z88" s="1043"/>
      <c r="AA88" s="1043"/>
      <c r="AB88" s="1043"/>
      <c r="AC88" s="1043"/>
      <c r="AD88" s="1043"/>
      <c r="AE88" s="1043"/>
      <c r="AF88" s="1043"/>
      <c r="AG88" s="1043"/>
      <c r="AH88" s="1043"/>
      <c r="AI88" s="1043"/>
      <c r="AJ88" s="1043"/>
      <c r="AK88" s="1043"/>
      <c r="AL88" s="1043"/>
      <c r="AM88" s="1043"/>
      <c r="AN88" s="1043"/>
      <c r="AO88" s="1043"/>
      <c r="AP88" s="1043"/>
      <c r="AQ88" s="1043"/>
      <c r="AR88" s="1043"/>
      <c r="AS88" s="1043"/>
      <c r="AT88" s="1043"/>
      <c r="AU88" s="1043"/>
      <c r="AV88" s="1043"/>
      <c r="AW88" s="1043"/>
      <c r="AX88" s="1043"/>
      <c r="AY88" s="1043"/>
      <c r="AZ88" s="1043"/>
      <c r="BA88" s="1043"/>
      <c r="BB88" s="1043"/>
      <c r="BC88" s="1043"/>
      <c r="BD88" s="1043"/>
      <c r="BE88" s="1043"/>
      <c r="BF88" s="1043"/>
      <c r="BG88" s="1043"/>
      <c r="BH88" s="1043"/>
      <c r="BI88" s="1043"/>
      <c r="BJ88" s="1038"/>
      <c r="BK88" s="1038"/>
      <c r="BL88" s="1038"/>
      <c r="BM88" s="1038"/>
      <c r="BN88" s="1038"/>
      <c r="BO88" s="1038"/>
      <c r="BP88" s="1038"/>
      <c r="BQ88" s="1038"/>
      <c r="BR88" s="1038"/>
      <c r="BS88" s="1038"/>
      <c r="BT88" s="1038"/>
      <c r="BU88" s="1038"/>
      <c r="BV88" s="1043"/>
      <c r="BW88" s="179"/>
      <c r="BX88" s="977"/>
      <c r="BY88" s="176"/>
      <c r="BZ88" s="176"/>
      <c r="CA88" s="176"/>
      <c r="CB88" s="176"/>
      <c r="CC88" s="176"/>
      <c r="CD88" s="176"/>
      <c r="CE88" s="176"/>
      <c r="CF88" s="977"/>
      <c r="CG88" s="176"/>
      <c r="CH88" s="185"/>
      <c r="CI88" s="1018"/>
      <c r="CJ88" s="989"/>
      <c r="CK88" s="977"/>
      <c r="CL88" s="977"/>
      <c r="CM88" s="977"/>
      <c r="CN88" s="977"/>
      <c r="CO88" s="977"/>
      <c r="CP88" s="977"/>
      <c r="CQ88" s="977"/>
      <c r="CR88" s="977"/>
      <c r="CS88" s="977"/>
      <c r="CT88" s="977"/>
      <c r="CU88" s="1012"/>
      <c r="CV88" s="1120"/>
      <c r="CW88" s="989"/>
      <c r="CX88" s="977"/>
      <c r="CY88" s="977"/>
      <c r="CZ88" s="977"/>
      <c r="DA88" s="977"/>
      <c r="DB88" s="977"/>
      <c r="DC88" s="977"/>
      <c r="DD88" s="977"/>
      <c r="DE88" s="977"/>
      <c r="DF88" s="977"/>
      <c r="DG88" s="977"/>
      <c r="DH88" s="1012"/>
      <c r="DI88" s="1120"/>
      <c r="DJ88" s="972"/>
      <c r="DK88" s="214"/>
    </row>
    <row r="89" spans="1:116" ht="15" customHeight="1" x14ac:dyDescent="0.25">
      <c r="A89" s="1048"/>
      <c r="B89" s="1068"/>
      <c r="C89" s="1069"/>
      <c r="D89" s="1070"/>
      <c r="E89" s="153"/>
      <c r="F89" s="150"/>
      <c r="G89" s="1072"/>
      <c r="H89" s="195"/>
      <c r="I89" s="1038"/>
      <c r="J89" s="1043"/>
      <c r="K89" s="1043"/>
      <c r="L89" s="1043"/>
      <c r="M89" s="1043"/>
      <c r="N89" s="1043"/>
      <c r="O89" s="1043"/>
      <c r="P89" s="1043"/>
      <c r="Q89" s="1043"/>
      <c r="R89" s="1043"/>
      <c r="S89" s="1043"/>
      <c r="T89" s="1043"/>
      <c r="U89" s="1043"/>
      <c r="V89" s="1043"/>
      <c r="W89" s="1043"/>
      <c r="X89" s="1043"/>
      <c r="Y89" s="1043"/>
      <c r="Z89" s="1043"/>
      <c r="AA89" s="1043"/>
      <c r="AB89" s="1043"/>
      <c r="AC89" s="1043"/>
      <c r="AD89" s="1043"/>
      <c r="AE89" s="1043"/>
      <c r="AF89" s="1043"/>
      <c r="AG89" s="1043"/>
      <c r="AH89" s="1043"/>
      <c r="AI89" s="1043"/>
      <c r="AJ89" s="1043"/>
      <c r="AK89" s="1043"/>
      <c r="AL89" s="1043"/>
      <c r="AM89" s="1043"/>
      <c r="AN89" s="1043"/>
      <c r="AO89" s="1043"/>
      <c r="AP89" s="1043"/>
      <c r="AQ89" s="1043"/>
      <c r="AR89" s="1043"/>
      <c r="AS89" s="1043"/>
      <c r="AT89" s="1043"/>
      <c r="AU89" s="1043"/>
      <c r="AV89" s="1043"/>
      <c r="AW89" s="1043"/>
      <c r="AX89" s="1043"/>
      <c r="AY89" s="1043"/>
      <c r="AZ89" s="1043"/>
      <c r="BA89" s="1043"/>
      <c r="BB89" s="1043"/>
      <c r="BC89" s="1043"/>
      <c r="BD89" s="1043"/>
      <c r="BE89" s="1043"/>
      <c r="BF89" s="1043"/>
      <c r="BG89" s="1043"/>
      <c r="BH89" s="1043"/>
      <c r="BI89" s="1043"/>
      <c r="BJ89" s="1038"/>
      <c r="BK89" s="1038"/>
      <c r="BL89" s="1038"/>
      <c r="BM89" s="1038"/>
      <c r="BN89" s="1038"/>
      <c r="BO89" s="1038"/>
      <c r="BP89" s="1038"/>
      <c r="BQ89" s="1038"/>
      <c r="BR89" s="1038"/>
      <c r="BS89" s="1038"/>
      <c r="BT89" s="1038"/>
      <c r="BU89" s="1038"/>
      <c r="BV89" s="1043"/>
      <c r="BW89" s="179"/>
      <c r="BX89" s="977"/>
      <c r="BY89" s="176"/>
      <c r="BZ89" s="176"/>
      <c r="CA89" s="176"/>
      <c r="CB89" s="176"/>
      <c r="CC89" s="176"/>
      <c r="CD89" s="176"/>
      <c r="CE89" s="176"/>
      <c r="CF89" s="977"/>
      <c r="CG89" s="176"/>
      <c r="CH89" s="185"/>
      <c r="CI89" s="1018"/>
      <c r="CJ89" s="989"/>
      <c r="CK89" s="977"/>
      <c r="CL89" s="977"/>
      <c r="CM89" s="977"/>
      <c r="CN89" s="977"/>
      <c r="CO89" s="977"/>
      <c r="CP89" s="977"/>
      <c r="CQ89" s="977"/>
      <c r="CR89" s="977"/>
      <c r="CS89" s="977"/>
      <c r="CT89" s="977"/>
      <c r="CU89" s="1012"/>
      <c r="CV89" s="1120"/>
      <c r="CW89" s="989"/>
      <c r="CX89" s="977"/>
      <c r="CY89" s="977"/>
      <c r="CZ89" s="977"/>
      <c r="DA89" s="977"/>
      <c r="DB89" s="977"/>
      <c r="DC89" s="977"/>
      <c r="DD89" s="977"/>
      <c r="DE89" s="977"/>
      <c r="DF89" s="977"/>
      <c r="DG89" s="977"/>
      <c r="DH89" s="1012"/>
      <c r="DI89" s="1120"/>
      <c r="DJ89" s="972"/>
      <c r="DK89" s="214"/>
      <c r="DL89" s="128"/>
    </row>
    <row r="90" spans="1:116" ht="15" customHeight="1" x14ac:dyDescent="0.25">
      <c r="A90" s="1048"/>
      <c r="B90" s="1068"/>
      <c r="C90" s="1069"/>
      <c r="D90" s="1070"/>
      <c r="E90" s="153"/>
      <c r="F90" s="150"/>
      <c r="G90" s="1072"/>
      <c r="H90" s="195"/>
      <c r="I90" s="1038"/>
      <c r="J90" s="1043"/>
      <c r="K90" s="1043"/>
      <c r="L90" s="1043"/>
      <c r="M90" s="1043"/>
      <c r="N90" s="1043"/>
      <c r="O90" s="1043"/>
      <c r="P90" s="1043"/>
      <c r="Q90" s="1043"/>
      <c r="R90" s="1043"/>
      <c r="S90" s="1043"/>
      <c r="T90" s="1043"/>
      <c r="U90" s="1043"/>
      <c r="V90" s="1043"/>
      <c r="W90" s="1043"/>
      <c r="X90" s="1043"/>
      <c r="Y90" s="1043"/>
      <c r="Z90" s="1043"/>
      <c r="AA90" s="1043"/>
      <c r="AB90" s="1043"/>
      <c r="AC90" s="1043"/>
      <c r="AD90" s="1043"/>
      <c r="AE90" s="1043"/>
      <c r="AF90" s="1043"/>
      <c r="AG90" s="1043"/>
      <c r="AH90" s="1043"/>
      <c r="AI90" s="1043"/>
      <c r="AJ90" s="1043"/>
      <c r="AK90" s="1043"/>
      <c r="AL90" s="1043"/>
      <c r="AM90" s="1043"/>
      <c r="AN90" s="1043"/>
      <c r="AO90" s="1043"/>
      <c r="AP90" s="1043"/>
      <c r="AQ90" s="1043"/>
      <c r="AR90" s="1043"/>
      <c r="AS90" s="1043"/>
      <c r="AT90" s="1043"/>
      <c r="AU90" s="1043"/>
      <c r="AV90" s="1043"/>
      <c r="AW90" s="1043"/>
      <c r="AX90" s="1043"/>
      <c r="AY90" s="1043"/>
      <c r="AZ90" s="1043"/>
      <c r="BA90" s="1043"/>
      <c r="BB90" s="1043"/>
      <c r="BC90" s="1043"/>
      <c r="BD90" s="1043"/>
      <c r="BE90" s="1043"/>
      <c r="BF90" s="1043"/>
      <c r="BG90" s="1043"/>
      <c r="BH90" s="1043"/>
      <c r="BI90" s="1043"/>
      <c r="BJ90" s="1038"/>
      <c r="BK90" s="1038"/>
      <c r="BL90" s="1038"/>
      <c r="BM90" s="1038"/>
      <c r="BN90" s="1038"/>
      <c r="BO90" s="1038"/>
      <c r="BP90" s="1038"/>
      <c r="BQ90" s="1038"/>
      <c r="BR90" s="1038"/>
      <c r="BS90" s="1038"/>
      <c r="BT90" s="1038"/>
      <c r="BU90" s="1038"/>
      <c r="BV90" s="1043"/>
      <c r="BW90" s="179"/>
      <c r="BX90" s="977"/>
      <c r="BY90" s="176"/>
      <c r="BZ90" s="176"/>
      <c r="CA90" s="176"/>
      <c r="CB90" s="176"/>
      <c r="CC90" s="176"/>
      <c r="CD90" s="176"/>
      <c r="CE90" s="176"/>
      <c r="CF90" s="977"/>
      <c r="CG90" s="176"/>
      <c r="CH90" s="185"/>
      <c r="CI90" s="1018"/>
      <c r="CJ90" s="989"/>
      <c r="CK90" s="977"/>
      <c r="CL90" s="977"/>
      <c r="CM90" s="977"/>
      <c r="CN90" s="977"/>
      <c r="CO90" s="977"/>
      <c r="CP90" s="977"/>
      <c r="CQ90" s="977"/>
      <c r="CR90" s="977"/>
      <c r="CS90" s="977"/>
      <c r="CT90" s="977"/>
      <c r="CU90" s="1012"/>
      <c r="CV90" s="1120"/>
      <c r="CW90" s="989"/>
      <c r="CX90" s="977"/>
      <c r="CY90" s="977"/>
      <c r="CZ90" s="977"/>
      <c r="DA90" s="977"/>
      <c r="DB90" s="977"/>
      <c r="DC90" s="977"/>
      <c r="DD90" s="977"/>
      <c r="DE90" s="977"/>
      <c r="DF90" s="977"/>
      <c r="DG90" s="977"/>
      <c r="DH90" s="1012"/>
      <c r="DI90" s="1120"/>
      <c r="DJ90" s="972"/>
      <c r="DK90" s="214"/>
      <c r="DL90" s="128"/>
    </row>
    <row r="91" spans="1:116" ht="15" customHeight="1" x14ac:dyDescent="0.25">
      <c r="A91" s="1048"/>
      <c r="B91" s="1068"/>
      <c r="C91" s="1069"/>
      <c r="D91" s="1070"/>
      <c r="E91" s="153"/>
      <c r="F91" s="150"/>
      <c r="G91" s="1072"/>
      <c r="H91" s="228">
        <f>ROUNDDOWN(($H$2-D87)/365,0)*30</f>
        <v>0</v>
      </c>
      <c r="I91" s="1038"/>
      <c r="J91" s="1043"/>
      <c r="K91" s="1043"/>
      <c r="L91" s="1043"/>
      <c r="M91" s="1043"/>
      <c r="N91" s="1043"/>
      <c r="O91" s="1043"/>
      <c r="P91" s="1043"/>
      <c r="Q91" s="1043"/>
      <c r="R91" s="1043"/>
      <c r="S91" s="1043"/>
      <c r="T91" s="1043"/>
      <c r="U91" s="1043"/>
      <c r="V91" s="1043"/>
      <c r="W91" s="1043"/>
      <c r="X91" s="1043"/>
      <c r="Y91" s="1043"/>
      <c r="Z91" s="1043"/>
      <c r="AA91" s="1043"/>
      <c r="AB91" s="1043"/>
      <c r="AC91" s="1043"/>
      <c r="AD91" s="1043"/>
      <c r="AE91" s="1043"/>
      <c r="AF91" s="1043"/>
      <c r="AG91" s="1043"/>
      <c r="AH91" s="1043"/>
      <c r="AI91" s="1043"/>
      <c r="AJ91" s="1043"/>
      <c r="AK91" s="1043"/>
      <c r="AL91" s="1043"/>
      <c r="AM91" s="1043"/>
      <c r="AN91" s="1043"/>
      <c r="AO91" s="1043"/>
      <c r="AP91" s="1043"/>
      <c r="AQ91" s="1043"/>
      <c r="AR91" s="1043"/>
      <c r="AS91" s="1043"/>
      <c r="AT91" s="1043"/>
      <c r="AU91" s="1043"/>
      <c r="AV91" s="1043"/>
      <c r="AW91" s="1043"/>
      <c r="AX91" s="1043"/>
      <c r="AY91" s="1043"/>
      <c r="AZ91" s="1043"/>
      <c r="BA91" s="1043"/>
      <c r="BB91" s="1043"/>
      <c r="BC91" s="1043"/>
      <c r="BD91" s="1043"/>
      <c r="BE91" s="1043"/>
      <c r="BF91" s="1043"/>
      <c r="BG91" s="1043"/>
      <c r="BH91" s="1043"/>
      <c r="BI91" s="1043"/>
      <c r="BJ91" s="1038"/>
      <c r="BK91" s="1038"/>
      <c r="BL91" s="1038"/>
      <c r="BM91" s="1038"/>
      <c r="BN91" s="1038"/>
      <c r="BO91" s="1038"/>
      <c r="BP91" s="1038"/>
      <c r="BQ91" s="1038"/>
      <c r="BR91" s="1038"/>
      <c r="BS91" s="1038"/>
      <c r="BT91" s="1038"/>
      <c r="BU91" s="1038"/>
      <c r="BV91" s="1043"/>
      <c r="BW91" s="179"/>
      <c r="BX91" s="977"/>
      <c r="BY91" s="176"/>
      <c r="BZ91" s="176"/>
      <c r="CA91" s="176"/>
      <c r="CB91" s="176"/>
      <c r="CC91" s="176"/>
      <c r="CD91" s="176"/>
      <c r="CE91" s="176"/>
      <c r="CF91" s="977"/>
      <c r="CG91" s="176"/>
      <c r="CH91" s="185"/>
      <c r="CI91" s="1018"/>
      <c r="CJ91" s="989"/>
      <c r="CK91" s="977"/>
      <c r="CL91" s="977"/>
      <c r="CM91" s="977"/>
      <c r="CN91" s="977"/>
      <c r="CO91" s="977"/>
      <c r="CP91" s="977"/>
      <c r="CQ91" s="977"/>
      <c r="CR91" s="977"/>
      <c r="CS91" s="977"/>
      <c r="CT91" s="977"/>
      <c r="CU91" s="1012"/>
      <c r="CV91" s="1120"/>
      <c r="CW91" s="989"/>
      <c r="CX91" s="977"/>
      <c r="CY91" s="977"/>
      <c r="CZ91" s="977"/>
      <c r="DA91" s="977"/>
      <c r="DB91" s="977"/>
      <c r="DC91" s="977"/>
      <c r="DD91" s="977"/>
      <c r="DE91" s="977"/>
      <c r="DF91" s="977"/>
      <c r="DG91" s="977"/>
      <c r="DH91" s="1012"/>
      <c r="DI91" s="1120"/>
      <c r="DJ91" s="972"/>
      <c r="DK91" s="214"/>
    </row>
    <row r="92" spans="1:116" ht="15" customHeight="1" x14ac:dyDescent="0.25">
      <c r="A92" s="1048"/>
      <c r="B92" s="1068"/>
      <c r="C92" s="1069"/>
      <c r="D92" s="1070"/>
      <c r="E92" s="243"/>
      <c r="F92" s="155"/>
      <c r="G92" s="1072"/>
      <c r="H92" s="195"/>
      <c r="I92" s="1038"/>
      <c r="J92" s="1043"/>
      <c r="K92" s="1043"/>
      <c r="L92" s="1043"/>
      <c r="M92" s="1043"/>
      <c r="N92" s="1043"/>
      <c r="O92" s="1043"/>
      <c r="P92" s="1043"/>
      <c r="Q92" s="1043"/>
      <c r="R92" s="1043"/>
      <c r="S92" s="1043"/>
      <c r="T92" s="1043"/>
      <c r="U92" s="1043"/>
      <c r="V92" s="1043"/>
      <c r="W92" s="1043"/>
      <c r="X92" s="1043"/>
      <c r="Y92" s="1043"/>
      <c r="Z92" s="1043"/>
      <c r="AA92" s="1043"/>
      <c r="AB92" s="1043"/>
      <c r="AC92" s="1043"/>
      <c r="AD92" s="1043"/>
      <c r="AE92" s="1043"/>
      <c r="AF92" s="1043"/>
      <c r="AG92" s="1043"/>
      <c r="AH92" s="1043"/>
      <c r="AI92" s="1043"/>
      <c r="AJ92" s="1043"/>
      <c r="AK92" s="1043"/>
      <c r="AL92" s="1043"/>
      <c r="AM92" s="1043"/>
      <c r="AN92" s="1043"/>
      <c r="AO92" s="1043"/>
      <c r="AP92" s="1043"/>
      <c r="AQ92" s="1043"/>
      <c r="AR92" s="1043"/>
      <c r="AS92" s="1043"/>
      <c r="AT92" s="1043"/>
      <c r="AU92" s="1043"/>
      <c r="AV92" s="1043"/>
      <c r="AW92" s="1043"/>
      <c r="AX92" s="1043"/>
      <c r="AY92" s="1043"/>
      <c r="AZ92" s="1043"/>
      <c r="BA92" s="1043"/>
      <c r="BB92" s="1043"/>
      <c r="BC92" s="1043"/>
      <c r="BD92" s="1043"/>
      <c r="BE92" s="1043"/>
      <c r="BF92" s="1043"/>
      <c r="BG92" s="1043"/>
      <c r="BH92" s="1043"/>
      <c r="BI92" s="1043"/>
      <c r="BJ92" s="1038"/>
      <c r="BK92" s="1038"/>
      <c r="BL92" s="1038"/>
      <c r="BM92" s="1038"/>
      <c r="BN92" s="1038"/>
      <c r="BO92" s="1038"/>
      <c r="BP92" s="1038"/>
      <c r="BQ92" s="1038"/>
      <c r="BR92" s="1038"/>
      <c r="BS92" s="1038"/>
      <c r="BT92" s="1038"/>
      <c r="BU92" s="1038"/>
      <c r="BV92" s="1043"/>
      <c r="BW92" s="179"/>
      <c r="BX92" s="977"/>
      <c r="BY92" s="176"/>
      <c r="BZ92" s="176"/>
      <c r="CA92" s="176"/>
      <c r="CB92" s="176"/>
      <c r="CC92" s="176"/>
      <c r="CD92" s="176"/>
      <c r="CE92" s="176"/>
      <c r="CF92" s="977"/>
      <c r="CG92" s="176"/>
      <c r="CH92" s="185"/>
      <c r="CI92" s="1018"/>
      <c r="CJ92" s="989"/>
      <c r="CK92" s="977"/>
      <c r="CL92" s="977"/>
      <c r="CM92" s="977"/>
      <c r="CN92" s="977"/>
      <c r="CO92" s="977"/>
      <c r="CP92" s="977"/>
      <c r="CQ92" s="977"/>
      <c r="CR92" s="977"/>
      <c r="CS92" s="977"/>
      <c r="CT92" s="977"/>
      <c r="CU92" s="1012"/>
      <c r="CV92" s="1120"/>
      <c r="CW92" s="989"/>
      <c r="CX92" s="977"/>
      <c r="CY92" s="977"/>
      <c r="CZ92" s="977"/>
      <c r="DA92" s="977"/>
      <c r="DB92" s="977"/>
      <c r="DC92" s="977"/>
      <c r="DD92" s="977"/>
      <c r="DE92" s="977"/>
      <c r="DF92" s="977"/>
      <c r="DG92" s="977"/>
      <c r="DH92" s="1012"/>
      <c r="DI92" s="1120"/>
      <c r="DJ92" s="972"/>
      <c r="DK92" s="214"/>
    </row>
    <row r="93" spans="1:116" ht="15" customHeight="1" x14ac:dyDescent="0.25">
      <c r="A93" s="1048"/>
      <c r="B93" s="1068"/>
      <c r="C93" s="1069"/>
      <c r="D93" s="1070"/>
      <c r="E93" s="243"/>
      <c r="F93" s="155"/>
      <c r="G93" s="1072"/>
      <c r="H93" s="195"/>
      <c r="I93" s="1038"/>
      <c r="J93" s="1043"/>
      <c r="K93" s="1043"/>
      <c r="L93" s="1043"/>
      <c r="M93" s="1043"/>
      <c r="N93" s="1043"/>
      <c r="O93" s="1043"/>
      <c r="P93" s="1043"/>
      <c r="Q93" s="1043"/>
      <c r="R93" s="1043"/>
      <c r="S93" s="1043"/>
      <c r="T93" s="1043"/>
      <c r="U93" s="1043"/>
      <c r="V93" s="1043"/>
      <c r="W93" s="1043"/>
      <c r="X93" s="1043"/>
      <c r="Y93" s="1043"/>
      <c r="Z93" s="1043"/>
      <c r="AA93" s="1043"/>
      <c r="AB93" s="1043"/>
      <c r="AC93" s="1043"/>
      <c r="AD93" s="1043"/>
      <c r="AE93" s="1043"/>
      <c r="AF93" s="1043"/>
      <c r="AG93" s="1043"/>
      <c r="AH93" s="1043"/>
      <c r="AI93" s="1043"/>
      <c r="AJ93" s="1043"/>
      <c r="AK93" s="1043"/>
      <c r="AL93" s="1043"/>
      <c r="AM93" s="1043"/>
      <c r="AN93" s="1043"/>
      <c r="AO93" s="1043"/>
      <c r="AP93" s="1043"/>
      <c r="AQ93" s="1043"/>
      <c r="AR93" s="1043"/>
      <c r="AS93" s="1043"/>
      <c r="AT93" s="1043"/>
      <c r="AU93" s="1043"/>
      <c r="AV93" s="1043"/>
      <c r="AW93" s="1043"/>
      <c r="AX93" s="1043"/>
      <c r="AY93" s="1043"/>
      <c r="AZ93" s="1043"/>
      <c r="BA93" s="1043"/>
      <c r="BB93" s="1043"/>
      <c r="BC93" s="1043"/>
      <c r="BD93" s="1043"/>
      <c r="BE93" s="1043"/>
      <c r="BF93" s="1043"/>
      <c r="BG93" s="1043"/>
      <c r="BH93" s="1043"/>
      <c r="BI93" s="1043"/>
      <c r="BJ93" s="1038"/>
      <c r="BK93" s="1038"/>
      <c r="BL93" s="1038"/>
      <c r="BM93" s="1038"/>
      <c r="BN93" s="1038"/>
      <c r="BO93" s="1038"/>
      <c r="BP93" s="1038"/>
      <c r="BQ93" s="1038"/>
      <c r="BR93" s="1038"/>
      <c r="BS93" s="1038"/>
      <c r="BT93" s="1038"/>
      <c r="BU93" s="1038"/>
      <c r="BV93" s="1043"/>
      <c r="BW93" s="179"/>
      <c r="BX93" s="977"/>
      <c r="BY93" s="176"/>
      <c r="BZ93" s="176"/>
      <c r="CA93" s="176"/>
      <c r="CB93" s="176"/>
      <c r="CC93" s="176"/>
      <c r="CD93" s="176"/>
      <c r="CE93" s="176"/>
      <c r="CF93" s="977"/>
      <c r="CG93" s="176"/>
      <c r="CH93" s="185"/>
      <c r="CI93" s="1018"/>
      <c r="CJ93" s="989"/>
      <c r="CK93" s="977"/>
      <c r="CL93" s="977"/>
      <c r="CM93" s="977"/>
      <c r="CN93" s="977"/>
      <c r="CO93" s="977"/>
      <c r="CP93" s="977"/>
      <c r="CQ93" s="977"/>
      <c r="CR93" s="977"/>
      <c r="CS93" s="977"/>
      <c r="CT93" s="977"/>
      <c r="CU93" s="1012"/>
      <c r="CV93" s="1120"/>
      <c r="CW93" s="989"/>
      <c r="CX93" s="977"/>
      <c r="CY93" s="977"/>
      <c r="CZ93" s="977"/>
      <c r="DA93" s="977"/>
      <c r="DB93" s="977"/>
      <c r="DC93" s="977"/>
      <c r="DD93" s="977"/>
      <c r="DE93" s="977"/>
      <c r="DF93" s="977"/>
      <c r="DG93" s="977"/>
      <c r="DH93" s="1012"/>
      <c r="DI93" s="1120"/>
      <c r="DJ93" s="972"/>
      <c r="DK93" s="214"/>
    </row>
    <row r="94" spans="1:116" ht="15" customHeight="1" x14ac:dyDescent="0.25">
      <c r="A94" s="1048"/>
      <c r="B94" s="1068"/>
      <c r="C94" s="1069"/>
      <c r="D94" s="1070"/>
      <c r="E94" s="243"/>
      <c r="F94" s="155"/>
      <c r="G94" s="1072"/>
      <c r="H94" s="195"/>
      <c r="I94" s="1038"/>
      <c r="J94" s="1043"/>
      <c r="K94" s="1043"/>
      <c r="L94" s="1043"/>
      <c r="M94" s="1043"/>
      <c r="N94" s="1043"/>
      <c r="O94" s="1043"/>
      <c r="P94" s="1043"/>
      <c r="Q94" s="1043"/>
      <c r="R94" s="1043"/>
      <c r="S94" s="1043"/>
      <c r="T94" s="1043"/>
      <c r="U94" s="1043"/>
      <c r="V94" s="1043"/>
      <c r="W94" s="1043"/>
      <c r="X94" s="1043"/>
      <c r="Y94" s="1043"/>
      <c r="Z94" s="1043"/>
      <c r="AA94" s="1043"/>
      <c r="AB94" s="1043"/>
      <c r="AC94" s="1043"/>
      <c r="AD94" s="1043"/>
      <c r="AE94" s="1043"/>
      <c r="AF94" s="1043"/>
      <c r="AG94" s="1043"/>
      <c r="AH94" s="1043"/>
      <c r="AI94" s="1043"/>
      <c r="AJ94" s="1043"/>
      <c r="AK94" s="1043"/>
      <c r="AL94" s="1043"/>
      <c r="AM94" s="1043"/>
      <c r="AN94" s="1043"/>
      <c r="AO94" s="1043"/>
      <c r="AP94" s="1043"/>
      <c r="AQ94" s="1043"/>
      <c r="AR94" s="1043"/>
      <c r="AS94" s="1043"/>
      <c r="AT94" s="1043"/>
      <c r="AU94" s="1043"/>
      <c r="AV94" s="1043"/>
      <c r="AW94" s="1043"/>
      <c r="AX94" s="1043"/>
      <c r="AY94" s="1043"/>
      <c r="AZ94" s="1043"/>
      <c r="BA94" s="1043"/>
      <c r="BB94" s="1043"/>
      <c r="BC94" s="1043"/>
      <c r="BD94" s="1043"/>
      <c r="BE94" s="1043"/>
      <c r="BF94" s="1043"/>
      <c r="BG94" s="1043"/>
      <c r="BH94" s="1043"/>
      <c r="BI94" s="1043"/>
      <c r="BJ94" s="1038"/>
      <c r="BK94" s="1038"/>
      <c r="BL94" s="1038"/>
      <c r="BM94" s="1038"/>
      <c r="BN94" s="1038"/>
      <c r="BO94" s="1038"/>
      <c r="BP94" s="1038"/>
      <c r="BQ94" s="1038"/>
      <c r="BR94" s="1038"/>
      <c r="BS94" s="1038"/>
      <c r="BT94" s="1038"/>
      <c r="BU94" s="1038"/>
      <c r="BV94" s="1043"/>
      <c r="BW94" s="179"/>
      <c r="BX94" s="977"/>
      <c r="BY94" s="176"/>
      <c r="BZ94" s="176"/>
      <c r="CA94" s="176"/>
      <c r="CB94" s="176"/>
      <c r="CC94" s="176"/>
      <c r="CD94" s="176"/>
      <c r="CE94" s="176"/>
      <c r="CF94" s="977"/>
      <c r="CG94" s="176"/>
      <c r="CH94" s="185"/>
      <c r="CI94" s="1018"/>
      <c r="CJ94" s="989"/>
      <c r="CK94" s="977"/>
      <c r="CL94" s="977"/>
      <c r="CM94" s="977"/>
      <c r="CN94" s="977"/>
      <c r="CO94" s="977"/>
      <c r="CP94" s="977"/>
      <c r="CQ94" s="977"/>
      <c r="CR94" s="977"/>
      <c r="CS94" s="977"/>
      <c r="CT94" s="977"/>
      <c r="CU94" s="1012"/>
      <c r="CV94" s="1120"/>
      <c r="CW94" s="989"/>
      <c r="CX94" s="977"/>
      <c r="CY94" s="977"/>
      <c r="CZ94" s="977"/>
      <c r="DA94" s="977"/>
      <c r="DB94" s="977"/>
      <c r="DC94" s="977"/>
      <c r="DD94" s="977"/>
      <c r="DE94" s="977"/>
      <c r="DF94" s="977"/>
      <c r="DG94" s="977"/>
      <c r="DH94" s="1012"/>
      <c r="DI94" s="1120"/>
      <c r="DJ94" s="972"/>
      <c r="DK94" s="214"/>
    </row>
    <row r="95" spans="1:116" ht="15" customHeight="1" x14ac:dyDescent="0.25">
      <c r="A95" s="1048"/>
      <c r="B95" s="1068"/>
      <c r="C95" s="1069"/>
      <c r="D95" s="1070"/>
      <c r="E95" s="243"/>
      <c r="F95" s="155"/>
      <c r="G95" s="1073"/>
      <c r="H95" s="196"/>
      <c r="I95" s="1039"/>
      <c r="J95" s="1043"/>
      <c r="K95" s="1043"/>
      <c r="L95" s="1043"/>
      <c r="M95" s="1043"/>
      <c r="N95" s="1043"/>
      <c r="O95" s="1043"/>
      <c r="P95" s="1043"/>
      <c r="Q95" s="1043"/>
      <c r="R95" s="1043"/>
      <c r="S95" s="1043"/>
      <c r="T95" s="1043"/>
      <c r="U95" s="1043"/>
      <c r="V95" s="1043"/>
      <c r="W95" s="1043"/>
      <c r="X95" s="1043"/>
      <c r="Y95" s="1043"/>
      <c r="Z95" s="1043"/>
      <c r="AA95" s="1043"/>
      <c r="AB95" s="1043"/>
      <c r="AC95" s="1043"/>
      <c r="AD95" s="1043"/>
      <c r="AE95" s="1043"/>
      <c r="AF95" s="1043"/>
      <c r="AG95" s="1043"/>
      <c r="AH95" s="1043"/>
      <c r="AI95" s="1043"/>
      <c r="AJ95" s="1043"/>
      <c r="AK95" s="1043"/>
      <c r="AL95" s="1043"/>
      <c r="AM95" s="1043"/>
      <c r="AN95" s="1043"/>
      <c r="AO95" s="1043"/>
      <c r="AP95" s="1043"/>
      <c r="AQ95" s="1043"/>
      <c r="AR95" s="1043"/>
      <c r="AS95" s="1043"/>
      <c r="AT95" s="1043"/>
      <c r="AU95" s="1043"/>
      <c r="AV95" s="1043"/>
      <c r="AW95" s="1043"/>
      <c r="AX95" s="1043"/>
      <c r="AY95" s="1043"/>
      <c r="AZ95" s="1043"/>
      <c r="BA95" s="1043"/>
      <c r="BB95" s="1043"/>
      <c r="BC95" s="1043"/>
      <c r="BD95" s="1043"/>
      <c r="BE95" s="1043"/>
      <c r="BF95" s="1043"/>
      <c r="BG95" s="1043"/>
      <c r="BH95" s="1043"/>
      <c r="BI95" s="1043"/>
      <c r="BJ95" s="1039"/>
      <c r="BK95" s="1039"/>
      <c r="BL95" s="1039"/>
      <c r="BM95" s="1039"/>
      <c r="BN95" s="1039"/>
      <c r="BO95" s="1039"/>
      <c r="BP95" s="1039"/>
      <c r="BQ95" s="1039"/>
      <c r="BR95" s="1039"/>
      <c r="BS95" s="1039"/>
      <c r="BT95" s="1039"/>
      <c r="BU95" s="1039"/>
      <c r="BV95" s="1043"/>
      <c r="BW95" s="180"/>
      <c r="BX95" s="978"/>
      <c r="BY95" s="177"/>
      <c r="BZ95" s="177"/>
      <c r="CA95" s="177"/>
      <c r="CB95" s="177"/>
      <c r="CC95" s="177"/>
      <c r="CD95" s="177"/>
      <c r="CE95" s="177"/>
      <c r="CF95" s="978"/>
      <c r="CG95" s="177"/>
      <c r="CH95" s="186"/>
      <c r="CI95" s="1018"/>
      <c r="CJ95" s="990"/>
      <c r="CK95" s="978"/>
      <c r="CL95" s="978"/>
      <c r="CM95" s="978"/>
      <c r="CN95" s="978"/>
      <c r="CO95" s="978"/>
      <c r="CP95" s="978"/>
      <c r="CQ95" s="978"/>
      <c r="CR95" s="978"/>
      <c r="CS95" s="978"/>
      <c r="CT95" s="978"/>
      <c r="CU95" s="1013"/>
      <c r="CV95" s="1120"/>
      <c r="CW95" s="990"/>
      <c r="CX95" s="978"/>
      <c r="CY95" s="978"/>
      <c r="CZ95" s="978"/>
      <c r="DA95" s="978"/>
      <c r="DB95" s="978"/>
      <c r="DC95" s="978"/>
      <c r="DD95" s="978"/>
      <c r="DE95" s="978"/>
      <c r="DF95" s="978"/>
      <c r="DG95" s="978"/>
      <c r="DH95" s="1013"/>
      <c r="DI95" s="1120"/>
      <c r="DJ95" s="973"/>
      <c r="DK95" s="215"/>
    </row>
    <row r="96" spans="1:116" ht="15" customHeight="1" x14ac:dyDescent="0.25">
      <c r="A96" s="1048">
        <v>16</v>
      </c>
      <c r="B96" s="1068" t="s">
        <v>126</v>
      </c>
      <c r="C96" s="1069" t="s">
        <v>264</v>
      </c>
      <c r="D96" s="1070" t="s">
        <v>265</v>
      </c>
      <c r="E96" s="181" t="s">
        <v>266</v>
      </c>
      <c r="F96" s="134">
        <v>30</v>
      </c>
      <c r="G96" s="1071">
        <f>F96+F97+F100+F98+F99</f>
        <v>30</v>
      </c>
      <c r="H96" s="194"/>
      <c r="I96" s="1037"/>
      <c r="J96" s="1043"/>
      <c r="K96" s="1043"/>
      <c r="L96" s="1043"/>
      <c r="M96" s="1043"/>
      <c r="N96" s="1043"/>
      <c r="O96" s="1043"/>
      <c r="P96" s="1043"/>
      <c r="Q96" s="1043"/>
      <c r="R96" s="1043"/>
      <c r="S96" s="1043"/>
      <c r="T96" s="1043"/>
      <c r="U96" s="1043"/>
      <c r="V96" s="1043">
        <f>SUM(J96:U96)</f>
        <v>0</v>
      </c>
      <c r="W96" s="1043"/>
      <c r="X96" s="1043"/>
      <c r="Y96" s="1043"/>
      <c r="Z96" s="1043"/>
      <c r="AA96" s="1043"/>
      <c r="AB96" s="1043"/>
      <c r="AC96" s="1043">
        <v>1</v>
      </c>
      <c r="AD96" s="1043"/>
      <c r="AE96" s="1043"/>
      <c r="AF96" s="1043"/>
      <c r="AG96" s="1043"/>
      <c r="AH96" s="1043"/>
      <c r="AI96" s="1043"/>
      <c r="AJ96" s="1043"/>
      <c r="AK96" s="1043"/>
      <c r="AL96" s="1043"/>
      <c r="AM96" s="1043"/>
      <c r="AN96" s="1043"/>
      <c r="AO96" s="1043"/>
      <c r="AP96" s="1043"/>
      <c r="AQ96" s="1043"/>
      <c r="AR96" s="1043"/>
      <c r="AS96" s="1043"/>
      <c r="AT96" s="1043"/>
      <c r="AU96" s="1043"/>
      <c r="AV96" s="1043">
        <f>SUM(AJ96:AU96)</f>
        <v>0</v>
      </c>
      <c r="AW96" s="1043"/>
      <c r="AX96" s="1043"/>
      <c r="AY96" s="1043"/>
      <c r="AZ96" s="1043"/>
      <c r="BA96" s="1043"/>
      <c r="BB96" s="1043"/>
      <c r="BC96" s="1043"/>
      <c r="BD96" s="1043"/>
      <c r="BE96" s="1043"/>
      <c r="BF96" s="1043"/>
      <c r="BG96" s="1043"/>
      <c r="BH96" s="1043"/>
      <c r="BI96" s="1043">
        <f>SUM(AW96:BH96)</f>
        <v>0</v>
      </c>
      <c r="BJ96" s="1037"/>
      <c r="BK96" s="1037"/>
      <c r="BL96" s="1037"/>
      <c r="BM96" s="1037"/>
      <c r="BN96" s="1037"/>
      <c r="BO96" s="1037"/>
      <c r="BP96" s="1037"/>
      <c r="BQ96" s="1037"/>
      <c r="BR96" s="1037"/>
      <c r="BS96" s="1037"/>
      <c r="BT96" s="1037"/>
      <c r="BU96" s="1037"/>
      <c r="BV96" s="1043">
        <f>SUM(BJ96:BU100)</f>
        <v>0</v>
      </c>
      <c r="BW96" s="988"/>
      <c r="BX96" s="976"/>
      <c r="BY96" s="976"/>
      <c r="BZ96" s="976"/>
      <c r="CA96" s="976"/>
      <c r="CB96" s="976"/>
      <c r="CC96" s="976"/>
      <c r="CD96" s="976"/>
      <c r="CE96" s="976"/>
      <c r="CF96" s="976"/>
      <c r="CG96" s="976"/>
      <c r="CH96" s="979"/>
      <c r="CI96" s="1018">
        <f>SUM(BW96:CH100)</f>
        <v>0</v>
      </c>
      <c r="CJ96" s="988"/>
      <c r="CK96" s="976"/>
      <c r="CL96" s="976"/>
      <c r="CM96" s="976"/>
      <c r="CN96" s="976">
        <v>3</v>
      </c>
      <c r="CO96" s="976"/>
      <c r="CP96" s="976"/>
      <c r="CQ96" s="976"/>
      <c r="CR96" s="976"/>
      <c r="CS96" s="976"/>
      <c r="CT96" s="976"/>
      <c r="CU96" s="979">
        <v>4</v>
      </c>
      <c r="CV96" s="1018">
        <f>SUM(CJ96:CU100)</f>
        <v>7</v>
      </c>
      <c r="CW96" s="988"/>
      <c r="CX96" s="976"/>
      <c r="CY96" s="976"/>
      <c r="CZ96" s="976"/>
      <c r="DA96" s="976"/>
      <c r="DB96" s="976"/>
      <c r="DC96" s="976"/>
      <c r="DD96" s="976">
        <v>31</v>
      </c>
      <c r="DE96" s="976">
        <v>2</v>
      </c>
      <c r="DF96" s="976"/>
      <c r="DG96" s="976"/>
      <c r="DH96" s="979"/>
      <c r="DI96" s="1018">
        <f>SUM(CW96:DH100)</f>
        <v>33</v>
      </c>
      <c r="DJ96" s="971">
        <f>I96+V96+AI96+AV96+BI96+BV96+CI96+CV96+DI96</f>
        <v>40</v>
      </c>
      <c r="DK96" s="230">
        <f>H98-DJ96</f>
        <v>-10</v>
      </c>
    </row>
    <row r="97" spans="1:117" ht="15" customHeight="1" x14ac:dyDescent="0.25">
      <c r="A97" s="1048"/>
      <c r="B97" s="1068"/>
      <c r="C97" s="1069"/>
      <c r="D97" s="1070"/>
      <c r="E97" s="182" t="s">
        <v>267</v>
      </c>
      <c r="F97" s="147"/>
      <c r="G97" s="1072"/>
      <c r="H97" s="195"/>
      <c r="I97" s="1038"/>
      <c r="J97" s="1043"/>
      <c r="K97" s="1043"/>
      <c r="L97" s="1043"/>
      <c r="M97" s="1043"/>
      <c r="N97" s="1043"/>
      <c r="O97" s="1043"/>
      <c r="P97" s="1043"/>
      <c r="Q97" s="1043"/>
      <c r="R97" s="1043"/>
      <c r="S97" s="1043"/>
      <c r="T97" s="1043"/>
      <c r="U97" s="1043"/>
      <c r="V97" s="1043"/>
      <c r="W97" s="1043"/>
      <c r="X97" s="1043"/>
      <c r="Y97" s="1043"/>
      <c r="Z97" s="1043"/>
      <c r="AA97" s="1043"/>
      <c r="AB97" s="1043"/>
      <c r="AC97" s="1043"/>
      <c r="AD97" s="1043"/>
      <c r="AE97" s="1043"/>
      <c r="AF97" s="1043"/>
      <c r="AG97" s="1043"/>
      <c r="AH97" s="1043"/>
      <c r="AI97" s="1043"/>
      <c r="AJ97" s="1043"/>
      <c r="AK97" s="1043"/>
      <c r="AL97" s="1043"/>
      <c r="AM97" s="1043"/>
      <c r="AN97" s="1043"/>
      <c r="AO97" s="1043"/>
      <c r="AP97" s="1043"/>
      <c r="AQ97" s="1043"/>
      <c r="AR97" s="1043"/>
      <c r="AS97" s="1043"/>
      <c r="AT97" s="1043"/>
      <c r="AU97" s="1043"/>
      <c r="AV97" s="1043"/>
      <c r="AW97" s="1043"/>
      <c r="AX97" s="1043"/>
      <c r="AY97" s="1043"/>
      <c r="AZ97" s="1043"/>
      <c r="BA97" s="1043"/>
      <c r="BB97" s="1043"/>
      <c r="BC97" s="1043"/>
      <c r="BD97" s="1043"/>
      <c r="BE97" s="1043"/>
      <c r="BF97" s="1043"/>
      <c r="BG97" s="1043"/>
      <c r="BH97" s="1043"/>
      <c r="BI97" s="1043"/>
      <c r="BJ97" s="1038"/>
      <c r="BK97" s="1038"/>
      <c r="BL97" s="1038"/>
      <c r="BM97" s="1038"/>
      <c r="BN97" s="1038"/>
      <c r="BO97" s="1038"/>
      <c r="BP97" s="1038"/>
      <c r="BQ97" s="1038"/>
      <c r="BR97" s="1038"/>
      <c r="BS97" s="1038"/>
      <c r="BT97" s="1038"/>
      <c r="BU97" s="1038"/>
      <c r="BV97" s="1043"/>
      <c r="BW97" s="989"/>
      <c r="BX97" s="977"/>
      <c r="BY97" s="977"/>
      <c r="BZ97" s="977"/>
      <c r="CA97" s="977"/>
      <c r="CB97" s="977"/>
      <c r="CC97" s="977"/>
      <c r="CD97" s="977"/>
      <c r="CE97" s="977"/>
      <c r="CF97" s="977"/>
      <c r="CG97" s="977"/>
      <c r="CH97" s="980"/>
      <c r="CI97" s="1018"/>
      <c r="CJ97" s="989"/>
      <c r="CK97" s="977"/>
      <c r="CL97" s="977"/>
      <c r="CM97" s="977"/>
      <c r="CN97" s="977"/>
      <c r="CO97" s="977"/>
      <c r="CP97" s="977"/>
      <c r="CQ97" s="977"/>
      <c r="CR97" s="977"/>
      <c r="CS97" s="977"/>
      <c r="CT97" s="977"/>
      <c r="CU97" s="980"/>
      <c r="CV97" s="1018"/>
      <c r="CW97" s="989"/>
      <c r="CX97" s="977"/>
      <c r="CY97" s="977"/>
      <c r="CZ97" s="977"/>
      <c r="DA97" s="977"/>
      <c r="DB97" s="977"/>
      <c r="DC97" s="977"/>
      <c r="DD97" s="977"/>
      <c r="DE97" s="977"/>
      <c r="DF97" s="977"/>
      <c r="DG97" s="977"/>
      <c r="DH97" s="980"/>
      <c r="DI97" s="1018"/>
      <c r="DJ97" s="972"/>
      <c r="DK97" s="214"/>
    </row>
    <row r="98" spans="1:117" ht="15" customHeight="1" x14ac:dyDescent="0.25">
      <c r="A98" s="1048"/>
      <c r="B98" s="1068"/>
      <c r="C98" s="1069"/>
      <c r="D98" s="1070"/>
      <c r="E98" s="182"/>
      <c r="F98" s="147"/>
      <c r="G98" s="1072"/>
      <c r="H98" s="228">
        <f>ROUNDDOWN(($H$2-D96)/365,0)*30</f>
        <v>30</v>
      </c>
      <c r="I98" s="1038"/>
      <c r="J98" s="1043"/>
      <c r="K98" s="1043"/>
      <c r="L98" s="1043"/>
      <c r="M98" s="1043"/>
      <c r="N98" s="1043"/>
      <c r="O98" s="1043"/>
      <c r="P98" s="1043"/>
      <c r="Q98" s="1043"/>
      <c r="R98" s="1043"/>
      <c r="S98" s="1043"/>
      <c r="T98" s="1043"/>
      <c r="U98" s="1043"/>
      <c r="V98" s="1043"/>
      <c r="W98" s="1043"/>
      <c r="X98" s="1043"/>
      <c r="Y98" s="1043"/>
      <c r="Z98" s="1043"/>
      <c r="AA98" s="1043"/>
      <c r="AB98" s="1043"/>
      <c r="AC98" s="1043"/>
      <c r="AD98" s="1043"/>
      <c r="AE98" s="1043"/>
      <c r="AF98" s="1043"/>
      <c r="AG98" s="1043"/>
      <c r="AH98" s="1043"/>
      <c r="AI98" s="1043"/>
      <c r="AJ98" s="1043"/>
      <c r="AK98" s="1043"/>
      <c r="AL98" s="1043"/>
      <c r="AM98" s="1043"/>
      <c r="AN98" s="1043"/>
      <c r="AO98" s="1043"/>
      <c r="AP98" s="1043"/>
      <c r="AQ98" s="1043"/>
      <c r="AR98" s="1043"/>
      <c r="AS98" s="1043"/>
      <c r="AT98" s="1043"/>
      <c r="AU98" s="1043"/>
      <c r="AV98" s="1043"/>
      <c r="AW98" s="1043"/>
      <c r="AX98" s="1043"/>
      <c r="AY98" s="1043"/>
      <c r="AZ98" s="1043"/>
      <c r="BA98" s="1043"/>
      <c r="BB98" s="1043"/>
      <c r="BC98" s="1043"/>
      <c r="BD98" s="1043"/>
      <c r="BE98" s="1043"/>
      <c r="BF98" s="1043"/>
      <c r="BG98" s="1043"/>
      <c r="BH98" s="1043"/>
      <c r="BI98" s="1043"/>
      <c r="BJ98" s="1038"/>
      <c r="BK98" s="1038"/>
      <c r="BL98" s="1038"/>
      <c r="BM98" s="1038"/>
      <c r="BN98" s="1038"/>
      <c r="BO98" s="1038"/>
      <c r="BP98" s="1038"/>
      <c r="BQ98" s="1038"/>
      <c r="BR98" s="1038"/>
      <c r="BS98" s="1038"/>
      <c r="BT98" s="1038"/>
      <c r="BU98" s="1038"/>
      <c r="BV98" s="1043"/>
      <c r="BW98" s="989"/>
      <c r="BX98" s="977"/>
      <c r="BY98" s="977"/>
      <c r="BZ98" s="977"/>
      <c r="CA98" s="977"/>
      <c r="CB98" s="977"/>
      <c r="CC98" s="977"/>
      <c r="CD98" s="977"/>
      <c r="CE98" s="977"/>
      <c r="CF98" s="977"/>
      <c r="CG98" s="977"/>
      <c r="CH98" s="980"/>
      <c r="CI98" s="1018"/>
      <c r="CJ98" s="989"/>
      <c r="CK98" s="977"/>
      <c r="CL98" s="977"/>
      <c r="CM98" s="977"/>
      <c r="CN98" s="977"/>
      <c r="CO98" s="977"/>
      <c r="CP98" s="977"/>
      <c r="CQ98" s="977"/>
      <c r="CR98" s="977"/>
      <c r="CS98" s="977"/>
      <c r="CT98" s="977"/>
      <c r="CU98" s="980"/>
      <c r="CV98" s="1018"/>
      <c r="CW98" s="989"/>
      <c r="CX98" s="977"/>
      <c r="CY98" s="977"/>
      <c r="CZ98" s="977"/>
      <c r="DA98" s="977"/>
      <c r="DB98" s="977"/>
      <c r="DC98" s="977"/>
      <c r="DD98" s="977"/>
      <c r="DE98" s="977"/>
      <c r="DF98" s="977"/>
      <c r="DG98" s="977"/>
      <c r="DH98" s="980"/>
      <c r="DI98" s="1018"/>
      <c r="DJ98" s="972"/>
      <c r="DK98" s="214"/>
    </row>
    <row r="99" spans="1:117" ht="15" customHeight="1" x14ac:dyDescent="0.25">
      <c r="A99" s="1048"/>
      <c r="B99" s="1068"/>
      <c r="C99" s="1069"/>
      <c r="D99" s="1070"/>
      <c r="E99" s="182"/>
      <c r="F99" s="147"/>
      <c r="G99" s="1072"/>
      <c r="H99" s="195"/>
      <c r="I99" s="1038"/>
      <c r="J99" s="1043"/>
      <c r="K99" s="1043"/>
      <c r="L99" s="1043"/>
      <c r="M99" s="1043"/>
      <c r="N99" s="1043"/>
      <c r="O99" s="1043"/>
      <c r="P99" s="1043"/>
      <c r="Q99" s="1043"/>
      <c r="R99" s="1043"/>
      <c r="S99" s="1043"/>
      <c r="T99" s="1043"/>
      <c r="U99" s="1043"/>
      <c r="V99" s="1043"/>
      <c r="W99" s="1043"/>
      <c r="X99" s="1043"/>
      <c r="Y99" s="1043"/>
      <c r="Z99" s="1043"/>
      <c r="AA99" s="1043"/>
      <c r="AB99" s="1043"/>
      <c r="AC99" s="1043"/>
      <c r="AD99" s="1043"/>
      <c r="AE99" s="1043"/>
      <c r="AF99" s="1043"/>
      <c r="AG99" s="1043"/>
      <c r="AH99" s="1043"/>
      <c r="AI99" s="1043"/>
      <c r="AJ99" s="1043"/>
      <c r="AK99" s="1043"/>
      <c r="AL99" s="1043"/>
      <c r="AM99" s="1043"/>
      <c r="AN99" s="1043"/>
      <c r="AO99" s="1043"/>
      <c r="AP99" s="1043"/>
      <c r="AQ99" s="1043"/>
      <c r="AR99" s="1043"/>
      <c r="AS99" s="1043"/>
      <c r="AT99" s="1043"/>
      <c r="AU99" s="1043"/>
      <c r="AV99" s="1043"/>
      <c r="AW99" s="1043"/>
      <c r="AX99" s="1043"/>
      <c r="AY99" s="1043"/>
      <c r="AZ99" s="1043"/>
      <c r="BA99" s="1043"/>
      <c r="BB99" s="1043"/>
      <c r="BC99" s="1043"/>
      <c r="BD99" s="1043"/>
      <c r="BE99" s="1043"/>
      <c r="BF99" s="1043"/>
      <c r="BG99" s="1043"/>
      <c r="BH99" s="1043"/>
      <c r="BI99" s="1043"/>
      <c r="BJ99" s="1038"/>
      <c r="BK99" s="1038"/>
      <c r="BL99" s="1038"/>
      <c r="BM99" s="1038"/>
      <c r="BN99" s="1038"/>
      <c r="BO99" s="1038"/>
      <c r="BP99" s="1038"/>
      <c r="BQ99" s="1038"/>
      <c r="BR99" s="1038"/>
      <c r="BS99" s="1038"/>
      <c r="BT99" s="1038"/>
      <c r="BU99" s="1038"/>
      <c r="BV99" s="1043"/>
      <c r="BW99" s="989"/>
      <c r="BX99" s="977"/>
      <c r="BY99" s="977"/>
      <c r="BZ99" s="977"/>
      <c r="CA99" s="977"/>
      <c r="CB99" s="977"/>
      <c r="CC99" s="977"/>
      <c r="CD99" s="977"/>
      <c r="CE99" s="977"/>
      <c r="CF99" s="977"/>
      <c r="CG99" s="977"/>
      <c r="CH99" s="980"/>
      <c r="CI99" s="1018"/>
      <c r="CJ99" s="989"/>
      <c r="CK99" s="977"/>
      <c r="CL99" s="977"/>
      <c r="CM99" s="977"/>
      <c r="CN99" s="977"/>
      <c r="CO99" s="977"/>
      <c r="CP99" s="977"/>
      <c r="CQ99" s="977"/>
      <c r="CR99" s="977"/>
      <c r="CS99" s="977"/>
      <c r="CT99" s="977"/>
      <c r="CU99" s="980"/>
      <c r="CV99" s="1018"/>
      <c r="CW99" s="989"/>
      <c r="CX99" s="977"/>
      <c r="CY99" s="977"/>
      <c r="CZ99" s="977"/>
      <c r="DA99" s="977"/>
      <c r="DB99" s="977"/>
      <c r="DC99" s="977"/>
      <c r="DD99" s="977"/>
      <c r="DE99" s="977"/>
      <c r="DF99" s="977"/>
      <c r="DG99" s="977"/>
      <c r="DH99" s="980"/>
      <c r="DI99" s="1018"/>
      <c r="DJ99" s="972"/>
      <c r="DK99" s="214"/>
    </row>
    <row r="100" spans="1:117" ht="15" customHeight="1" x14ac:dyDescent="0.25">
      <c r="A100" s="1048"/>
      <c r="B100" s="1068"/>
      <c r="C100" s="1069"/>
      <c r="D100" s="1070"/>
      <c r="E100" s="183"/>
      <c r="F100" s="147"/>
      <c r="G100" s="1073"/>
      <c r="H100" s="196"/>
      <c r="I100" s="1039"/>
      <c r="J100" s="1043"/>
      <c r="K100" s="1043"/>
      <c r="L100" s="1043"/>
      <c r="M100" s="1043"/>
      <c r="N100" s="1043"/>
      <c r="O100" s="1043"/>
      <c r="P100" s="1043"/>
      <c r="Q100" s="1043"/>
      <c r="R100" s="1043"/>
      <c r="S100" s="1043"/>
      <c r="T100" s="1043"/>
      <c r="U100" s="1043"/>
      <c r="V100" s="1043"/>
      <c r="W100" s="1043"/>
      <c r="X100" s="1043"/>
      <c r="Y100" s="1043"/>
      <c r="Z100" s="1043"/>
      <c r="AA100" s="1043"/>
      <c r="AB100" s="1043"/>
      <c r="AC100" s="1043"/>
      <c r="AD100" s="1043"/>
      <c r="AE100" s="1043"/>
      <c r="AF100" s="1043"/>
      <c r="AG100" s="1043"/>
      <c r="AH100" s="1043"/>
      <c r="AI100" s="1043"/>
      <c r="AJ100" s="1043"/>
      <c r="AK100" s="1043"/>
      <c r="AL100" s="1043"/>
      <c r="AM100" s="1043"/>
      <c r="AN100" s="1043"/>
      <c r="AO100" s="1043"/>
      <c r="AP100" s="1043"/>
      <c r="AQ100" s="1043"/>
      <c r="AR100" s="1043"/>
      <c r="AS100" s="1043"/>
      <c r="AT100" s="1043"/>
      <c r="AU100" s="1043"/>
      <c r="AV100" s="1043"/>
      <c r="AW100" s="1043"/>
      <c r="AX100" s="1043"/>
      <c r="AY100" s="1043"/>
      <c r="AZ100" s="1043"/>
      <c r="BA100" s="1043"/>
      <c r="BB100" s="1043"/>
      <c r="BC100" s="1043"/>
      <c r="BD100" s="1043"/>
      <c r="BE100" s="1043"/>
      <c r="BF100" s="1043"/>
      <c r="BG100" s="1043"/>
      <c r="BH100" s="1043"/>
      <c r="BI100" s="1043"/>
      <c r="BJ100" s="1039"/>
      <c r="BK100" s="1039"/>
      <c r="BL100" s="1039"/>
      <c r="BM100" s="1039"/>
      <c r="BN100" s="1039"/>
      <c r="BO100" s="1039"/>
      <c r="BP100" s="1039"/>
      <c r="BQ100" s="1039"/>
      <c r="BR100" s="1039"/>
      <c r="BS100" s="1039"/>
      <c r="BT100" s="1039"/>
      <c r="BU100" s="1039"/>
      <c r="BV100" s="1043"/>
      <c r="BW100" s="990"/>
      <c r="BX100" s="978"/>
      <c r="BY100" s="978"/>
      <c r="BZ100" s="978"/>
      <c r="CA100" s="978"/>
      <c r="CB100" s="978"/>
      <c r="CC100" s="978"/>
      <c r="CD100" s="978"/>
      <c r="CE100" s="978"/>
      <c r="CF100" s="978"/>
      <c r="CG100" s="978"/>
      <c r="CH100" s="981"/>
      <c r="CI100" s="1018"/>
      <c r="CJ100" s="990"/>
      <c r="CK100" s="978"/>
      <c r="CL100" s="978"/>
      <c r="CM100" s="978"/>
      <c r="CN100" s="978"/>
      <c r="CO100" s="978"/>
      <c r="CP100" s="978"/>
      <c r="CQ100" s="978"/>
      <c r="CR100" s="978"/>
      <c r="CS100" s="978"/>
      <c r="CT100" s="978"/>
      <c r="CU100" s="981"/>
      <c r="CV100" s="1018"/>
      <c r="CW100" s="990"/>
      <c r="CX100" s="978"/>
      <c r="CY100" s="978"/>
      <c r="CZ100" s="978"/>
      <c r="DA100" s="978"/>
      <c r="DB100" s="978"/>
      <c r="DC100" s="978"/>
      <c r="DD100" s="978"/>
      <c r="DE100" s="978"/>
      <c r="DF100" s="978"/>
      <c r="DG100" s="978"/>
      <c r="DH100" s="981"/>
      <c r="DI100" s="1018"/>
      <c r="DJ100" s="973"/>
      <c r="DK100" s="215"/>
    </row>
    <row r="101" spans="1:117" ht="15" customHeight="1" x14ac:dyDescent="0.25">
      <c r="A101" s="1048">
        <v>16</v>
      </c>
      <c r="B101" s="1068" t="s">
        <v>149</v>
      </c>
      <c r="C101" s="1069" t="s">
        <v>264</v>
      </c>
      <c r="D101" s="1070" t="s">
        <v>268</v>
      </c>
      <c r="E101" s="182" t="s">
        <v>269</v>
      </c>
      <c r="F101" s="164">
        <v>30</v>
      </c>
      <c r="G101" s="1074">
        <f>F101+F102+F106+F103+F104+F105</f>
        <v>30</v>
      </c>
      <c r="H101" s="197"/>
      <c r="I101" s="1037"/>
      <c r="J101" s="1043"/>
      <c r="K101" s="1043"/>
      <c r="L101" s="1043"/>
      <c r="M101" s="1043"/>
      <c r="N101" s="1043"/>
      <c r="O101" s="1043"/>
      <c r="P101" s="1043"/>
      <c r="Q101" s="1043"/>
      <c r="R101" s="1043"/>
      <c r="S101" s="1043"/>
      <c r="T101" s="1043"/>
      <c r="U101" s="1043"/>
      <c r="V101" s="1043"/>
      <c r="W101" s="1043"/>
      <c r="X101" s="1043"/>
      <c r="Y101" s="1043"/>
      <c r="Z101" s="1043"/>
      <c r="AA101" s="1043"/>
      <c r="AB101" s="1043"/>
      <c r="AC101" s="1043"/>
      <c r="AD101" s="1043"/>
      <c r="AE101" s="1043"/>
      <c r="AF101" s="1043"/>
      <c r="AG101" s="1043"/>
      <c r="AH101" s="1043"/>
      <c r="AI101" s="1043"/>
      <c r="AJ101" s="1043"/>
      <c r="AK101" s="1043"/>
      <c r="AL101" s="1043"/>
      <c r="AM101" s="1043"/>
      <c r="AN101" s="1043"/>
      <c r="AO101" s="1043"/>
      <c r="AP101" s="1043"/>
      <c r="AQ101" s="1043"/>
      <c r="AR101" s="1043"/>
      <c r="AS101" s="1043"/>
      <c r="AT101" s="1043"/>
      <c r="AU101" s="1043"/>
      <c r="AV101" s="1043"/>
      <c r="AW101" s="1043"/>
      <c r="AX101" s="1043"/>
      <c r="AY101" s="1043"/>
      <c r="AZ101" s="1043"/>
      <c r="BA101" s="1043"/>
      <c r="BB101" s="1043"/>
      <c r="BC101" s="1043"/>
      <c r="BD101" s="1043"/>
      <c r="BE101" s="1043"/>
      <c r="BF101" s="1043"/>
      <c r="BG101" s="1043"/>
      <c r="BH101" s="1043"/>
      <c r="BI101" s="1043"/>
      <c r="BJ101" s="1037"/>
      <c r="BK101" s="1037"/>
      <c r="BL101" s="1037"/>
      <c r="BM101" s="1037"/>
      <c r="BN101" s="1037"/>
      <c r="BO101" s="1037"/>
      <c r="BP101" s="1037"/>
      <c r="BQ101" s="1037"/>
      <c r="BR101" s="1037"/>
      <c r="BS101" s="1037"/>
      <c r="BT101" s="1037"/>
      <c r="BU101" s="1037"/>
      <c r="BV101" s="1043"/>
      <c r="BW101" s="988"/>
      <c r="BX101" s="976"/>
      <c r="BY101" s="976"/>
      <c r="BZ101" s="976"/>
      <c r="CA101" s="976"/>
      <c r="CB101" s="976"/>
      <c r="CC101" s="976"/>
      <c r="CD101" s="976"/>
      <c r="CE101" s="976"/>
      <c r="CF101" s="976"/>
      <c r="CG101" s="976"/>
      <c r="CH101" s="979"/>
      <c r="CI101" s="1018"/>
      <c r="CJ101" s="988"/>
      <c r="CK101" s="976"/>
      <c r="CL101" s="976"/>
      <c r="CM101" s="976"/>
      <c r="CN101" s="976"/>
      <c r="CO101" s="976"/>
      <c r="CP101" s="976"/>
      <c r="CQ101" s="976"/>
      <c r="CR101" s="976"/>
      <c r="CS101" s="976"/>
      <c r="CT101" s="976"/>
      <c r="CU101" s="979"/>
      <c r="CV101" s="1018"/>
      <c r="CW101" s="988"/>
      <c r="CX101" s="976"/>
      <c r="CY101" s="976"/>
      <c r="CZ101" s="976"/>
      <c r="DA101" s="976"/>
      <c r="DB101" s="976"/>
      <c r="DC101" s="976"/>
      <c r="DD101" s="976"/>
      <c r="DE101" s="976">
        <v>18</v>
      </c>
      <c r="DF101" s="976"/>
      <c r="DG101" s="976"/>
      <c r="DH101" s="979"/>
      <c r="DI101" s="1018">
        <f>SUM(CW101:DH106)</f>
        <v>18</v>
      </c>
      <c r="DJ101" s="971">
        <f>I101+V101+AI101+AV101+BI101+BV101+CI101+CV101+DI101</f>
        <v>18</v>
      </c>
      <c r="DK101" s="230">
        <f>H103-DJ101</f>
        <v>-18</v>
      </c>
    </row>
    <row r="102" spans="1:117" ht="15" customHeight="1" x14ac:dyDescent="0.25">
      <c r="A102" s="1048"/>
      <c r="B102" s="1068"/>
      <c r="C102" s="1069"/>
      <c r="D102" s="1070"/>
      <c r="E102" s="246"/>
      <c r="F102" s="143"/>
      <c r="G102" s="1075"/>
      <c r="H102" s="198"/>
      <c r="I102" s="1038"/>
      <c r="J102" s="1043"/>
      <c r="K102" s="1043"/>
      <c r="L102" s="1043"/>
      <c r="M102" s="1043"/>
      <c r="N102" s="1043"/>
      <c r="O102" s="1043"/>
      <c r="P102" s="1043"/>
      <c r="Q102" s="1043"/>
      <c r="R102" s="1043"/>
      <c r="S102" s="1043"/>
      <c r="T102" s="1043"/>
      <c r="U102" s="1043"/>
      <c r="V102" s="1043"/>
      <c r="W102" s="1043"/>
      <c r="X102" s="1043"/>
      <c r="Y102" s="1043"/>
      <c r="Z102" s="1043"/>
      <c r="AA102" s="1043"/>
      <c r="AB102" s="1043"/>
      <c r="AC102" s="1043"/>
      <c r="AD102" s="1043"/>
      <c r="AE102" s="1043"/>
      <c r="AF102" s="1043"/>
      <c r="AG102" s="1043"/>
      <c r="AH102" s="1043"/>
      <c r="AI102" s="1043"/>
      <c r="AJ102" s="1043"/>
      <c r="AK102" s="1043"/>
      <c r="AL102" s="1043"/>
      <c r="AM102" s="1043"/>
      <c r="AN102" s="1043"/>
      <c r="AO102" s="1043"/>
      <c r="AP102" s="1043"/>
      <c r="AQ102" s="1043"/>
      <c r="AR102" s="1043"/>
      <c r="AS102" s="1043"/>
      <c r="AT102" s="1043"/>
      <c r="AU102" s="1043"/>
      <c r="AV102" s="1043"/>
      <c r="AW102" s="1043"/>
      <c r="AX102" s="1043"/>
      <c r="AY102" s="1043"/>
      <c r="AZ102" s="1043"/>
      <c r="BA102" s="1043"/>
      <c r="BB102" s="1043"/>
      <c r="BC102" s="1043"/>
      <c r="BD102" s="1043"/>
      <c r="BE102" s="1043"/>
      <c r="BF102" s="1043"/>
      <c r="BG102" s="1043"/>
      <c r="BH102" s="1043"/>
      <c r="BI102" s="1043"/>
      <c r="BJ102" s="1038"/>
      <c r="BK102" s="1038"/>
      <c r="BL102" s="1038"/>
      <c r="BM102" s="1038"/>
      <c r="BN102" s="1038"/>
      <c r="BO102" s="1038"/>
      <c r="BP102" s="1038"/>
      <c r="BQ102" s="1038"/>
      <c r="BR102" s="1038"/>
      <c r="BS102" s="1038"/>
      <c r="BT102" s="1038"/>
      <c r="BU102" s="1038"/>
      <c r="BV102" s="1043"/>
      <c r="BW102" s="989"/>
      <c r="BX102" s="977"/>
      <c r="BY102" s="977"/>
      <c r="BZ102" s="977"/>
      <c r="CA102" s="977"/>
      <c r="CB102" s="977"/>
      <c r="CC102" s="977"/>
      <c r="CD102" s="977"/>
      <c r="CE102" s="977"/>
      <c r="CF102" s="977"/>
      <c r="CG102" s="977"/>
      <c r="CH102" s="980"/>
      <c r="CI102" s="1018"/>
      <c r="CJ102" s="989"/>
      <c r="CK102" s="977"/>
      <c r="CL102" s="977"/>
      <c r="CM102" s="977"/>
      <c r="CN102" s="977"/>
      <c r="CO102" s="977"/>
      <c r="CP102" s="977"/>
      <c r="CQ102" s="977"/>
      <c r="CR102" s="977"/>
      <c r="CS102" s="977"/>
      <c r="CT102" s="977"/>
      <c r="CU102" s="980"/>
      <c r="CV102" s="1018"/>
      <c r="CW102" s="989"/>
      <c r="CX102" s="977"/>
      <c r="CY102" s="977"/>
      <c r="CZ102" s="977"/>
      <c r="DA102" s="977"/>
      <c r="DB102" s="977"/>
      <c r="DC102" s="977"/>
      <c r="DD102" s="977"/>
      <c r="DE102" s="977"/>
      <c r="DF102" s="977"/>
      <c r="DG102" s="977"/>
      <c r="DH102" s="980"/>
      <c r="DI102" s="1018"/>
      <c r="DJ102" s="972"/>
      <c r="DK102" s="214"/>
    </row>
    <row r="103" spans="1:117" ht="15" customHeight="1" x14ac:dyDescent="0.25">
      <c r="A103" s="1048"/>
      <c r="B103" s="1068"/>
      <c r="C103" s="1069"/>
      <c r="D103" s="1070"/>
      <c r="E103" s="246"/>
      <c r="F103" s="143"/>
      <c r="G103" s="1075"/>
      <c r="H103" s="228">
        <f>ROUNDDOWN(($H$2-D101)/365,0)*30</f>
        <v>0</v>
      </c>
      <c r="I103" s="1038"/>
      <c r="J103" s="1043"/>
      <c r="K103" s="1043"/>
      <c r="L103" s="1043"/>
      <c r="M103" s="1043"/>
      <c r="N103" s="1043"/>
      <c r="O103" s="1043"/>
      <c r="P103" s="1043"/>
      <c r="Q103" s="1043"/>
      <c r="R103" s="1043"/>
      <c r="S103" s="1043"/>
      <c r="T103" s="1043"/>
      <c r="U103" s="1043"/>
      <c r="V103" s="1043"/>
      <c r="W103" s="1043"/>
      <c r="X103" s="1043"/>
      <c r="Y103" s="1043"/>
      <c r="Z103" s="1043"/>
      <c r="AA103" s="1043"/>
      <c r="AB103" s="1043"/>
      <c r="AC103" s="1043"/>
      <c r="AD103" s="1043"/>
      <c r="AE103" s="1043"/>
      <c r="AF103" s="1043"/>
      <c r="AG103" s="1043"/>
      <c r="AH103" s="1043"/>
      <c r="AI103" s="1043"/>
      <c r="AJ103" s="1043"/>
      <c r="AK103" s="1043"/>
      <c r="AL103" s="1043"/>
      <c r="AM103" s="1043"/>
      <c r="AN103" s="1043"/>
      <c r="AO103" s="1043"/>
      <c r="AP103" s="1043"/>
      <c r="AQ103" s="1043"/>
      <c r="AR103" s="1043"/>
      <c r="AS103" s="1043"/>
      <c r="AT103" s="1043"/>
      <c r="AU103" s="1043"/>
      <c r="AV103" s="1043"/>
      <c r="AW103" s="1043"/>
      <c r="AX103" s="1043"/>
      <c r="AY103" s="1043"/>
      <c r="AZ103" s="1043"/>
      <c r="BA103" s="1043"/>
      <c r="BB103" s="1043"/>
      <c r="BC103" s="1043"/>
      <c r="BD103" s="1043"/>
      <c r="BE103" s="1043"/>
      <c r="BF103" s="1043"/>
      <c r="BG103" s="1043"/>
      <c r="BH103" s="1043"/>
      <c r="BI103" s="1043"/>
      <c r="BJ103" s="1038"/>
      <c r="BK103" s="1038"/>
      <c r="BL103" s="1038"/>
      <c r="BM103" s="1038"/>
      <c r="BN103" s="1038"/>
      <c r="BO103" s="1038"/>
      <c r="BP103" s="1038"/>
      <c r="BQ103" s="1038"/>
      <c r="BR103" s="1038"/>
      <c r="BS103" s="1038"/>
      <c r="BT103" s="1038"/>
      <c r="BU103" s="1038"/>
      <c r="BV103" s="1043"/>
      <c r="BW103" s="989"/>
      <c r="BX103" s="977"/>
      <c r="BY103" s="977"/>
      <c r="BZ103" s="977"/>
      <c r="CA103" s="977"/>
      <c r="CB103" s="977"/>
      <c r="CC103" s="977"/>
      <c r="CD103" s="977"/>
      <c r="CE103" s="977"/>
      <c r="CF103" s="977"/>
      <c r="CG103" s="977"/>
      <c r="CH103" s="980"/>
      <c r="CI103" s="1018"/>
      <c r="CJ103" s="989"/>
      <c r="CK103" s="977"/>
      <c r="CL103" s="977"/>
      <c r="CM103" s="977"/>
      <c r="CN103" s="977"/>
      <c r="CO103" s="977"/>
      <c r="CP103" s="977"/>
      <c r="CQ103" s="977"/>
      <c r="CR103" s="977"/>
      <c r="CS103" s="977"/>
      <c r="CT103" s="977"/>
      <c r="CU103" s="980"/>
      <c r="CV103" s="1018"/>
      <c r="CW103" s="989"/>
      <c r="CX103" s="977"/>
      <c r="CY103" s="977"/>
      <c r="CZ103" s="977"/>
      <c r="DA103" s="977"/>
      <c r="DB103" s="977"/>
      <c r="DC103" s="977"/>
      <c r="DD103" s="977"/>
      <c r="DE103" s="977"/>
      <c r="DF103" s="977"/>
      <c r="DG103" s="977"/>
      <c r="DH103" s="980"/>
      <c r="DI103" s="1018"/>
      <c r="DJ103" s="972"/>
      <c r="DK103" s="214"/>
      <c r="DM103" s="128"/>
    </row>
    <row r="104" spans="1:117" ht="15" customHeight="1" x14ac:dyDescent="0.25">
      <c r="A104" s="1048"/>
      <c r="B104" s="1068"/>
      <c r="C104" s="1069"/>
      <c r="D104" s="1070"/>
      <c r="E104" s="182"/>
      <c r="F104" s="144"/>
      <c r="G104" s="1075"/>
      <c r="H104" s="198"/>
      <c r="I104" s="1038"/>
      <c r="J104" s="1043"/>
      <c r="K104" s="1043"/>
      <c r="L104" s="1043"/>
      <c r="M104" s="1043"/>
      <c r="N104" s="1043"/>
      <c r="O104" s="1043"/>
      <c r="P104" s="1043"/>
      <c r="Q104" s="1043"/>
      <c r="R104" s="1043"/>
      <c r="S104" s="1043"/>
      <c r="T104" s="1043"/>
      <c r="U104" s="1043"/>
      <c r="V104" s="1043"/>
      <c r="W104" s="1043"/>
      <c r="X104" s="1043"/>
      <c r="Y104" s="1043"/>
      <c r="Z104" s="1043"/>
      <c r="AA104" s="1043"/>
      <c r="AB104" s="1043"/>
      <c r="AC104" s="1043"/>
      <c r="AD104" s="1043"/>
      <c r="AE104" s="1043"/>
      <c r="AF104" s="1043"/>
      <c r="AG104" s="1043"/>
      <c r="AH104" s="1043"/>
      <c r="AI104" s="1043"/>
      <c r="AJ104" s="1043"/>
      <c r="AK104" s="1043"/>
      <c r="AL104" s="1043"/>
      <c r="AM104" s="1043"/>
      <c r="AN104" s="1043"/>
      <c r="AO104" s="1043"/>
      <c r="AP104" s="1043"/>
      <c r="AQ104" s="1043"/>
      <c r="AR104" s="1043"/>
      <c r="AS104" s="1043"/>
      <c r="AT104" s="1043"/>
      <c r="AU104" s="1043"/>
      <c r="AV104" s="1043"/>
      <c r="AW104" s="1043"/>
      <c r="AX104" s="1043"/>
      <c r="AY104" s="1043"/>
      <c r="AZ104" s="1043"/>
      <c r="BA104" s="1043"/>
      <c r="BB104" s="1043"/>
      <c r="BC104" s="1043"/>
      <c r="BD104" s="1043"/>
      <c r="BE104" s="1043"/>
      <c r="BF104" s="1043"/>
      <c r="BG104" s="1043"/>
      <c r="BH104" s="1043"/>
      <c r="BI104" s="1043"/>
      <c r="BJ104" s="1038"/>
      <c r="BK104" s="1038"/>
      <c r="BL104" s="1038"/>
      <c r="BM104" s="1038"/>
      <c r="BN104" s="1038"/>
      <c r="BO104" s="1038"/>
      <c r="BP104" s="1038"/>
      <c r="BQ104" s="1038"/>
      <c r="BR104" s="1038"/>
      <c r="BS104" s="1038"/>
      <c r="BT104" s="1038"/>
      <c r="BU104" s="1038"/>
      <c r="BV104" s="1043"/>
      <c r="BW104" s="989"/>
      <c r="BX104" s="977"/>
      <c r="BY104" s="977"/>
      <c r="BZ104" s="977"/>
      <c r="CA104" s="977"/>
      <c r="CB104" s="977"/>
      <c r="CC104" s="977"/>
      <c r="CD104" s="977"/>
      <c r="CE104" s="977"/>
      <c r="CF104" s="977"/>
      <c r="CG104" s="977"/>
      <c r="CH104" s="980"/>
      <c r="CI104" s="1018"/>
      <c r="CJ104" s="989"/>
      <c r="CK104" s="977"/>
      <c r="CL104" s="977"/>
      <c r="CM104" s="977"/>
      <c r="CN104" s="977"/>
      <c r="CO104" s="977"/>
      <c r="CP104" s="977"/>
      <c r="CQ104" s="977"/>
      <c r="CR104" s="977"/>
      <c r="CS104" s="977"/>
      <c r="CT104" s="977"/>
      <c r="CU104" s="980"/>
      <c r="CV104" s="1018"/>
      <c r="CW104" s="989"/>
      <c r="CX104" s="977"/>
      <c r="CY104" s="977"/>
      <c r="CZ104" s="977"/>
      <c r="DA104" s="977"/>
      <c r="DB104" s="977"/>
      <c r="DC104" s="977"/>
      <c r="DD104" s="977"/>
      <c r="DE104" s="977"/>
      <c r="DF104" s="977"/>
      <c r="DG104" s="977"/>
      <c r="DH104" s="980"/>
      <c r="DI104" s="1018"/>
      <c r="DJ104" s="972"/>
      <c r="DK104" s="214"/>
    </row>
    <row r="105" spans="1:117" ht="15" customHeight="1" x14ac:dyDescent="0.25">
      <c r="A105" s="1048"/>
      <c r="B105" s="1068"/>
      <c r="C105" s="1069"/>
      <c r="D105" s="1070"/>
      <c r="E105" s="182"/>
      <c r="F105" s="144"/>
      <c r="G105" s="1075"/>
      <c r="H105" s="198"/>
      <c r="I105" s="1038"/>
      <c r="J105" s="1043"/>
      <c r="K105" s="1043"/>
      <c r="L105" s="1043"/>
      <c r="M105" s="1043"/>
      <c r="N105" s="1043"/>
      <c r="O105" s="1043"/>
      <c r="P105" s="1043"/>
      <c r="Q105" s="1043"/>
      <c r="R105" s="1043"/>
      <c r="S105" s="1043"/>
      <c r="T105" s="1043"/>
      <c r="U105" s="1043"/>
      <c r="V105" s="1043"/>
      <c r="W105" s="1043"/>
      <c r="X105" s="1043"/>
      <c r="Y105" s="1043"/>
      <c r="Z105" s="1043"/>
      <c r="AA105" s="1043"/>
      <c r="AB105" s="1043"/>
      <c r="AC105" s="1043"/>
      <c r="AD105" s="1043"/>
      <c r="AE105" s="1043"/>
      <c r="AF105" s="1043"/>
      <c r="AG105" s="1043"/>
      <c r="AH105" s="1043"/>
      <c r="AI105" s="1043"/>
      <c r="AJ105" s="1043"/>
      <c r="AK105" s="1043"/>
      <c r="AL105" s="1043"/>
      <c r="AM105" s="1043"/>
      <c r="AN105" s="1043"/>
      <c r="AO105" s="1043"/>
      <c r="AP105" s="1043"/>
      <c r="AQ105" s="1043"/>
      <c r="AR105" s="1043"/>
      <c r="AS105" s="1043"/>
      <c r="AT105" s="1043"/>
      <c r="AU105" s="1043"/>
      <c r="AV105" s="1043"/>
      <c r="AW105" s="1043"/>
      <c r="AX105" s="1043"/>
      <c r="AY105" s="1043"/>
      <c r="AZ105" s="1043"/>
      <c r="BA105" s="1043"/>
      <c r="BB105" s="1043"/>
      <c r="BC105" s="1043"/>
      <c r="BD105" s="1043"/>
      <c r="BE105" s="1043"/>
      <c r="BF105" s="1043"/>
      <c r="BG105" s="1043"/>
      <c r="BH105" s="1043"/>
      <c r="BI105" s="1043"/>
      <c r="BJ105" s="1038"/>
      <c r="BK105" s="1038"/>
      <c r="BL105" s="1038"/>
      <c r="BM105" s="1038"/>
      <c r="BN105" s="1038"/>
      <c r="BO105" s="1038"/>
      <c r="BP105" s="1038"/>
      <c r="BQ105" s="1038"/>
      <c r="BR105" s="1038"/>
      <c r="BS105" s="1038"/>
      <c r="BT105" s="1038"/>
      <c r="BU105" s="1038"/>
      <c r="BV105" s="1043"/>
      <c r="BW105" s="989"/>
      <c r="BX105" s="977"/>
      <c r="BY105" s="977"/>
      <c r="BZ105" s="977"/>
      <c r="CA105" s="977"/>
      <c r="CB105" s="977"/>
      <c r="CC105" s="977"/>
      <c r="CD105" s="977"/>
      <c r="CE105" s="977"/>
      <c r="CF105" s="977"/>
      <c r="CG105" s="977"/>
      <c r="CH105" s="980"/>
      <c r="CI105" s="1018"/>
      <c r="CJ105" s="989"/>
      <c r="CK105" s="977"/>
      <c r="CL105" s="977"/>
      <c r="CM105" s="977"/>
      <c r="CN105" s="977"/>
      <c r="CO105" s="977"/>
      <c r="CP105" s="977"/>
      <c r="CQ105" s="977"/>
      <c r="CR105" s="977"/>
      <c r="CS105" s="977"/>
      <c r="CT105" s="977"/>
      <c r="CU105" s="980"/>
      <c r="CV105" s="1018"/>
      <c r="CW105" s="989"/>
      <c r="CX105" s="977"/>
      <c r="CY105" s="977"/>
      <c r="CZ105" s="977"/>
      <c r="DA105" s="977"/>
      <c r="DB105" s="977"/>
      <c r="DC105" s="977"/>
      <c r="DD105" s="977"/>
      <c r="DE105" s="977"/>
      <c r="DF105" s="977"/>
      <c r="DG105" s="977"/>
      <c r="DH105" s="980"/>
      <c r="DI105" s="1018"/>
      <c r="DJ105" s="972"/>
      <c r="DK105" s="214"/>
    </row>
    <row r="106" spans="1:117" ht="15" customHeight="1" x14ac:dyDescent="0.25">
      <c r="A106" s="1048"/>
      <c r="B106" s="1068"/>
      <c r="C106" s="1069"/>
      <c r="D106" s="1070"/>
      <c r="E106" s="183"/>
      <c r="F106" s="145"/>
      <c r="G106" s="1076"/>
      <c r="H106" s="199"/>
      <c r="I106" s="1039"/>
      <c r="J106" s="1043"/>
      <c r="K106" s="1043"/>
      <c r="L106" s="1043"/>
      <c r="M106" s="1043"/>
      <c r="N106" s="1043"/>
      <c r="O106" s="1043"/>
      <c r="P106" s="1043"/>
      <c r="Q106" s="1043"/>
      <c r="R106" s="1043"/>
      <c r="S106" s="1043"/>
      <c r="T106" s="1043"/>
      <c r="U106" s="1043"/>
      <c r="V106" s="1043"/>
      <c r="W106" s="1043"/>
      <c r="X106" s="1043"/>
      <c r="Y106" s="1043"/>
      <c r="Z106" s="1043"/>
      <c r="AA106" s="1043"/>
      <c r="AB106" s="1043"/>
      <c r="AC106" s="1043"/>
      <c r="AD106" s="1043"/>
      <c r="AE106" s="1043"/>
      <c r="AF106" s="1043"/>
      <c r="AG106" s="1043"/>
      <c r="AH106" s="1043"/>
      <c r="AI106" s="1043"/>
      <c r="AJ106" s="1043"/>
      <c r="AK106" s="1043"/>
      <c r="AL106" s="1043"/>
      <c r="AM106" s="1043"/>
      <c r="AN106" s="1043"/>
      <c r="AO106" s="1043"/>
      <c r="AP106" s="1043"/>
      <c r="AQ106" s="1043"/>
      <c r="AR106" s="1043"/>
      <c r="AS106" s="1043"/>
      <c r="AT106" s="1043"/>
      <c r="AU106" s="1043"/>
      <c r="AV106" s="1043"/>
      <c r="AW106" s="1043"/>
      <c r="AX106" s="1043"/>
      <c r="AY106" s="1043"/>
      <c r="AZ106" s="1043"/>
      <c r="BA106" s="1043"/>
      <c r="BB106" s="1043"/>
      <c r="BC106" s="1043"/>
      <c r="BD106" s="1043"/>
      <c r="BE106" s="1043"/>
      <c r="BF106" s="1043"/>
      <c r="BG106" s="1043"/>
      <c r="BH106" s="1043"/>
      <c r="BI106" s="1043"/>
      <c r="BJ106" s="1039"/>
      <c r="BK106" s="1039"/>
      <c r="BL106" s="1039"/>
      <c r="BM106" s="1039"/>
      <c r="BN106" s="1039"/>
      <c r="BO106" s="1039"/>
      <c r="BP106" s="1039"/>
      <c r="BQ106" s="1039"/>
      <c r="BR106" s="1039"/>
      <c r="BS106" s="1039"/>
      <c r="BT106" s="1039"/>
      <c r="BU106" s="1039"/>
      <c r="BV106" s="1043"/>
      <c r="BW106" s="990"/>
      <c r="BX106" s="978"/>
      <c r="BY106" s="978"/>
      <c r="BZ106" s="978"/>
      <c r="CA106" s="978"/>
      <c r="CB106" s="978"/>
      <c r="CC106" s="978"/>
      <c r="CD106" s="978"/>
      <c r="CE106" s="978"/>
      <c r="CF106" s="978"/>
      <c r="CG106" s="978"/>
      <c r="CH106" s="981"/>
      <c r="CI106" s="1018"/>
      <c r="CJ106" s="990"/>
      <c r="CK106" s="978"/>
      <c r="CL106" s="978"/>
      <c r="CM106" s="978"/>
      <c r="CN106" s="978"/>
      <c r="CO106" s="978"/>
      <c r="CP106" s="978"/>
      <c r="CQ106" s="978"/>
      <c r="CR106" s="978"/>
      <c r="CS106" s="978"/>
      <c r="CT106" s="978"/>
      <c r="CU106" s="981"/>
      <c r="CV106" s="1018"/>
      <c r="CW106" s="990"/>
      <c r="CX106" s="978"/>
      <c r="CY106" s="978"/>
      <c r="CZ106" s="978"/>
      <c r="DA106" s="978"/>
      <c r="DB106" s="978"/>
      <c r="DC106" s="978"/>
      <c r="DD106" s="978"/>
      <c r="DE106" s="978"/>
      <c r="DF106" s="978"/>
      <c r="DG106" s="978"/>
      <c r="DH106" s="981"/>
      <c r="DI106" s="1018"/>
      <c r="DJ106" s="973"/>
      <c r="DK106" s="215"/>
    </row>
    <row r="107" spans="1:117" ht="15" customHeight="1" x14ac:dyDescent="0.25">
      <c r="A107" s="1048">
        <v>16</v>
      </c>
      <c r="B107" s="1068" t="s">
        <v>51</v>
      </c>
      <c r="C107" s="1069" t="s">
        <v>264</v>
      </c>
      <c r="D107" s="1070" t="s">
        <v>270</v>
      </c>
      <c r="E107" s="247" t="s">
        <v>271</v>
      </c>
      <c r="F107" s="142">
        <v>30</v>
      </c>
      <c r="G107" s="1074">
        <f>F107+F108+F112+F109+F110+F111</f>
        <v>180</v>
      </c>
      <c r="H107" s="197"/>
      <c r="I107" s="1037"/>
      <c r="J107" s="1043"/>
      <c r="K107" s="1043"/>
      <c r="L107" s="1043"/>
      <c r="M107" s="1043"/>
      <c r="N107" s="1043"/>
      <c r="O107" s="1043"/>
      <c r="P107" s="1043"/>
      <c r="Q107" s="1043"/>
      <c r="R107" s="1043"/>
      <c r="S107" s="1043"/>
      <c r="T107" s="1043"/>
      <c r="U107" s="1043"/>
      <c r="V107" s="1043">
        <f>SUM(J107:U107)</f>
        <v>0</v>
      </c>
      <c r="W107" s="1043"/>
      <c r="X107" s="1043"/>
      <c r="Y107" s="1043"/>
      <c r="Z107" s="1043"/>
      <c r="AA107" s="1043"/>
      <c r="AB107" s="1043"/>
      <c r="AC107" s="1043">
        <v>1</v>
      </c>
      <c r="AD107" s="1043"/>
      <c r="AE107" s="1043"/>
      <c r="AF107" s="1043"/>
      <c r="AG107" s="1043"/>
      <c r="AH107" s="1043"/>
      <c r="AI107" s="1043">
        <f>SUM(AC107:AH112)</f>
        <v>1</v>
      </c>
      <c r="AJ107" s="1043"/>
      <c r="AK107" s="1043">
        <v>30</v>
      </c>
      <c r="AL107" s="1043">
        <v>30</v>
      </c>
      <c r="AM107" s="1043"/>
      <c r="AN107" s="1043"/>
      <c r="AO107" s="1043"/>
      <c r="AP107" s="1043">
        <v>1</v>
      </c>
      <c r="AQ107" s="1043"/>
      <c r="AR107" s="1043"/>
      <c r="AS107" s="1043"/>
      <c r="AT107" s="1043"/>
      <c r="AU107" s="1043"/>
      <c r="AV107" s="1043">
        <f>SUM(AJ107:AU107)</f>
        <v>61</v>
      </c>
      <c r="AW107" s="1043"/>
      <c r="AX107" s="1043">
        <v>7</v>
      </c>
      <c r="AY107" s="1043"/>
      <c r="AZ107" s="1043"/>
      <c r="BA107" s="1043"/>
      <c r="BB107" s="1043"/>
      <c r="BC107" s="1043">
        <v>3</v>
      </c>
      <c r="BD107" s="1043"/>
      <c r="BE107" s="1043"/>
      <c r="BF107" s="1043"/>
      <c r="BG107" s="1043">
        <v>1</v>
      </c>
      <c r="BH107" s="1043"/>
      <c r="BI107" s="1043">
        <f>SUM(AW107:BH107)</f>
        <v>11</v>
      </c>
      <c r="BJ107" s="1037"/>
      <c r="BK107" s="1037"/>
      <c r="BL107" s="1037"/>
      <c r="BM107" s="1037"/>
      <c r="BN107" s="1037">
        <v>1</v>
      </c>
      <c r="BO107" s="1037"/>
      <c r="BP107" s="1037">
        <v>1</v>
      </c>
      <c r="BQ107" s="1037"/>
      <c r="BR107" s="1037"/>
      <c r="BS107" s="1037"/>
      <c r="BT107" s="1037"/>
      <c r="BU107" s="1037">
        <v>1</v>
      </c>
      <c r="BV107" s="1043">
        <f>SUM(BJ107:BU112)</f>
        <v>3</v>
      </c>
      <c r="BW107" s="988"/>
      <c r="BX107" s="976">
        <v>1</v>
      </c>
      <c r="BY107" s="976">
        <v>7</v>
      </c>
      <c r="BZ107" s="976"/>
      <c r="CA107" s="976"/>
      <c r="CB107" s="976"/>
      <c r="CC107" s="976">
        <v>7</v>
      </c>
      <c r="CD107" s="976"/>
      <c r="CE107" s="976"/>
      <c r="CF107" s="976">
        <v>8</v>
      </c>
      <c r="CG107" s="976"/>
      <c r="CH107" s="979"/>
      <c r="CI107" s="1018">
        <f>SUM(BW107:CH112)</f>
        <v>23</v>
      </c>
      <c r="CJ107" s="988"/>
      <c r="CK107" s="976"/>
      <c r="CL107" s="976">
        <v>1</v>
      </c>
      <c r="CM107" s="976"/>
      <c r="CN107" s="976"/>
      <c r="CO107" s="976">
        <v>7</v>
      </c>
      <c r="CP107" s="976">
        <v>2</v>
      </c>
      <c r="CQ107" s="976"/>
      <c r="CR107" s="976"/>
      <c r="CS107" s="976"/>
      <c r="CT107" s="976"/>
      <c r="CU107" s="979"/>
      <c r="CV107" s="1018">
        <f>SUM(CJ107:CU112)</f>
        <v>10</v>
      </c>
      <c r="CW107" s="988"/>
      <c r="CX107" s="976">
        <v>6</v>
      </c>
      <c r="CY107" s="976"/>
      <c r="CZ107" s="976"/>
      <c r="DA107" s="976"/>
      <c r="DB107" s="976"/>
      <c r="DC107" s="976"/>
      <c r="DD107" s="976"/>
      <c r="DE107" s="976"/>
      <c r="DF107" s="976">
        <v>2</v>
      </c>
      <c r="DG107" s="976"/>
      <c r="DH107" s="979"/>
      <c r="DI107" s="1018">
        <f>SUM(CW107:DH112)</f>
        <v>8</v>
      </c>
      <c r="DJ107" s="971">
        <f>I107+V107+AI107+AV107+BI107+BV107+CI107+CV107+DI107</f>
        <v>117</v>
      </c>
      <c r="DK107" s="230">
        <f>H109-DJ107</f>
        <v>63</v>
      </c>
    </row>
    <row r="108" spans="1:117" ht="15" customHeight="1" x14ac:dyDescent="0.25">
      <c r="A108" s="1048"/>
      <c r="B108" s="1068"/>
      <c r="C108" s="1069"/>
      <c r="D108" s="1070"/>
      <c r="E108" s="247" t="s">
        <v>272</v>
      </c>
      <c r="F108" s="143">
        <v>30</v>
      </c>
      <c r="G108" s="1075"/>
      <c r="H108" s="198"/>
      <c r="I108" s="1038"/>
      <c r="J108" s="1043"/>
      <c r="K108" s="1043"/>
      <c r="L108" s="1043"/>
      <c r="M108" s="1043"/>
      <c r="N108" s="1043"/>
      <c r="O108" s="1043"/>
      <c r="P108" s="1043"/>
      <c r="Q108" s="1043"/>
      <c r="R108" s="1043"/>
      <c r="S108" s="1043"/>
      <c r="T108" s="1043"/>
      <c r="U108" s="1043"/>
      <c r="V108" s="1043"/>
      <c r="W108" s="1043"/>
      <c r="X108" s="1043"/>
      <c r="Y108" s="1043"/>
      <c r="Z108" s="1043"/>
      <c r="AA108" s="1043"/>
      <c r="AB108" s="1043"/>
      <c r="AC108" s="1043"/>
      <c r="AD108" s="1043"/>
      <c r="AE108" s="1043"/>
      <c r="AF108" s="1043"/>
      <c r="AG108" s="1043"/>
      <c r="AH108" s="1043"/>
      <c r="AI108" s="1043"/>
      <c r="AJ108" s="1043"/>
      <c r="AK108" s="1043"/>
      <c r="AL108" s="1043"/>
      <c r="AM108" s="1043"/>
      <c r="AN108" s="1043"/>
      <c r="AO108" s="1043"/>
      <c r="AP108" s="1043"/>
      <c r="AQ108" s="1043"/>
      <c r="AR108" s="1043"/>
      <c r="AS108" s="1043"/>
      <c r="AT108" s="1043"/>
      <c r="AU108" s="1043"/>
      <c r="AV108" s="1043"/>
      <c r="AW108" s="1043"/>
      <c r="AX108" s="1043"/>
      <c r="AY108" s="1043"/>
      <c r="AZ108" s="1043"/>
      <c r="BA108" s="1043"/>
      <c r="BB108" s="1043"/>
      <c r="BC108" s="1043"/>
      <c r="BD108" s="1043"/>
      <c r="BE108" s="1043"/>
      <c r="BF108" s="1043"/>
      <c r="BG108" s="1043"/>
      <c r="BH108" s="1043"/>
      <c r="BI108" s="1043"/>
      <c r="BJ108" s="1038"/>
      <c r="BK108" s="1038"/>
      <c r="BL108" s="1038"/>
      <c r="BM108" s="1038"/>
      <c r="BN108" s="1038"/>
      <c r="BO108" s="1038"/>
      <c r="BP108" s="1038"/>
      <c r="BQ108" s="1038"/>
      <c r="BR108" s="1038"/>
      <c r="BS108" s="1038"/>
      <c r="BT108" s="1038"/>
      <c r="BU108" s="1038"/>
      <c r="BV108" s="1043"/>
      <c r="BW108" s="989"/>
      <c r="BX108" s="977"/>
      <c r="BY108" s="977"/>
      <c r="BZ108" s="977"/>
      <c r="CA108" s="977"/>
      <c r="CB108" s="977"/>
      <c r="CC108" s="977"/>
      <c r="CD108" s="977"/>
      <c r="CE108" s="977"/>
      <c r="CF108" s="977"/>
      <c r="CG108" s="977"/>
      <c r="CH108" s="980"/>
      <c r="CI108" s="1018"/>
      <c r="CJ108" s="989"/>
      <c r="CK108" s="977"/>
      <c r="CL108" s="977"/>
      <c r="CM108" s="977"/>
      <c r="CN108" s="977"/>
      <c r="CO108" s="977"/>
      <c r="CP108" s="977"/>
      <c r="CQ108" s="977"/>
      <c r="CR108" s="977"/>
      <c r="CS108" s="977"/>
      <c r="CT108" s="977"/>
      <c r="CU108" s="980"/>
      <c r="CV108" s="1018"/>
      <c r="CW108" s="989"/>
      <c r="CX108" s="977"/>
      <c r="CY108" s="977"/>
      <c r="CZ108" s="977"/>
      <c r="DA108" s="977"/>
      <c r="DB108" s="977"/>
      <c r="DC108" s="977"/>
      <c r="DD108" s="977"/>
      <c r="DE108" s="977"/>
      <c r="DF108" s="977"/>
      <c r="DG108" s="977"/>
      <c r="DH108" s="980"/>
      <c r="DI108" s="1018"/>
      <c r="DJ108" s="972"/>
      <c r="DK108" s="214"/>
    </row>
    <row r="109" spans="1:117" ht="15" customHeight="1" x14ac:dyDescent="0.25">
      <c r="A109" s="1048"/>
      <c r="B109" s="1068"/>
      <c r="C109" s="1069"/>
      <c r="D109" s="1070"/>
      <c r="E109" s="247" t="s">
        <v>273</v>
      </c>
      <c r="F109" s="143">
        <v>30</v>
      </c>
      <c r="G109" s="1075"/>
      <c r="H109" s="228">
        <f>ROUNDDOWN(($H$2-D107)/365,0)*30</f>
        <v>180</v>
      </c>
      <c r="I109" s="1038"/>
      <c r="J109" s="1043"/>
      <c r="K109" s="1043"/>
      <c r="L109" s="1043"/>
      <c r="M109" s="1043"/>
      <c r="N109" s="1043"/>
      <c r="O109" s="1043"/>
      <c r="P109" s="1043"/>
      <c r="Q109" s="1043"/>
      <c r="R109" s="1043"/>
      <c r="S109" s="1043"/>
      <c r="T109" s="1043"/>
      <c r="U109" s="1043"/>
      <c r="V109" s="1043"/>
      <c r="W109" s="1043"/>
      <c r="X109" s="1043"/>
      <c r="Y109" s="1043"/>
      <c r="Z109" s="1043"/>
      <c r="AA109" s="1043"/>
      <c r="AB109" s="1043"/>
      <c r="AC109" s="1043"/>
      <c r="AD109" s="1043"/>
      <c r="AE109" s="1043"/>
      <c r="AF109" s="1043"/>
      <c r="AG109" s="1043"/>
      <c r="AH109" s="1043"/>
      <c r="AI109" s="1043"/>
      <c r="AJ109" s="1043"/>
      <c r="AK109" s="1043"/>
      <c r="AL109" s="1043"/>
      <c r="AM109" s="1043"/>
      <c r="AN109" s="1043"/>
      <c r="AO109" s="1043"/>
      <c r="AP109" s="1043"/>
      <c r="AQ109" s="1043"/>
      <c r="AR109" s="1043"/>
      <c r="AS109" s="1043"/>
      <c r="AT109" s="1043"/>
      <c r="AU109" s="1043"/>
      <c r="AV109" s="1043"/>
      <c r="AW109" s="1043"/>
      <c r="AX109" s="1043"/>
      <c r="AY109" s="1043"/>
      <c r="AZ109" s="1043"/>
      <c r="BA109" s="1043"/>
      <c r="BB109" s="1043"/>
      <c r="BC109" s="1043"/>
      <c r="BD109" s="1043"/>
      <c r="BE109" s="1043"/>
      <c r="BF109" s="1043"/>
      <c r="BG109" s="1043"/>
      <c r="BH109" s="1043"/>
      <c r="BI109" s="1043"/>
      <c r="BJ109" s="1038"/>
      <c r="BK109" s="1038"/>
      <c r="BL109" s="1038"/>
      <c r="BM109" s="1038"/>
      <c r="BN109" s="1038"/>
      <c r="BO109" s="1038"/>
      <c r="BP109" s="1038"/>
      <c r="BQ109" s="1038"/>
      <c r="BR109" s="1038"/>
      <c r="BS109" s="1038"/>
      <c r="BT109" s="1038"/>
      <c r="BU109" s="1038"/>
      <c r="BV109" s="1043"/>
      <c r="BW109" s="989"/>
      <c r="BX109" s="977"/>
      <c r="BY109" s="977"/>
      <c r="BZ109" s="977"/>
      <c r="CA109" s="977"/>
      <c r="CB109" s="977"/>
      <c r="CC109" s="977"/>
      <c r="CD109" s="977"/>
      <c r="CE109" s="977"/>
      <c r="CF109" s="977"/>
      <c r="CG109" s="977"/>
      <c r="CH109" s="980"/>
      <c r="CI109" s="1018"/>
      <c r="CJ109" s="989"/>
      <c r="CK109" s="977"/>
      <c r="CL109" s="977"/>
      <c r="CM109" s="977"/>
      <c r="CN109" s="977"/>
      <c r="CO109" s="977"/>
      <c r="CP109" s="977"/>
      <c r="CQ109" s="977"/>
      <c r="CR109" s="977"/>
      <c r="CS109" s="977"/>
      <c r="CT109" s="977"/>
      <c r="CU109" s="980"/>
      <c r="CV109" s="1018"/>
      <c r="CW109" s="989"/>
      <c r="CX109" s="977"/>
      <c r="CY109" s="977"/>
      <c r="CZ109" s="977"/>
      <c r="DA109" s="977"/>
      <c r="DB109" s="977"/>
      <c r="DC109" s="977"/>
      <c r="DD109" s="977"/>
      <c r="DE109" s="977"/>
      <c r="DF109" s="977"/>
      <c r="DG109" s="977"/>
      <c r="DH109" s="980"/>
      <c r="DI109" s="1018"/>
      <c r="DJ109" s="972"/>
      <c r="DK109" s="214"/>
      <c r="DM109" s="128"/>
    </row>
    <row r="110" spans="1:117" ht="15" customHeight="1" x14ac:dyDescent="0.25">
      <c r="A110" s="1048"/>
      <c r="B110" s="1068"/>
      <c r="C110" s="1069"/>
      <c r="D110" s="1070"/>
      <c r="E110" s="126" t="s">
        <v>240</v>
      </c>
      <c r="F110" s="144">
        <v>30</v>
      </c>
      <c r="G110" s="1075"/>
      <c r="H110" s="198"/>
      <c r="I110" s="1038"/>
      <c r="J110" s="1043"/>
      <c r="K110" s="1043"/>
      <c r="L110" s="1043"/>
      <c r="M110" s="1043"/>
      <c r="N110" s="1043"/>
      <c r="O110" s="1043"/>
      <c r="P110" s="1043"/>
      <c r="Q110" s="1043"/>
      <c r="R110" s="1043"/>
      <c r="S110" s="1043"/>
      <c r="T110" s="1043"/>
      <c r="U110" s="1043"/>
      <c r="V110" s="1043"/>
      <c r="W110" s="1043"/>
      <c r="X110" s="1043"/>
      <c r="Y110" s="1043"/>
      <c r="Z110" s="1043"/>
      <c r="AA110" s="1043"/>
      <c r="AB110" s="1043"/>
      <c r="AC110" s="1043"/>
      <c r="AD110" s="1043"/>
      <c r="AE110" s="1043"/>
      <c r="AF110" s="1043"/>
      <c r="AG110" s="1043"/>
      <c r="AH110" s="1043"/>
      <c r="AI110" s="1043"/>
      <c r="AJ110" s="1043"/>
      <c r="AK110" s="1043"/>
      <c r="AL110" s="1043"/>
      <c r="AM110" s="1043"/>
      <c r="AN110" s="1043"/>
      <c r="AO110" s="1043"/>
      <c r="AP110" s="1043"/>
      <c r="AQ110" s="1043"/>
      <c r="AR110" s="1043"/>
      <c r="AS110" s="1043"/>
      <c r="AT110" s="1043"/>
      <c r="AU110" s="1043"/>
      <c r="AV110" s="1043"/>
      <c r="AW110" s="1043"/>
      <c r="AX110" s="1043"/>
      <c r="AY110" s="1043"/>
      <c r="AZ110" s="1043"/>
      <c r="BA110" s="1043"/>
      <c r="BB110" s="1043"/>
      <c r="BC110" s="1043"/>
      <c r="BD110" s="1043"/>
      <c r="BE110" s="1043"/>
      <c r="BF110" s="1043"/>
      <c r="BG110" s="1043"/>
      <c r="BH110" s="1043"/>
      <c r="BI110" s="1043"/>
      <c r="BJ110" s="1038"/>
      <c r="BK110" s="1038"/>
      <c r="BL110" s="1038"/>
      <c r="BM110" s="1038"/>
      <c r="BN110" s="1038"/>
      <c r="BO110" s="1038"/>
      <c r="BP110" s="1038"/>
      <c r="BQ110" s="1038"/>
      <c r="BR110" s="1038"/>
      <c r="BS110" s="1038"/>
      <c r="BT110" s="1038"/>
      <c r="BU110" s="1038"/>
      <c r="BV110" s="1043"/>
      <c r="BW110" s="989"/>
      <c r="BX110" s="977"/>
      <c r="BY110" s="977"/>
      <c r="BZ110" s="977"/>
      <c r="CA110" s="977"/>
      <c r="CB110" s="977"/>
      <c r="CC110" s="977"/>
      <c r="CD110" s="977"/>
      <c r="CE110" s="977"/>
      <c r="CF110" s="977"/>
      <c r="CG110" s="977"/>
      <c r="CH110" s="980"/>
      <c r="CI110" s="1018"/>
      <c r="CJ110" s="989"/>
      <c r="CK110" s="977"/>
      <c r="CL110" s="977"/>
      <c r="CM110" s="977"/>
      <c r="CN110" s="977"/>
      <c r="CO110" s="977"/>
      <c r="CP110" s="977"/>
      <c r="CQ110" s="977"/>
      <c r="CR110" s="977"/>
      <c r="CS110" s="977"/>
      <c r="CT110" s="977"/>
      <c r="CU110" s="980"/>
      <c r="CV110" s="1018"/>
      <c r="CW110" s="989"/>
      <c r="CX110" s="977"/>
      <c r="CY110" s="977"/>
      <c r="CZ110" s="977"/>
      <c r="DA110" s="977"/>
      <c r="DB110" s="977"/>
      <c r="DC110" s="977"/>
      <c r="DD110" s="977"/>
      <c r="DE110" s="977"/>
      <c r="DF110" s="977"/>
      <c r="DG110" s="977"/>
      <c r="DH110" s="980"/>
      <c r="DI110" s="1018"/>
      <c r="DJ110" s="972"/>
      <c r="DK110" s="214"/>
    </row>
    <row r="111" spans="1:117" ht="15" customHeight="1" x14ac:dyDescent="0.25">
      <c r="A111" s="1048"/>
      <c r="B111" s="1068"/>
      <c r="C111" s="1069"/>
      <c r="D111" s="1070"/>
      <c r="E111" s="126" t="s">
        <v>241</v>
      </c>
      <c r="F111" s="144">
        <v>30</v>
      </c>
      <c r="G111" s="1075"/>
      <c r="H111" s="198"/>
      <c r="I111" s="1038"/>
      <c r="J111" s="1043"/>
      <c r="K111" s="1043"/>
      <c r="L111" s="1043"/>
      <c r="M111" s="1043"/>
      <c r="N111" s="1043"/>
      <c r="O111" s="1043"/>
      <c r="P111" s="1043"/>
      <c r="Q111" s="1043"/>
      <c r="R111" s="1043"/>
      <c r="S111" s="1043"/>
      <c r="T111" s="1043"/>
      <c r="U111" s="1043"/>
      <c r="V111" s="1043"/>
      <c r="W111" s="1043"/>
      <c r="X111" s="1043"/>
      <c r="Y111" s="1043"/>
      <c r="Z111" s="1043"/>
      <c r="AA111" s="1043"/>
      <c r="AB111" s="1043"/>
      <c r="AC111" s="1043"/>
      <c r="AD111" s="1043"/>
      <c r="AE111" s="1043"/>
      <c r="AF111" s="1043"/>
      <c r="AG111" s="1043"/>
      <c r="AH111" s="1043"/>
      <c r="AI111" s="1043"/>
      <c r="AJ111" s="1043"/>
      <c r="AK111" s="1043"/>
      <c r="AL111" s="1043"/>
      <c r="AM111" s="1043"/>
      <c r="AN111" s="1043"/>
      <c r="AO111" s="1043"/>
      <c r="AP111" s="1043"/>
      <c r="AQ111" s="1043"/>
      <c r="AR111" s="1043"/>
      <c r="AS111" s="1043"/>
      <c r="AT111" s="1043"/>
      <c r="AU111" s="1043"/>
      <c r="AV111" s="1043"/>
      <c r="AW111" s="1043"/>
      <c r="AX111" s="1043"/>
      <c r="AY111" s="1043"/>
      <c r="AZ111" s="1043"/>
      <c r="BA111" s="1043"/>
      <c r="BB111" s="1043"/>
      <c r="BC111" s="1043"/>
      <c r="BD111" s="1043"/>
      <c r="BE111" s="1043"/>
      <c r="BF111" s="1043"/>
      <c r="BG111" s="1043"/>
      <c r="BH111" s="1043"/>
      <c r="BI111" s="1043"/>
      <c r="BJ111" s="1038"/>
      <c r="BK111" s="1038"/>
      <c r="BL111" s="1038"/>
      <c r="BM111" s="1038"/>
      <c r="BN111" s="1038"/>
      <c r="BO111" s="1038"/>
      <c r="BP111" s="1038"/>
      <c r="BQ111" s="1038"/>
      <c r="BR111" s="1038"/>
      <c r="BS111" s="1038"/>
      <c r="BT111" s="1038"/>
      <c r="BU111" s="1038"/>
      <c r="BV111" s="1043"/>
      <c r="BW111" s="989"/>
      <c r="BX111" s="977"/>
      <c r="BY111" s="977"/>
      <c r="BZ111" s="977"/>
      <c r="CA111" s="977"/>
      <c r="CB111" s="977"/>
      <c r="CC111" s="977"/>
      <c r="CD111" s="977"/>
      <c r="CE111" s="977"/>
      <c r="CF111" s="977"/>
      <c r="CG111" s="977"/>
      <c r="CH111" s="980"/>
      <c r="CI111" s="1018"/>
      <c r="CJ111" s="989"/>
      <c r="CK111" s="977"/>
      <c r="CL111" s="977"/>
      <c r="CM111" s="977"/>
      <c r="CN111" s="977"/>
      <c r="CO111" s="977"/>
      <c r="CP111" s="977"/>
      <c r="CQ111" s="977"/>
      <c r="CR111" s="977"/>
      <c r="CS111" s="977"/>
      <c r="CT111" s="977"/>
      <c r="CU111" s="980"/>
      <c r="CV111" s="1018"/>
      <c r="CW111" s="989"/>
      <c r="CX111" s="977"/>
      <c r="CY111" s="977"/>
      <c r="CZ111" s="977"/>
      <c r="DA111" s="977"/>
      <c r="DB111" s="977"/>
      <c r="DC111" s="977"/>
      <c r="DD111" s="977"/>
      <c r="DE111" s="977"/>
      <c r="DF111" s="977"/>
      <c r="DG111" s="977"/>
      <c r="DH111" s="980"/>
      <c r="DI111" s="1018"/>
      <c r="DJ111" s="972"/>
      <c r="DK111" s="214"/>
    </row>
    <row r="112" spans="1:117" ht="15" customHeight="1" x14ac:dyDescent="0.25">
      <c r="A112" s="1048"/>
      <c r="B112" s="1068"/>
      <c r="C112" s="1069"/>
      <c r="D112" s="1070"/>
      <c r="E112" s="126" t="s">
        <v>242</v>
      </c>
      <c r="F112" s="145">
        <v>30</v>
      </c>
      <c r="G112" s="1076"/>
      <c r="H112" s="199"/>
      <c r="I112" s="1039"/>
      <c r="J112" s="1043"/>
      <c r="K112" s="1043"/>
      <c r="L112" s="1043"/>
      <c r="M112" s="1043"/>
      <c r="N112" s="1043"/>
      <c r="O112" s="1043"/>
      <c r="P112" s="1043"/>
      <c r="Q112" s="1043"/>
      <c r="R112" s="1043"/>
      <c r="S112" s="1043"/>
      <c r="T112" s="1043"/>
      <c r="U112" s="1043"/>
      <c r="V112" s="1043"/>
      <c r="W112" s="1043"/>
      <c r="X112" s="1043"/>
      <c r="Y112" s="1043"/>
      <c r="Z112" s="1043"/>
      <c r="AA112" s="1043"/>
      <c r="AB112" s="1043"/>
      <c r="AC112" s="1043"/>
      <c r="AD112" s="1043"/>
      <c r="AE112" s="1043"/>
      <c r="AF112" s="1043"/>
      <c r="AG112" s="1043"/>
      <c r="AH112" s="1043"/>
      <c r="AI112" s="1043"/>
      <c r="AJ112" s="1043"/>
      <c r="AK112" s="1043"/>
      <c r="AL112" s="1043"/>
      <c r="AM112" s="1043"/>
      <c r="AN112" s="1043"/>
      <c r="AO112" s="1043"/>
      <c r="AP112" s="1043"/>
      <c r="AQ112" s="1043"/>
      <c r="AR112" s="1043"/>
      <c r="AS112" s="1043"/>
      <c r="AT112" s="1043"/>
      <c r="AU112" s="1043"/>
      <c r="AV112" s="1043"/>
      <c r="AW112" s="1043"/>
      <c r="AX112" s="1043"/>
      <c r="AY112" s="1043"/>
      <c r="AZ112" s="1043"/>
      <c r="BA112" s="1043"/>
      <c r="BB112" s="1043"/>
      <c r="BC112" s="1043"/>
      <c r="BD112" s="1043"/>
      <c r="BE112" s="1043"/>
      <c r="BF112" s="1043"/>
      <c r="BG112" s="1043"/>
      <c r="BH112" s="1043"/>
      <c r="BI112" s="1043"/>
      <c r="BJ112" s="1039"/>
      <c r="BK112" s="1039"/>
      <c r="BL112" s="1039"/>
      <c r="BM112" s="1039"/>
      <c r="BN112" s="1039"/>
      <c r="BO112" s="1039"/>
      <c r="BP112" s="1039"/>
      <c r="BQ112" s="1039"/>
      <c r="BR112" s="1039"/>
      <c r="BS112" s="1039"/>
      <c r="BT112" s="1039"/>
      <c r="BU112" s="1039"/>
      <c r="BV112" s="1043"/>
      <c r="BW112" s="990"/>
      <c r="BX112" s="978"/>
      <c r="BY112" s="978"/>
      <c r="BZ112" s="978"/>
      <c r="CA112" s="978"/>
      <c r="CB112" s="978"/>
      <c r="CC112" s="978"/>
      <c r="CD112" s="978"/>
      <c r="CE112" s="978"/>
      <c r="CF112" s="978"/>
      <c r="CG112" s="978"/>
      <c r="CH112" s="981"/>
      <c r="CI112" s="1018"/>
      <c r="CJ112" s="990"/>
      <c r="CK112" s="978"/>
      <c r="CL112" s="978"/>
      <c r="CM112" s="978"/>
      <c r="CN112" s="978"/>
      <c r="CO112" s="978"/>
      <c r="CP112" s="978"/>
      <c r="CQ112" s="978"/>
      <c r="CR112" s="978"/>
      <c r="CS112" s="978"/>
      <c r="CT112" s="978"/>
      <c r="CU112" s="981"/>
      <c r="CV112" s="1018"/>
      <c r="CW112" s="990"/>
      <c r="CX112" s="978"/>
      <c r="CY112" s="978"/>
      <c r="CZ112" s="978"/>
      <c r="DA112" s="978"/>
      <c r="DB112" s="978"/>
      <c r="DC112" s="978"/>
      <c r="DD112" s="978"/>
      <c r="DE112" s="978"/>
      <c r="DF112" s="978"/>
      <c r="DG112" s="978"/>
      <c r="DH112" s="981"/>
      <c r="DI112" s="1018"/>
      <c r="DJ112" s="973"/>
      <c r="DK112" s="215"/>
    </row>
    <row r="113" spans="1:117" ht="15" customHeight="1" x14ac:dyDescent="0.25">
      <c r="A113" s="1048">
        <v>16</v>
      </c>
      <c r="B113" s="1068" t="s">
        <v>274</v>
      </c>
      <c r="C113" s="1069" t="s">
        <v>264</v>
      </c>
      <c r="D113" s="1070" t="s">
        <v>202</v>
      </c>
      <c r="E113" s="181" t="s">
        <v>210</v>
      </c>
      <c r="F113" s="164">
        <v>30</v>
      </c>
      <c r="G113" s="1074">
        <f>F113+F114+F118+F115+F116+F117</f>
        <v>30</v>
      </c>
      <c r="H113" s="197"/>
      <c r="I113" s="1037"/>
      <c r="J113" s="1043"/>
      <c r="K113" s="1043"/>
      <c r="L113" s="1043"/>
      <c r="M113" s="1043"/>
      <c r="N113" s="1043"/>
      <c r="O113" s="1043"/>
      <c r="P113" s="1043"/>
      <c r="Q113" s="1043"/>
      <c r="R113" s="1043"/>
      <c r="S113" s="1043"/>
      <c r="T113" s="1043"/>
      <c r="U113" s="1043"/>
      <c r="V113" s="1043"/>
      <c r="W113" s="1043"/>
      <c r="X113" s="1043"/>
      <c r="Y113" s="1043"/>
      <c r="Z113" s="1043"/>
      <c r="AA113" s="1043"/>
      <c r="AB113" s="1043"/>
      <c r="AC113" s="1043"/>
      <c r="AD113" s="1043"/>
      <c r="AE113" s="1043"/>
      <c r="AF113" s="1043"/>
      <c r="AG113" s="1043"/>
      <c r="AH113" s="1043"/>
      <c r="AI113" s="1043"/>
      <c r="AJ113" s="1043"/>
      <c r="AK113" s="1043"/>
      <c r="AL113" s="1043"/>
      <c r="AM113" s="1043"/>
      <c r="AN113" s="1043"/>
      <c r="AO113" s="1043"/>
      <c r="AP113" s="1043"/>
      <c r="AQ113" s="1043"/>
      <c r="AR113" s="1043"/>
      <c r="AS113" s="1043"/>
      <c r="AT113" s="1043"/>
      <c r="AU113" s="1043"/>
      <c r="AV113" s="1043"/>
      <c r="AW113" s="1043"/>
      <c r="AX113" s="1043"/>
      <c r="AY113" s="1043"/>
      <c r="AZ113" s="1043"/>
      <c r="BA113" s="1043"/>
      <c r="BB113" s="1043"/>
      <c r="BC113" s="1043"/>
      <c r="BD113" s="1043"/>
      <c r="BE113" s="1043"/>
      <c r="BF113" s="1043"/>
      <c r="BG113" s="1043"/>
      <c r="BH113" s="1043"/>
      <c r="BI113" s="1043"/>
      <c r="BJ113" s="1037"/>
      <c r="BK113" s="1037"/>
      <c r="BL113" s="1037"/>
      <c r="BM113" s="1037"/>
      <c r="BN113" s="1037"/>
      <c r="BO113" s="1037"/>
      <c r="BP113" s="1037"/>
      <c r="BQ113" s="1037"/>
      <c r="BR113" s="1037"/>
      <c r="BS113" s="1037"/>
      <c r="BT113" s="1037"/>
      <c r="BU113" s="1037"/>
      <c r="BV113" s="1043"/>
      <c r="BW113" s="988"/>
      <c r="BX113" s="976"/>
      <c r="BY113" s="976"/>
      <c r="BZ113" s="976"/>
      <c r="CA113" s="976"/>
      <c r="CB113" s="976"/>
      <c r="CC113" s="976"/>
      <c r="CD113" s="976"/>
      <c r="CE113" s="976"/>
      <c r="CF113" s="976"/>
      <c r="CG113" s="976"/>
      <c r="CH113" s="979"/>
      <c r="CI113" s="1018"/>
      <c r="CJ113" s="988"/>
      <c r="CK113" s="976"/>
      <c r="CL113" s="976"/>
      <c r="CM113" s="976"/>
      <c r="CN113" s="976"/>
      <c r="CO113" s="976"/>
      <c r="CP113" s="976"/>
      <c r="CQ113" s="976"/>
      <c r="CR113" s="976"/>
      <c r="CS113" s="976"/>
      <c r="CT113" s="976"/>
      <c r="CU113" s="979"/>
      <c r="CV113" s="1018"/>
      <c r="CW113" s="988"/>
      <c r="CX113" s="976"/>
      <c r="CY113" s="976"/>
      <c r="CZ113" s="976"/>
      <c r="DA113" s="976"/>
      <c r="DB113" s="976"/>
      <c r="DC113" s="976"/>
      <c r="DD113" s="976"/>
      <c r="DE113" s="976"/>
      <c r="DF113" s="976"/>
      <c r="DG113" s="976"/>
      <c r="DH113" s="979"/>
      <c r="DI113" s="1018">
        <f>SUM(CW113:DH118)</f>
        <v>0</v>
      </c>
      <c r="DJ113" s="971">
        <f>I113+V113+AI113+AV113+BI113+BV113+CI113+CV113+DI113</f>
        <v>0</v>
      </c>
      <c r="DK113" s="230">
        <f>H115-DJ113</f>
        <v>30</v>
      </c>
    </row>
    <row r="114" spans="1:117" ht="15" customHeight="1" x14ac:dyDescent="0.25">
      <c r="A114" s="1048"/>
      <c r="B114" s="1068"/>
      <c r="C114" s="1069"/>
      <c r="D114" s="1070"/>
      <c r="E114" s="246"/>
      <c r="F114" s="143"/>
      <c r="G114" s="1075"/>
      <c r="H114" s="198"/>
      <c r="I114" s="1038"/>
      <c r="J114" s="1043"/>
      <c r="K114" s="1043"/>
      <c r="L114" s="1043"/>
      <c r="M114" s="1043"/>
      <c r="N114" s="1043"/>
      <c r="O114" s="1043"/>
      <c r="P114" s="1043"/>
      <c r="Q114" s="1043"/>
      <c r="R114" s="1043"/>
      <c r="S114" s="1043"/>
      <c r="T114" s="1043"/>
      <c r="U114" s="1043"/>
      <c r="V114" s="1043"/>
      <c r="W114" s="1043"/>
      <c r="X114" s="1043"/>
      <c r="Y114" s="1043"/>
      <c r="Z114" s="1043"/>
      <c r="AA114" s="1043"/>
      <c r="AB114" s="1043"/>
      <c r="AC114" s="1043"/>
      <c r="AD114" s="1043"/>
      <c r="AE114" s="1043"/>
      <c r="AF114" s="1043"/>
      <c r="AG114" s="1043"/>
      <c r="AH114" s="1043"/>
      <c r="AI114" s="1043"/>
      <c r="AJ114" s="1043"/>
      <c r="AK114" s="1043"/>
      <c r="AL114" s="1043"/>
      <c r="AM114" s="1043"/>
      <c r="AN114" s="1043"/>
      <c r="AO114" s="1043"/>
      <c r="AP114" s="1043"/>
      <c r="AQ114" s="1043"/>
      <c r="AR114" s="1043"/>
      <c r="AS114" s="1043"/>
      <c r="AT114" s="1043"/>
      <c r="AU114" s="1043"/>
      <c r="AV114" s="1043"/>
      <c r="AW114" s="1043"/>
      <c r="AX114" s="1043"/>
      <c r="AY114" s="1043"/>
      <c r="AZ114" s="1043"/>
      <c r="BA114" s="1043"/>
      <c r="BB114" s="1043"/>
      <c r="BC114" s="1043"/>
      <c r="BD114" s="1043"/>
      <c r="BE114" s="1043"/>
      <c r="BF114" s="1043"/>
      <c r="BG114" s="1043"/>
      <c r="BH114" s="1043"/>
      <c r="BI114" s="1043"/>
      <c r="BJ114" s="1038"/>
      <c r="BK114" s="1038"/>
      <c r="BL114" s="1038"/>
      <c r="BM114" s="1038"/>
      <c r="BN114" s="1038"/>
      <c r="BO114" s="1038"/>
      <c r="BP114" s="1038"/>
      <c r="BQ114" s="1038"/>
      <c r="BR114" s="1038"/>
      <c r="BS114" s="1038"/>
      <c r="BT114" s="1038"/>
      <c r="BU114" s="1038"/>
      <c r="BV114" s="1043"/>
      <c r="BW114" s="989"/>
      <c r="BX114" s="977"/>
      <c r="BY114" s="977"/>
      <c r="BZ114" s="977"/>
      <c r="CA114" s="977"/>
      <c r="CB114" s="977"/>
      <c r="CC114" s="977"/>
      <c r="CD114" s="977"/>
      <c r="CE114" s="977"/>
      <c r="CF114" s="977"/>
      <c r="CG114" s="977"/>
      <c r="CH114" s="980"/>
      <c r="CI114" s="1018"/>
      <c r="CJ114" s="989"/>
      <c r="CK114" s="977"/>
      <c r="CL114" s="977"/>
      <c r="CM114" s="977"/>
      <c r="CN114" s="977"/>
      <c r="CO114" s="977"/>
      <c r="CP114" s="977"/>
      <c r="CQ114" s="977"/>
      <c r="CR114" s="977"/>
      <c r="CS114" s="977"/>
      <c r="CT114" s="977"/>
      <c r="CU114" s="980"/>
      <c r="CV114" s="1018"/>
      <c r="CW114" s="989"/>
      <c r="CX114" s="977"/>
      <c r="CY114" s="977"/>
      <c r="CZ114" s="977"/>
      <c r="DA114" s="977"/>
      <c r="DB114" s="977"/>
      <c r="DC114" s="977"/>
      <c r="DD114" s="977"/>
      <c r="DE114" s="977"/>
      <c r="DF114" s="977"/>
      <c r="DG114" s="977"/>
      <c r="DH114" s="980"/>
      <c r="DI114" s="1018"/>
      <c r="DJ114" s="972"/>
      <c r="DK114" s="214"/>
    </row>
    <row r="115" spans="1:117" ht="15" customHeight="1" x14ac:dyDescent="0.25">
      <c r="A115" s="1048"/>
      <c r="B115" s="1068"/>
      <c r="C115" s="1069"/>
      <c r="D115" s="1070"/>
      <c r="E115" s="246"/>
      <c r="F115" s="143"/>
      <c r="G115" s="1075"/>
      <c r="H115" s="228">
        <f>ROUNDDOWN(($H$2-D113)/365,0)*30</f>
        <v>30</v>
      </c>
      <c r="I115" s="1038"/>
      <c r="J115" s="1043"/>
      <c r="K115" s="1043"/>
      <c r="L115" s="1043"/>
      <c r="M115" s="1043"/>
      <c r="N115" s="1043"/>
      <c r="O115" s="1043"/>
      <c r="P115" s="1043"/>
      <c r="Q115" s="1043"/>
      <c r="R115" s="1043"/>
      <c r="S115" s="1043"/>
      <c r="T115" s="1043"/>
      <c r="U115" s="1043"/>
      <c r="V115" s="1043"/>
      <c r="W115" s="1043"/>
      <c r="X115" s="1043"/>
      <c r="Y115" s="1043"/>
      <c r="Z115" s="1043"/>
      <c r="AA115" s="1043"/>
      <c r="AB115" s="1043"/>
      <c r="AC115" s="1043"/>
      <c r="AD115" s="1043"/>
      <c r="AE115" s="1043"/>
      <c r="AF115" s="1043"/>
      <c r="AG115" s="1043"/>
      <c r="AH115" s="1043"/>
      <c r="AI115" s="1043"/>
      <c r="AJ115" s="1043"/>
      <c r="AK115" s="1043"/>
      <c r="AL115" s="1043"/>
      <c r="AM115" s="1043"/>
      <c r="AN115" s="1043"/>
      <c r="AO115" s="1043"/>
      <c r="AP115" s="1043"/>
      <c r="AQ115" s="1043"/>
      <c r="AR115" s="1043"/>
      <c r="AS115" s="1043"/>
      <c r="AT115" s="1043"/>
      <c r="AU115" s="1043"/>
      <c r="AV115" s="1043"/>
      <c r="AW115" s="1043"/>
      <c r="AX115" s="1043"/>
      <c r="AY115" s="1043"/>
      <c r="AZ115" s="1043"/>
      <c r="BA115" s="1043"/>
      <c r="BB115" s="1043"/>
      <c r="BC115" s="1043"/>
      <c r="BD115" s="1043"/>
      <c r="BE115" s="1043"/>
      <c r="BF115" s="1043"/>
      <c r="BG115" s="1043"/>
      <c r="BH115" s="1043"/>
      <c r="BI115" s="1043"/>
      <c r="BJ115" s="1038"/>
      <c r="BK115" s="1038"/>
      <c r="BL115" s="1038"/>
      <c r="BM115" s="1038"/>
      <c r="BN115" s="1038"/>
      <c r="BO115" s="1038"/>
      <c r="BP115" s="1038"/>
      <c r="BQ115" s="1038"/>
      <c r="BR115" s="1038"/>
      <c r="BS115" s="1038"/>
      <c r="BT115" s="1038"/>
      <c r="BU115" s="1038"/>
      <c r="BV115" s="1043"/>
      <c r="BW115" s="989"/>
      <c r="BX115" s="977"/>
      <c r="BY115" s="977"/>
      <c r="BZ115" s="977"/>
      <c r="CA115" s="977"/>
      <c r="CB115" s="977"/>
      <c r="CC115" s="977"/>
      <c r="CD115" s="977"/>
      <c r="CE115" s="977"/>
      <c r="CF115" s="977"/>
      <c r="CG115" s="977"/>
      <c r="CH115" s="980"/>
      <c r="CI115" s="1018"/>
      <c r="CJ115" s="989"/>
      <c r="CK115" s="977"/>
      <c r="CL115" s="977"/>
      <c r="CM115" s="977"/>
      <c r="CN115" s="977"/>
      <c r="CO115" s="977"/>
      <c r="CP115" s="977"/>
      <c r="CQ115" s="977"/>
      <c r="CR115" s="977"/>
      <c r="CS115" s="977"/>
      <c r="CT115" s="977"/>
      <c r="CU115" s="980"/>
      <c r="CV115" s="1018"/>
      <c r="CW115" s="989"/>
      <c r="CX115" s="977"/>
      <c r="CY115" s="977"/>
      <c r="CZ115" s="977"/>
      <c r="DA115" s="977"/>
      <c r="DB115" s="977"/>
      <c r="DC115" s="977"/>
      <c r="DD115" s="977"/>
      <c r="DE115" s="977"/>
      <c r="DF115" s="977"/>
      <c r="DG115" s="977"/>
      <c r="DH115" s="980"/>
      <c r="DI115" s="1018"/>
      <c r="DJ115" s="972"/>
      <c r="DK115" s="214"/>
      <c r="DM115" s="128"/>
    </row>
    <row r="116" spans="1:117" ht="15" customHeight="1" x14ac:dyDescent="0.25">
      <c r="A116" s="1048"/>
      <c r="B116" s="1068"/>
      <c r="C116" s="1069"/>
      <c r="D116" s="1070"/>
      <c r="E116" s="182"/>
      <c r="F116" s="144"/>
      <c r="G116" s="1075"/>
      <c r="H116" s="198"/>
      <c r="I116" s="1038"/>
      <c r="J116" s="1043"/>
      <c r="K116" s="1043"/>
      <c r="L116" s="1043"/>
      <c r="M116" s="1043"/>
      <c r="N116" s="1043"/>
      <c r="O116" s="1043"/>
      <c r="P116" s="1043"/>
      <c r="Q116" s="1043"/>
      <c r="R116" s="1043"/>
      <c r="S116" s="1043"/>
      <c r="T116" s="1043"/>
      <c r="U116" s="1043"/>
      <c r="V116" s="1043"/>
      <c r="W116" s="1043"/>
      <c r="X116" s="1043"/>
      <c r="Y116" s="1043"/>
      <c r="Z116" s="1043"/>
      <c r="AA116" s="1043"/>
      <c r="AB116" s="1043"/>
      <c r="AC116" s="1043"/>
      <c r="AD116" s="1043"/>
      <c r="AE116" s="1043"/>
      <c r="AF116" s="1043"/>
      <c r="AG116" s="1043"/>
      <c r="AH116" s="1043"/>
      <c r="AI116" s="1043"/>
      <c r="AJ116" s="1043"/>
      <c r="AK116" s="1043"/>
      <c r="AL116" s="1043"/>
      <c r="AM116" s="1043"/>
      <c r="AN116" s="1043"/>
      <c r="AO116" s="1043"/>
      <c r="AP116" s="1043"/>
      <c r="AQ116" s="1043"/>
      <c r="AR116" s="1043"/>
      <c r="AS116" s="1043"/>
      <c r="AT116" s="1043"/>
      <c r="AU116" s="1043"/>
      <c r="AV116" s="1043"/>
      <c r="AW116" s="1043"/>
      <c r="AX116" s="1043"/>
      <c r="AY116" s="1043"/>
      <c r="AZ116" s="1043"/>
      <c r="BA116" s="1043"/>
      <c r="BB116" s="1043"/>
      <c r="BC116" s="1043"/>
      <c r="BD116" s="1043"/>
      <c r="BE116" s="1043"/>
      <c r="BF116" s="1043"/>
      <c r="BG116" s="1043"/>
      <c r="BH116" s="1043"/>
      <c r="BI116" s="1043"/>
      <c r="BJ116" s="1038"/>
      <c r="BK116" s="1038"/>
      <c r="BL116" s="1038"/>
      <c r="BM116" s="1038"/>
      <c r="BN116" s="1038"/>
      <c r="BO116" s="1038"/>
      <c r="BP116" s="1038"/>
      <c r="BQ116" s="1038"/>
      <c r="BR116" s="1038"/>
      <c r="BS116" s="1038"/>
      <c r="BT116" s="1038"/>
      <c r="BU116" s="1038"/>
      <c r="BV116" s="1043"/>
      <c r="BW116" s="989"/>
      <c r="BX116" s="977"/>
      <c r="BY116" s="977"/>
      <c r="BZ116" s="977"/>
      <c r="CA116" s="977"/>
      <c r="CB116" s="977"/>
      <c r="CC116" s="977"/>
      <c r="CD116" s="977"/>
      <c r="CE116" s="977"/>
      <c r="CF116" s="977"/>
      <c r="CG116" s="977"/>
      <c r="CH116" s="980"/>
      <c r="CI116" s="1018"/>
      <c r="CJ116" s="989"/>
      <c r="CK116" s="977"/>
      <c r="CL116" s="977"/>
      <c r="CM116" s="977"/>
      <c r="CN116" s="977"/>
      <c r="CO116" s="977"/>
      <c r="CP116" s="977"/>
      <c r="CQ116" s="977"/>
      <c r="CR116" s="977"/>
      <c r="CS116" s="977"/>
      <c r="CT116" s="977"/>
      <c r="CU116" s="980"/>
      <c r="CV116" s="1018"/>
      <c r="CW116" s="989"/>
      <c r="CX116" s="977"/>
      <c r="CY116" s="977"/>
      <c r="CZ116" s="977"/>
      <c r="DA116" s="977"/>
      <c r="DB116" s="977"/>
      <c r="DC116" s="977"/>
      <c r="DD116" s="977"/>
      <c r="DE116" s="977"/>
      <c r="DF116" s="977"/>
      <c r="DG116" s="977"/>
      <c r="DH116" s="980"/>
      <c r="DI116" s="1018"/>
      <c r="DJ116" s="972"/>
      <c r="DK116" s="214"/>
    </row>
    <row r="117" spans="1:117" ht="15" customHeight="1" x14ac:dyDescent="0.25">
      <c r="A117" s="1048"/>
      <c r="B117" s="1068"/>
      <c r="C117" s="1069"/>
      <c r="D117" s="1070"/>
      <c r="E117" s="182"/>
      <c r="F117" s="144"/>
      <c r="G117" s="1075"/>
      <c r="H117" s="198"/>
      <c r="I117" s="1038"/>
      <c r="J117" s="1043"/>
      <c r="K117" s="1043"/>
      <c r="L117" s="1043"/>
      <c r="M117" s="1043"/>
      <c r="N117" s="1043"/>
      <c r="O117" s="1043"/>
      <c r="P117" s="1043"/>
      <c r="Q117" s="1043"/>
      <c r="R117" s="1043"/>
      <c r="S117" s="1043"/>
      <c r="T117" s="1043"/>
      <c r="U117" s="1043"/>
      <c r="V117" s="1043"/>
      <c r="W117" s="1043"/>
      <c r="X117" s="1043"/>
      <c r="Y117" s="1043"/>
      <c r="Z117" s="1043"/>
      <c r="AA117" s="1043"/>
      <c r="AB117" s="1043"/>
      <c r="AC117" s="1043"/>
      <c r="AD117" s="1043"/>
      <c r="AE117" s="1043"/>
      <c r="AF117" s="1043"/>
      <c r="AG117" s="1043"/>
      <c r="AH117" s="1043"/>
      <c r="AI117" s="1043"/>
      <c r="AJ117" s="1043"/>
      <c r="AK117" s="1043"/>
      <c r="AL117" s="1043"/>
      <c r="AM117" s="1043"/>
      <c r="AN117" s="1043"/>
      <c r="AO117" s="1043"/>
      <c r="AP117" s="1043"/>
      <c r="AQ117" s="1043"/>
      <c r="AR117" s="1043"/>
      <c r="AS117" s="1043"/>
      <c r="AT117" s="1043"/>
      <c r="AU117" s="1043"/>
      <c r="AV117" s="1043"/>
      <c r="AW117" s="1043"/>
      <c r="AX117" s="1043"/>
      <c r="AY117" s="1043"/>
      <c r="AZ117" s="1043"/>
      <c r="BA117" s="1043"/>
      <c r="BB117" s="1043"/>
      <c r="BC117" s="1043"/>
      <c r="BD117" s="1043"/>
      <c r="BE117" s="1043"/>
      <c r="BF117" s="1043"/>
      <c r="BG117" s="1043"/>
      <c r="BH117" s="1043"/>
      <c r="BI117" s="1043"/>
      <c r="BJ117" s="1038"/>
      <c r="BK117" s="1038"/>
      <c r="BL117" s="1038"/>
      <c r="BM117" s="1038"/>
      <c r="BN117" s="1038"/>
      <c r="BO117" s="1038"/>
      <c r="BP117" s="1038"/>
      <c r="BQ117" s="1038"/>
      <c r="BR117" s="1038"/>
      <c r="BS117" s="1038"/>
      <c r="BT117" s="1038"/>
      <c r="BU117" s="1038"/>
      <c r="BV117" s="1043"/>
      <c r="BW117" s="989"/>
      <c r="BX117" s="977"/>
      <c r="BY117" s="977"/>
      <c r="BZ117" s="977"/>
      <c r="CA117" s="977"/>
      <c r="CB117" s="977"/>
      <c r="CC117" s="977"/>
      <c r="CD117" s="977"/>
      <c r="CE117" s="977"/>
      <c r="CF117" s="977"/>
      <c r="CG117" s="977"/>
      <c r="CH117" s="980"/>
      <c r="CI117" s="1018"/>
      <c r="CJ117" s="989"/>
      <c r="CK117" s="977"/>
      <c r="CL117" s="977"/>
      <c r="CM117" s="977"/>
      <c r="CN117" s="977"/>
      <c r="CO117" s="977"/>
      <c r="CP117" s="977"/>
      <c r="CQ117" s="977"/>
      <c r="CR117" s="977"/>
      <c r="CS117" s="977"/>
      <c r="CT117" s="977"/>
      <c r="CU117" s="980"/>
      <c r="CV117" s="1018"/>
      <c r="CW117" s="989"/>
      <c r="CX117" s="977"/>
      <c r="CY117" s="977"/>
      <c r="CZ117" s="977"/>
      <c r="DA117" s="977"/>
      <c r="DB117" s="977"/>
      <c r="DC117" s="977"/>
      <c r="DD117" s="977"/>
      <c r="DE117" s="977"/>
      <c r="DF117" s="977"/>
      <c r="DG117" s="977"/>
      <c r="DH117" s="980"/>
      <c r="DI117" s="1018"/>
      <c r="DJ117" s="972"/>
      <c r="DK117" s="214"/>
    </row>
    <row r="118" spans="1:117" ht="15" customHeight="1" x14ac:dyDescent="0.25">
      <c r="A118" s="1048"/>
      <c r="B118" s="1068"/>
      <c r="C118" s="1069"/>
      <c r="D118" s="1070"/>
      <c r="E118" s="183"/>
      <c r="F118" s="145"/>
      <c r="G118" s="1076"/>
      <c r="H118" s="199"/>
      <c r="I118" s="1039"/>
      <c r="J118" s="1043"/>
      <c r="K118" s="1043"/>
      <c r="L118" s="1043"/>
      <c r="M118" s="1043"/>
      <c r="N118" s="1043"/>
      <c r="O118" s="1043"/>
      <c r="P118" s="1043"/>
      <c r="Q118" s="1043"/>
      <c r="R118" s="1043"/>
      <c r="S118" s="1043"/>
      <c r="T118" s="1043"/>
      <c r="U118" s="1043"/>
      <c r="V118" s="1043"/>
      <c r="W118" s="1043"/>
      <c r="X118" s="1043"/>
      <c r="Y118" s="1043"/>
      <c r="Z118" s="1043"/>
      <c r="AA118" s="1043"/>
      <c r="AB118" s="1043"/>
      <c r="AC118" s="1043"/>
      <c r="AD118" s="1043"/>
      <c r="AE118" s="1043"/>
      <c r="AF118" s="1043"/>
      <c r="AG118" s="1043"/>
      <c r="AH118" s="1043"/>
      <c r="AI118" s="1043"/>
      <c r="AJ118" s="1043"/>
      <c r="AK118" s="1043"/>
      <c r="AL118" s="1043"/>
      <c r="AM118" s="1043"/>
      <c r="AN118" s="1043"/>
      <c r="AO118" s="1043"/>
      <c r="AP118" s="1043"/>
      <c r="AQ118" s="1043"/>
      <c r="AR118" s="1043"/>
      <c r="AS118" s="1043"/>
      <c r="AT118" s="1043"/>
      <c r="AU118" s="1043"/>
      <c r="AV118" s="1043"/>
      <c r="AW118" s="1043"/>
      <c r="AX118" s="1043"/>
      <c r="AY118" s="1043"/>
      <c r="AZ118" s="1043"/>
      <c r="BA118" s="1043"/>
      <c r="BB118" s="1043"/>
      <c r="BC118" s="1043"/>
      <c r="BD118" s="1043"/>
      <c r="BE118" s="1043"/>
      <c r="BF118" s="1043"/>
      <c r="BG118" s="1043"/>
      <c r="BH118" s="1043"/>
      <c r="BI118" s="1043"/>
      <c r="BJ118" s="1039"/>
      <c r="BK118" s="1039"/>
      <c r="BL118" s="1039"/>
      <c r="BM118" s="1039"/>
      <c r="BN118" s="1039"/>
      <c r="BO118" s="1039"/>
      <c r="BP118" s="1039"/>
      <c r="BQ118" s="1039"/>
      <c r="BR118" s="1039"/>
      <c r="BS118" s="1039"/>
      <c r="BT118" s="1039"/>
      <c r="BU118" s="1039"/>
      <c r="BV118" s="1043"/>
      <c r="BW118" s="990"/>
      <c r="BX118" s="978"/>
      <c r="BY118" s="978"/>
      <c r="BZ118" s="978"/>
      <c r="CA118" s="978"/>
      <c r="CB118" s="978"/>
      <c r="CC118" s="978"/>
      <c r="CD118" s="978"/>
      <c r="CE118" s="978"/>
      <c r="CF118" s="978"/>
      <c r="CG118" s="978"/>
      <c r="CH118" s="981"/>
      <c r="CI118" s="1018"/>
      <c r="CJ118" s="990"/>
      <c r="CK118" s="978"/>
      <c r="CL118" s="978"/>
      <c r="CM118" s="978"/>
      <c r="CN118" s="978"/>
      <c r="CO118" s="978"/>
      <c r="CP118" s="978"/>
      <c r="CQ118" s="978"/>
      <c r="CR118" s="978"/>
      <c r="CS118" s="978"/>
      <c r="CT118" s="978"/>
      <c r="CU118" s="981"/>
      <c r="CV118" s="1018"/>
      <c r="CW118" s="990"/>
      <c r="CX118" s="978"/>
      <c r="CY118" s="978"/>
      <c r="CZ118" s="978"/>
      <c r="DA118" s="978"/>
      <c r="DB118" s="978"/>
      <c r="DC118" s="978"/>
      <c r="DD118" s="978"/>
      <c r="DE118" s="978"/>
      <c r="DF118" s="978"/>
      <c r="DG118" s="978"/>
      <c r="DH118" s="981"/>
      <c r="DI118" s="1018"/>
      <c r="DJ118" s="973"/>
      <c r="DK118" s="215"/>
    </row>
    <row r="119" spans="1:117" ht="15" customHeight="1" x14ac:dyDescent="0.25">
      <c r="A119" s="1048">
        <v>17</v>
      </c>
      <c r="B119" s="1105" t="s">
        <v>363</v>
      </c>
      <c r="C119" s="1069"/>
      <c r="D119" s="1070" t="s">
        <v>359</v>
      </c>
      <c r="E119" s="248" t="s">
        <v>275</v>
      </c>
      <c r="F119" s="150">
        <v>30</v>
      </c>
      <c r="G119" s="1071">
        <f>F119+F120+F121+F122+F123+F124+F125+F126+F127</f>
        <v>270</v>
      </c>
      <c r="H119" s="194"/>
      <c r="I119" s="1037"/>
      <c r="J119" s="1043"/>
      <c r="K119" s="1043"/>
      <c r="L119" s="1043"/>
      <c r="M119" s="1043"/>
      <c r="N119" s="1043"/>
      <c r="O119" s="1043"/>
      <c r="P119" s="1043"/>
      <c r="Q119" s="1043"/>
      <c r="R119" s="1043"/>
      <c r="S119" s="1043"/>
      <c r="T119" s="1043"/>
      <c r="U119" s="1043"/>
      <c r="V119" s="1043">
        <f>SUM(J119:U127)</f>
        <v>0</v>
      </c>
      <c r="W119" s="1043"/>
      <c r="X119" s="1043"/>
      <c r="Y119" s="1043"/>
      <c r="Z119" s="1043"/>
      <c r="AA119" s="1043"/>
      <c r="AB119" s="1043"/>
      <c r="AC119" s="1043"/>
      <c r="AD119" s="1043"/>
      <c r="AE119" s="1043"/>
      <c r="AF119" s="1043"/>
      <c r="AG119" s="1043"/>
      <c r="AH119" s="1043"/>
      <c r="AI119" s="1043">
        <f>SUM(W119:AH127)</f>
        <v>0</v>
      </c>
      <c r="AJ119" s="1043"/>
      <c r="AK119" s="1043">
        <v>7</v>
      </c>
      <c r="AL119" s="1043"/>
      <c r="AM119" s="1043"/>
      <c r="AN119" s="1043">
        <v>2</v>
      </c>
      <c r="AO119" s="1043"/>
      <c r="AP119" s="1043"/>
      <c r="AQ119" s="1043"/>
      <c r="AR119" s="1043"/>
      <c r="AS119" s="1043"/>
      <c r="AT119" s="1043"/>
      <c r="AU119" s="1043"/>
      <c r="AV119" s="1043">
        <f>SUM(AJ119:AU127)</f>
        <v>9</v>
      </c>
      <c r="AW119" s="1043">
        <v>20</v>
      </c>
      <c r="AX119" s="1043"/>
      <c r="AY119" s="1043"/>
      <c r="AZ119" s="1043"/>
      <c r="BA119" s="1043"/>
      <c r="BB119" s="1043"/>
      <c r="BC119" s="1043"/>
      <c r="BD119" s="1043"/>
      <c r="BE119" s="1043"/>
      <c r="BF119" s="1043"/>
      <c r="BG119" s="1043">
        <v>1</v>
      </c>
      <c r="BH119" s="1043"/>
      <c r="BI119" s="1043">
        <f>SUM(AW119:BH127)</f>
        <v>21</v>
      </c>
      <c r="BJ119" s="1037"/>
      <c r="BK119" s="1037"/>
      <c r="BL119" s="1037"/>
      <c r="BM119" s="1037"/>
      <c r="BN119" s="1037">
        <v>7</v>
      </c>
      <c r="BO119" s="1037"/>
      <c r="BP119" s="1037">
        <v>20</v>
      </c>
      <c r="BQ119" s="1037"/>
      <c r="BR119" s="1037"/>
      <c r="BS119" s="1037"/>
      <c r="BT119" s="1037"/>
      <c r="BU119" s="1037"/>
      <c r="BV119" s="1043">
        <f>SUM(BJ119:BU127)</f>
        <v>27</v>
      </c>
      <c r="BW119" s="178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84"/>
      <c r="CI119" s="1018">
        <f>SUM(BW119:CH127)</f>
        <v>0</v>
      </c>
      <c r="CJ119" s="178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84"/>
      <c r="CV119" s="1018">
        <f>SUM(CJ119:CU127)</f>
        <v>0</v>
      </c>
      <c r="CW119" s="988"/>
      <c r="CX119" s="976"/>
      <c r="CY119" s="976"/>
      <c r="CZ119" s="976">
        <v>30</v>
      </c>
      <c r="DA119" s="976"/>
      <c r="DB119" s="976"/>
      <c r="DC119" s="976"/>
      <c r="DD119" s="976"/>
      <c r="DE119" s="976">
        <v>3</v>
      </c>
      <c r="DF119" s="976"/>
      <c r="DG119" s="976"/>
      <c r="DH119" s="979"/>
      <c r="DI119" s="1018">
        <f>SUM(CW119:DH127)</f>
        <v>33</v>
      </c>
      <c r="DJ119" s="971">
        <f>SUM(V119,AI119,AV119,BI119,BV119,CI119:CI119,CV119,DI119)</f>
        <v>90</v>
      </c>
      <c r="DK119" s="230">
        <f>H123-DJ119</f>
        <v>180</v>
      </c>
    </row>
    <row r="120" spans="1:117" ht="15" customHeight="1" x14ac:dyDescent="0.25">
      <c r="A120" s="1048"/>
      <c r="B120" s="1105"/>
      <c r="C120" s="1069"/>
      <c r="D120" s="1070"/>
      <c r="E120" s="246" t="s">
        <v>276</v>
      </c>
      <c r="F120" s="150">
        <v>30</v>
      </c>
      <c r="G120" s="1072"/>
      <c r="H120" s="195"/>
      <c r="I120" s="1038"/>
      <c r="J120" s="1043"/>
      <c r="K120" s="1043"/>
      <c r="L120" s="1043"/>
      <c r="M120" s="1043"/>
      <c r="N120" s="1043"/>
      <c r="O120" s="1043"/>
      <c r="P120" s="1043"/>
      <c r="Q120" s="1043"/>
      <c r="R120" s="1043"/>
      <c r="S120" s="1043"/>
      <c r="T120" s="1043"/>
      <c r="U120" s="1043"/>
      <c r="V120" s="1043"/>
      <c r="W120" s="1043"/>
      <c r="X120" s="1043"/>
      <c r="Y120" s="1043"/>
      <c r="Z120" s="1043"/>
      <c r="AA120" s="1043"/>
      <c r="AB120" s="1043"/>
      <c r="AC120" s="1043"/>
      <c r="AD120" s="1043"/>
      <c r="AE120" s="1043"/>
      <c r="AF120" s="1043"/>
      <c r="AG120" s="1043"/>
      <c r="AH120" s="1043"/>
      <c r="AI120" s="1043"/>
      <c r="AJ120" s="1043"/>
      <c r="AK120" s="1043"/>
      <c r="AL120" s="1043"/>
      <c r="AM120" s="1043"/>
      <c r="AN120" s="1043"/>
      <c r="AO120" s="1043"/>
      <c r="AP120" s="1043"/>
      <c r="AQ120" s="1043"/>
      <c r="AR120" s="1043"/>
      <c r="AS120" s="1043"/>
      <c r="AT120" s="1043"/>
      <c r="AU120" s="1043"/>
      <c r="AV120" s="1043"/>
      <c r="AW120" s="1043"/>
      <c r="AX120" s="1043"/>
      <c r="AY120" s="1043"/>
      <c r="AZ120" s="1043"/>
      <c r="BA120" s="1043"/>
      <c r="BB120" s="1043"/>
      <c r="BC120" s="1043"/>
      <c r="BD120" s="1043"/>
      <c r="BE120" s="1043"/>
      <c r="BF120" s="1043"/>
      <c r="BG120" s="1043"/>
      <c r="BH120" s="1043"/>
      <c r="BI120" s="1043"/>
      <c r="BJ120" s="1038"/>
      <c r="BK120" s="1038"/>
      <c r="BL120" s="1038"/>
      <c r="BM120" s="1038"/>
      <c r="BN120" s="1038"/>
      <c r="BO120" s="1038"/>
      <c r="BP120" s="1038"/>
      <c r="BQ120" s="1038"/>
      <c r="BR120" s="1038"/>
      <c r="BS120" s="1038"/>
      <c r="BT120" s="1038"/>
      <c r="BU120" s="1038"/>
      <c r="BV120" s="1043"/>
      <c r="BW120" s="179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85"/>
      <c r="CI120" s="1018"/>
      <c r="CJ120" s="179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85"/>
      <c r="CV120" s="1018"/>
      <c r="CW120" s="989"/>
      <c r="CX120" s="977"/>
      <c r="CY120" s="977"/>
      <c r="CZ120" s="977"/>
      <c r="DA120" s="977"/>
      <c r="DB120" s="977"/>
      <c r="DC120" s="977"/>
      <c r="DD120" s="977"/>
      <c r="DE120" s="977"/>
      <c r="DF120" s="977"/>
      <c r="DG120" s="977"/>
      <c r="DH120" s="980"/>
      <c r="DI120" s="1018"/>
      <c r="DJ120" s="972"/>
      <c r="DK120" s="214"/>
    </row>
    <row r="121" spans="1:117" ht="15" customHeight="1" x14ac:dyDescent="0.25">
      <c r="A121" s="1048"/>
      <c r="B121" s="1105"/>
      <c r="C121" s="1069"/>
      <c r="D121" s="1070"/>
      <c r="E121" s="246" t="s">
        <v>277</v>
      </c>
      <c r="F121" s="150">
        <v>30</v>
      </c>
      <c r="G121" s="1072"/>
      <c r="H121" s="195"/>
      <c r="I121" s="1038"/>
      <c r="J121" s="1043"/>
      <c r="K121" s="1043"/>
      <c r="L121" s="1043"/>
      <c r="M121" s="1043"/>
      <c r="N121" s="1043"/>
      <c r="O121" s="1043"/>
      <c r="P121" s="1043"/>
      <c r="Q121" s="1043"/>
      <c r="R121" s="1043"/>
      <c r="S121" s="1043"/>
      <c r="T121" s="1043"/>
      <c r="U121" s="1043"/>
      <c r="V121" s="1043"/>
      <c r="W121" s="1043"/>
      <c r="X121" s="1043"/>
      <c r="Y121" s="1043"/>
      <c r="Z121" s="1043"/>
      <c r="AA121" s="1043"/>
      <c r="AB121" s="1043"/>
      <c r="AC121" s="1043"/>
      <c r="AD121" s="1043"/>
      <c r="AE121" s="1043"/>
      <c r="AF121" s="1043"/>
      <c r="AG121" s="1043"/>
      <c r="AH121" s="1043"/>
      <c r="AI121" s="1043"/>
      <c r="AJ121" s="1043"/>
      <c r="AK121" s="1043"/>
      <c r="AL121" s="1043"/>
      <c r="AM121" s="1043"/>
      <c r="AN121" s="1043"/>
      <c r="AO121" s="1043"/>
      <c r="AP121" s="1043"/>
      <c r="AQ121" s="1043"/>
      <c r="AR121" s="1043"/>
      <c r="AS121" s="1043"/>
      <c r="AT121" s="1043"/>
      <c r="AU121" s="1043"/>
      <c r="AV121" s="1043"/>
      <c r="AW121" s="1043"/>
      <c r="AX121" s="1043"/>
      <c r="AY121" s="1043"/>
      <c r="AZ121" s="1043"/>
      <c r="BA121" s="1043"/>
      <c r="BB121" s="1043"/>
      <c r="BC121" s="1043"/>
      <c r="BD121" s="1043"/>
      <c r="BE121" s="1043"/>
      <c r="BF121" s="1043"/>
      <c r="BG121" s="1043"/>
      <c r="BH121" s="1043"/>
      <c r="BI121" s="1043"/>
      <c r="BJ121" s="1038"/>
      <c r="BK121" s="1038"/>
      <c r="BL121" s="1038"/>
      <c r="BM121" s="1038"/>
      <c r="BN121" s="1038"/>
      <c r="BO121" s="1038"/>
      <c r="BP121" s="1038"/>
      <c r="BQ121" s="1038"/>
      <c r="BR121" s="1038"/>
      <c r="BS121" s="1038"/>
      <c r="BT121" s="1038"/>
      <c r="BU121" s="1038"/>
      <c r="BV121" s="1043"/>
      <c r="BW121" s="179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85"/>
      <c r="CI121" s="1018"/>
      <c r="CJ121" s="179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85"/>
      <c r="CV121" s="1018"/>
      <c r="CW121" s="989"/>
      <c r="CX121" s="977"/>
      <c r="CY121" s="977"/>
      <c r="CZ121" s="977"/>
      <c r="DA121" s="977"/>
      <c r="DB121" s="977"/>
      <c r="DC121" s="977"/>
      <c r="DD121" s="977"/>
      <c r="DE121" s="977"/>
      <c r="DF121" s="977"/>
      <c r="DG121" s="977"/>
      <c r="DH121" s="980"/>
      <c r="DI121" s="1018"/>
      <c r="DJ121" s="972"/>
      <c r="DK121" s="214"/>
    </row>
    <row r="122" spans="1:117" ht="15" customHeight="1" x14ac:dyDescent="0.25">
      <c r="A122" s="1048"/>
      <c r="B122" s="1105"/>
      <c r="C122" s="1069"/>
      <c r="D122" s="1070"/>
      <c r="E122" s="182" t="s">
        <v>278</v>
      </c>
      <c r="F122" s="147">
        <v>30</v>
      </c>
      <c r="G122" s="1072"/>
      <c r="H122" s="195"/>
      <c r="I122" s="1038"/>
      <c r="J122" s="1043"/>
      <c r="K122" s="1043"/>
      <c r="L122" s="1043"/>
      <c r="M122" s="1043"/>
      <c r="N122" s="1043"/>
      <c r="O122" s="1043"/>
      <c r="P122" s="1043"/>
      <c r="Q122" s="1043"/>
      <c r="R122" s="1043"/>
      <c r="S122" s="1043"/>
      <c r="T122" s="1043"/>
      <c r="U122" s="1043"/>
      <c r="V122" s="1043"/>
      <c r="W122" s="1043"/>
      <c r="X122" s="1043"/>
      <c r="Y122" s="1043"/>
      <c r="Z122" s="1043"/>
      <c r="AA122" s="1043"/>
      <c r="AB122" s="1043"/>
      <c r="AC122" s="1043"/>
      <c r="AD122" s="1043"/>
      <c r="AE122" s="1043"/>
      <c r="AF122" s="1043"/>
      <c r="AG122" s="1043"/>
      <c r="AH122" s="1043"/>
      <c r="AI122" s="1043"/>
      <c r="AJ122" s="1043"/>
      <c r="AK122" s="1043"/>
      <c r="AL122" s="1043"/>
      <c r="AM122" s="1043"/>
      <c r="AN122" s="1043"/>
      <c r="AO122" s="1043"/>
      <c r="AP122" s="1043"/>
      <c r="AQ122" s="1043"/>
      <c r="AR122" s="1043"/>
      <c r="AS122" s="1043"/>
      <c r="AT122" s="1043"/>
      <c r="AU122" s="1043"/>
      <c r="AV122" s="1043"/>
      <c r="AW122" s="1043"/>
      <c r="AX122" s="1043"/>
      <c r="AY122" s="1043"/>
      <c r="AZ122" s="1043"/>
      <c r="BA122" s="1043"/>
      <c r="BB122" s="1043"/>
      <c r="BC122" s="1043"/>
      <c r="BD122" s="1043"/>
      <c r="BE122" s="1043"/>
      <c r="BF122" s="1043"/>
      <c r="BG122" s="1043"/>
      <c r="BH122" s="1043"/>
      <c r="BI122" s="1043"/>
      <c r="BJ122" s="1038"/>
      <c r="BK122" s="1038"/>
      <c r="BL122" s="1038"/>
      <c r="BM122" s="1038"/>
      <c r="BN122" s="1038"/>
      <c r="BO122" s="1038"/>
      <c r="BP122" s="1038"/>
      <c r="BQ122" s="1038"/>
      <c r="BR122" s="1038"/>
      <c r="BS122" s="1038"/>
      <c r="BT122" s="1038"/>
      <c r="BU122" s="1038"/>
      <c r="BV122" s="1043"/>
      <c r="BW122" s="179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85"/>
      <c r="CI122" s="1018"/>
      <c r="CJ122" s="179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85"/>
      <c r="CV122" s="1018"/>
      <c r="CW122" s="989"/>
      <c r="CX122" s="977"/>
      <c r="CY122" s="977"/>
      <c r="CZ122" s="977"/>
      <c r="DA122" s="977"/>
      <c r="DB122" s="977"/>
      <c r="DC122" s="977"/>
      <c r="DD122" s="977"/>
      <c r="DE122" s="977"/>
      <c r="DF122" s="977"/>
      <c r="DG122" s="977"/>
      <c r="DH122" s="980"/>
      <c r="DI122" s="1018"/>
      <c r="DJ122" s="972"/>
      <c r="DK122" s="214"/>
    </row>
    <row r="123" spans="1:117" ht="15" customHeight="1" x14ac:dyDescent="0.25">
      <c r="A123" s="1048"/>
      <c r="B123" s="1105"/>
      <c r="C123" s="1069"/>
      <c r="D123" s="1070"/>
      <c r="E123" s="182" t="s">
        <v>279</v>
      </c>
      <c r="F123" s="147">
        <v>30</v>
      </c>
      <c r="G123" s="1072"/>
      <c r="H123" s="228">
        <f>ROUNDDOWN(($H$2-D119)/365,0)*30</f>
        <v>270</v>
      </c>
      <c r="I123" s="1038"/>
      <c r="J123" s="1043"/>
      <c r="K123" s="1043"/>
      <c r="L123" s="1043"/>
      <c r="M123" s="1043"/>
      <c r="N123" s="1043"/>
      <c r="O123" s="1043"/>
      <c r="P123" s="1043"/>
      <c r="Q123" s="1043"/>
      <c r="R123" s="1043"/>
      <c r="S123" s="1043"/>
      <c r="T123" s="1043"/>
      <c r="U123" s="1043"/>
      <c r="V123" s="1043"/>
      <c r="W123" s="1043"/>
      <c r="X123" s="1043"/>
      <c r="Y123" s="1043"/>
      <c r="Z123" s="1043"/>
      <c r="AA123" s="1043"/>
      <c r="AB123" s="1043"/>
      <c r="AC123" s="1043"/>
      <c r="AD123" s="1043"/>
      <c r="AE123" s="1043"/>
      <c r="AF123" s="1043"/>
      <c r="AG123" s="1043"/>
      <c r="AH123" s="1043"/>
      <c r="AI123" s="1043"/>
      <c r="AJ123" s="1043"/>
      <c r="AK123" s="1043"/>
      <c r="AL123" s="1043"/>
      <c r="AM123" s="1043"/>
      <c r="AN123" s="1043"/>
      <c r="AO123" s="1043"/>
      <c r="AP123" s="1043"/>
      <c r="AQ123" s="1043"/>
      <c r="AR123" s="1043"/>
      <c r="AS123" s="1043"/>
      <c r="AT123" s="1043"/>
      <c r="AU123" s="1043"/>
      <c r="AV123" s="1043"/>
      <c r="AW123" s="1043"/>
      <c r="AX123" s="1043"/>
      <c r="AY123" s="1043"/>
      <c r="AZ123" s="1043"/>
      <c r="BA123" s="1043"/>
      <c r="BB123" s="1043"/>
      <c r="BC123" s="1043"/>
      <c r="BD123" s="1043"/>
      <c r="BE123" s="1043"/>
      <c r="BF123" s="1043"/>
      <c r="BG123" s="1043"/>
      <c r="BH123" s="1043"/>
      <c r="BI123" s="1043"/>
      <c r="BJ123" s="1038"/>
      <c r="BK123" s="1038"/>
      <c r="BL123" s="1038"/>
      <c r="BM123" s="1038"/>
      <c r="BN123" s="1038"/>
      <c r="BO123" s="1038"/>
      <c r="BP123" s="1038"/>
      <c r="BQ123" s="1038"/>
      <c r="BR123" s="1038"/>
      <c r="BS123" s="1038"/>
      <c r="BT123" s="1038"/>
      <c r="BU123" s="1038"/>
      <c r="BV123" s="1043"/>
      <c r="BW123" s="179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85"/>
      <c r="CI123" s="1018"/>
      <c r="CJ123" s="179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85"/>
      <c r="CV123" s="1018"/>
      <c r="CW123" s="989"/>
      <c r="CX123" s="977"/>
      <c r="CY123" s="977"/>
      <c r="CZ123" s="977"/>
      <c r="DA123" s="977"/>
      <c r="DB123" s="977"/>
      <c r="DC123" s="977"/>
      <c r="DD123" s="977"/>
      <c r="DE123" s="977"/>
      <c r="DF123" s="977"/>
      <c r="DG123" s="977"/>
      <c r="DH123" s="980"/>
      <c r="DI123" s="1018"/>
      <c r="DJ123" s="972"/>
      <c r="DK123" s="214"/>
    </row>
    <row r="124" spans="1:117" ht="15" customHeight="1" x14ac:dyDescent="0.25">
      <c r="A124" s="1048"/>
      <c r="B124" s="1105"/>
      <c r="C124" s="1069"/>
      <c r="D124" s="1070"/>
      <c r="E124" s="182" t="s">
        <v>280</v>
      </c>
      <c r="F124" s="147">
        <v>30</v>
      </c>
      <c r="G124" s="1072"/>
      <c r="H124" s="195"/>
      <c r="I124" s="1038"/>
      <c r="J124" s="1043"/>
      <c r="K124" s="1043"/>
      <c r="L124" s="1043"/>
      <c r="M124" s="1043"/>
      <c r="N124" s="1043"/>
      <c r="O124" s="1043"/>
      <c r="P124" s="1043"/>
      <c r="Q124" s="1043"/>
      <c r="R124" s="1043"/>
      <c r="S124" s="1043"/>
      <c r="T124" s="1043"/>
      <c r="U124" s="1043"/>
      <c r="V124" s="1043"/>
      <c r="W124" s="1043"/>
      <c r="X124" s="1043"/>
      <c r="Y124" s="1043"/>
      <c r="Z124" s="1043"/>
      <c r="AA124" s="1043"/>
      <c r="AB124" s="1043"/>
      <c r="AC124" s="1043"/>
      <c r="AD124" s="1043"/>
      <c r="AE124" s="1043"/>
      <c r="AF124" s="1043"/>
      <c r="AG124" s="1043"/>
      <c r="AH124" s="1043"/>
      <c r="AI124" s="1043"/>
      <c r="AJ124" s="1043"/>
      <c r="AK124" s="1043"/>
      <c r="AL124" s="1043"/>
      <c r="AM124" s="1043"/>
      <c r="AN124" s="1043"/>
      <c r="AO124" s="1043"/>
      <c r="AP124" s="1043"/>
      <c r="AQ124" s="1043"/>
      <c r="AR124" s="1043"/>
      <c r="AS124" s="1043"/>
      <c r="AT124" s="1043"/>
      <c r="AU124" s="1043"/>
      <c r="AV124" s="1043"/>
      <c r="AW124" s="1043"/>
      <c r="AX124" s="1043"/>
      <c r="AY124" s="1043"/>
      <c r="AZ124" s="1043"/>
      <c r="BA124" s="1043"/>
      <c r="BB124" s="1043"/>
      <c r="BC124" s="1043"/>
      <c r="BD124" s="1043"/>
      <c r="BE124" s="1043"/>
      <c r="BF124" s="1043"/>
      <c r="BG124" s="1043"/>
      <c r="BH124" s="1043"/>
      <c r="BI124" s="1043"/>
      <c r="BJ124" s="1038"/>
      <c r="BK124" s="1038"/>
      <c r="BL124" s="1038"/>
      <c r="BM124" s="1038"/>
      <c r="BN124" s="1038"/>
      <c r="BO124" s="1038"/>
      <c r="BP124" s="1038"/>
      <c r="BQ124" s="1038"/>
      <c r="BR124" s="1038"/>
      <c r="BS124" s="1038"/>
      <c r="BT124" s="1038"/>
      <c r="BU124" s="1038"/>
      <c r="BV124" s="1043"/>
      <c r="BW124" s="179"/>
      <c r="BX124" s="176"/>
      <c r="BY124" s="176"/>
      <c r="BZ124" s="176"/>
      <c r="CA124" s="176"/>
      <c r="CB124" s="176"/>
      <c r="CC124" s="176"/>
      <c r="CD124" s="176"/>
      <c r="CE124" s="176"/>
      <c r="CF124" s="176"/>
      <c r="CG124" s="176"/>
      <c r="CH124" s="185"/>
      <c r="CI124" s="1018"/>
      <c r="CJ124" s="179"/>
      <c r="CK124" s="176"/>
      <c r="CL124" s="176"/>
      <c r="CM124" s="176"/>
      <c r="CN124" s="176"/>
      <c r="CO124" s="176"/>
      <c r="CP124" s="176"/>
      <c r="CQ124" s="176"/>
      <c r="CR124" s="176"/>
      <c r="CS124" s="176"/>
      <c r="CT124" s="176"/>
      <c r="CU124" s="185"/>
      <c r="CV124" s="1018"/>
      <c r="CW124" s="989"/>
      <c r="CX124" s="977"/>
      <c r="CY124" s="977"/>
      <c r="CZ124" s="977"/>
      <c r="DA124" s="977"/>
      <c r="DB124" s="977"/>
      <c r="DC124" s="977"/>
      <c r="DD124" s="977"/>
      <c r="DE124" s="977"/>
      <c r="DF124" s="977"/>
      <c r="DG124" s="977"/>
      <c r="DH124" s="980"/>
      <c r="DI124" s="1018"/>
      <c r="DJ124" s="972"/>
      <c r="DK124" s="214"/>
    </row>
    <row r="125" spans="1:117" ht="15" customHeight="1" x14ac:dyDescent="0.25">
      <c r="A125" s="1048"/>
      <c r="B125" s="1105"/>
      <c r="C125" s="1069"/>
      <c r="D125" s="1070"/>
      <c r="E125" s="182" t="s">
        <v>208</v>
      </c>
      <c r="F125" s="147">
        <v>30</v>
      </c>
      <c r="G125" s="1072"/>
      <c r="H125" s="195"/>
      <c r="I125" s="1038"/>
      <c r="J125" s="1043"/>
      <c r="K125" s="1043"/>
      <c r="L125" s="1043"/>
      <c r="M125" s="1043"/>
      <c r="N125" s="1043"/>
      <c r="O125" s="1043"/>
      <c r="P125" s="1043"/>
      <c r="Q125" s="1043"/>
      <c r="R125" s="1043"/>
      <c r="S125" s="1043"/>
      <c r="T125" s="1043"/>
      <c r="U125" s="1043"/>
      <c r="V125" s="1043"/>
      <c r="W125" s="1043"/>
      <c r="X125" s="1043"/>
      <c r="Y125" s="1043"/>
      <c r="Z125" s="1043"/>
      <c r="AA125" s="1043"/>
      <c r="AB125" s="1043"/>
      <c r="AC125" s="1043"/>
      <c r="AD125" s="1043"/>
      <c r="AE125" s="1043"/>
      <c r="AF125" s="1043"/>
      <c r="AG125" s="1043"/>
      <c r="AH125" s="1043"/>
      <c r="AI125" s="1043"/>
      <c r="AJ125" s="1043"/>
      <c r="AK125" s="1043"/>
      <c r="AL125" s="1043"/>
      <c r="AM125" s="1043"/>
      <c r="AN125" s="1043"/>
      <c r="AO125" s="1043"/>
      <c r="AP125" s="1043"/>
      <c r="AQ125" s="1043"/>
      <c r="AR125" s="1043"/>
      <c r="AS125" s="1043"/>
      <c r="AT125" s="1043"/>
      <c r="AU125" s="1043"/>
      <c r="AV125" s="1043"/>
      <c r="AW125" s="1043"/>
      <c r="AX125" s="1043"/>
      <c r="AY125" s="1043"/>
      <c r="AZ125" s="1043"/>
      <c r="BA125" s="1043"/>
      <c r="BB125" s="1043"/>
      <c r="BC125" s="1043"/>
      <c r="BD125" s="1043"/>
      <c r="BE125" s="1043"/>
      <c r="BF125" s="1043"/>
      <c r="BG125" s="1043"/>
      <c r="BH125" s="1043"/>
      <c r="BI125" s="1043"/>
      <c r="BJ125" s="1038"/>
      <c r="BK125" s="1038"/>
      <c r="BL125" s="1038"/>
      <c r="BM125" s="1038"/>
      <c r="BN125" s="1038"/>
      <c r="BO125" s="1038"/>
      <c r="BP125" s="1038"/>
      <c r="BQ125" s="1038"/>
      <c r="BR125" s="1038"/>
      <c r="BS125" s="1038"/>
      <c r="BT125" s="1038"/>
      <c r="BU125" s="1038"/>
      <c r="BV125" s="1043"/>
      <c r="BW125" s="179"/>
      <c r="BX125" s="176"/>
      <c r="BY125" s="176"/>
      <c r="BZ125" s="176"/>
      <c r="CA125" s="176"/>
      <c r="CB125" s="176"/>
      <c r="CC125" s="176"/>
      <c r="CD125" s="176"/>
      <c r="CE125" s="176"/>
      <c r="CF125" s="176"/>
      <c r="CG125" s="176"/>
      <c r="CH125" s="185"/>
      <c r="CI125" s="1018"/>
      <c r="CJ125" s="179"/>
      <c r="CK125" s="176"/>
      <c r="CL125" s="176"/>
      <c r="CM125" s="176"/>
      <c r="CN125" s="176"/>
      <c r="CO125" s="176"/>
      <c r="CP125" s="176"/>
      <c r="CQ125" s="176"/>
      <c r="CR125" s="176"/>
      <c r="CS125" s="176"/>
      <c r="CT125" s="176"/>
      <c r="CU125" s="185"/>
      <c r="CV125" s="1018"/>
      <c r="CW125" s="989"/>
      <c r="CX125" s="977"/>
      <c r="CY125" s="977"/>
      <c r="CZ125" s="977"/>
      <c r="DA125" s="977"/>
      <c r="DB125" s="977"/>
      <c r="DC125" s="977"/>
      <c r="DD125" s="977"/>
      <c r="DE125" s="977"/>
      <c r="DF125" s="977"/>
      <c r="DG125" s="977"/>
      <c r="DH125" s="980"/>
      <c r="DI125" s="1018"/>
      <c r="DJ125" s="972"/>
      <c r="DK125" s="214"/>
    </row>
    <row r="126" spans="1:117" ht="15" customHeight="1" x14ac:dyDescent="0.25">
      <c r="A126" s="1048"/>
      <c r="B126" s="1105"/>
      <c r="C126" s="1069"/>
      <c r="D126" s="1070"/>
      <c r="E126" s="182" t="s">
        <v>209</v>
      </c>
      <c r="F126" s="147">
        <v>30</v>
      </c>
      <c r="G126" s="1072"/>
      <c r="H126" s="195"/>
      <c r="I126" s="1038"/>
      <c r="J126" s="1043"/>
      <c r="K126" s="1043"/>
      <c r="L126" s="1043"/>
      <c r="M126" s="1043"/>
      <c r="N126" s="1043"/>
      <c r="O126" s="1043"/>
      <c r="P126" s="1043"/>
      <c r="Q126" s="1043"/>
      <c r="R126" s="1043"/>
      <c r="S126" s="1043"/>
      <c r="T126" s="1043"/>
      <c r="U126" s="1043"/>
      <c r="V126" s="1043"/>
      <c r="W126" s="1043"/>
      <c r="X126" s="1043"/>
      <c r="Y126" s="1043"/>
      <c r="Z126" s="1043"/>
      <c r="AA126" s="1043"/>
      <c r="AB126" s="1043"/>
      <c r="AC126" s="1043"/>
      <c r="AD126" s="1043"/>
      <c r="AE126" s="1043"/>
      <c r="AF126" s="1043"/>
      <c r="AG126" s="1043"/>
      <c r="AH126" s="1043"/>
      <c r="AI126" s="1043"/>
      <c r="AJ126" s="1043"/>
      <c r="AK126" s="1043"/>
      <c r="AL126" s="1043"/>
      <c r="AM126" s="1043"/>
      <c r="AN126" s="1043"/>
      <c r="AO126" s="1043"/>
      <c r="AP126" s="1043"/>
      <c r="AQ126" s="1043"/>
      <c r="AR126" s="1043"/>
      <c r="AS126" s="1043"/>
      <c r="AT126" s="1043"/>
      <c r="AU126" s="1043"/>
      <c r="AV126" s="1043"/>
      <c r="AW126" s="1043"/>
      <c r="AX126" s="1043"/>
      <c r="AY126" s="1043"/>
      <c r="AZ126" s="1043"/>
      <c r="BA126" s="1043"/>
      <c r="BB126" s="1043"/>
      <c r="BC126" s="1043"/>
      <c r="BD126" s="1043"/>
      <c r="BE126" s="1043"/>
      <c r="BF126" s="1043"/>
      <c r="BG126" s="1043"/>
      <c r="BH126" s="1043"/>
      <c r="BI126" s="1043"/>
      <c r="BJ126" s="1038"/>
      <c r="BK126" s="1038"/>
      <c r="BL126" s="1038"/>
      <c r="BM126" s="1038"/>
      <c r="BN126" s="1038"/>
      <c r="BO126" s="1038"/>
      <c r="BP126" s="1038"/>
      <c r="BQ126" s="1038"/>
      <c r="BR126" s="1038"/>
      <c r="BS126" s="1038"/>
      <c r="BT126" s="1038"/>
      <c r="BU126" s="1038"/>
      <c r="BV126" s="1043"/>
      <c r="BW126" s="180"/>
      <c r="BX126" s="177"/>
      <c r="BY126" s="177"/>
      <c r="BZ126" s="177"/>
      <c r="CA126" s="177"/>
      <c r="CB126" s="177"/>
      <c r="CC126" s="177"/>
      <c r="CD126" s="177"/>
      <c r="CE126" s="177"/>
      <c r="CF126" s="177"/>
      <c r="CG126" s="177"/>
      <c r="CH126" s="186"/>
      <c r="CI126" s="1018"/>
      <c r="CJ126" s="180"/>
      <c r="CK126" s="177"/>
      <c r="CL126" s="177"/>
      <c r="CM126" s="177"/>
      <c r="CN126" s="177"/>
      <c r="CO126" s="177"/>
      <c r="CP126" s="177"/>
      <c r="CQ126" s="177"/>
      <c r="CR126" s="177"/>
      <c r="CS126" s="177"/>
      <c r="CT126" s="177"/>
      <c r="CU126" s="186"/>
      <c r="CV126" s="1018"/>
      <c r="CW126" s="989"/>
      <c r="CX126" s="977"/>
      <c r="CY126" s="977"/>
      <c r="CZ126" s="977"/>
      <c r="DA126" s="977"/>
      <c r="DB126" s="977"/>
      <c r="DC126" s="977"/>
      <c r="DD126" s="977"/>
      <c r="DE126" s="977"/>
      <c r="DF126" s="977"/>
      <c r="DG126" s="977"/>
      <c r="DH126" s="980"/>
      <c r="DI126" s="1018"/>
      <c r="DJ126" s="972"/>
      <c r="DK126" s="214"/>
    </row>
    <row r="127" spans="1:117" ht="15" customHeight="1" x14ac:dyDescent="0.25">
      <c r="A127" s="1048"/>
      <c r="B127" s="1105"/>
      <c r="C127" s="1069"/>
      <c r="D127" s="1070"/>
      <c r="E127" s="183" t="s">
        <v>210</v>
      </c>
      <c r="F127" s="147">
        <v>30</v>
      </c>
      <c r="G127" s="1073"/>
      <c r="H127" s="196"/>
      <c r="I127" s="1039"/>
      <c r="J127" s="1043"/>
      <c r="K127" s="1043"/>
      <c r="L127" s="1043"/>
      <c r="M127" s="1043"/>
      <c r="N127" s="1043"/>
      <c r="O127" s="1043"/>
      <c r="P127" s="1043"/>
      <c r="Q127" s="1043"/>
      <c r="R127" s="1043"/>
      <c r="S127" s="1043"/>
      <c r="T127" s="1043"/>
      <c r="U127" s="1043"/>
      <c r="V127" s="1043"/>
      <c r="W127" s="1043"/>
      <c r="X127" s="1043"/>
      <c r="Y127" s="1043"/>
      <c r="Z127" s="1043"/>
      <c r="AA127" s="1043"/>
      <c r="AB127" s="1043"/>
      <c r="AC127" s="1043"/>
      <c r="AD127" s="1043"/>
      <c r="AE127" s="1043"/>
      <c r="AF127" s="1043"/>
      <c r="AG127" s="1043"/>
      <c r="AH127" s="1043"/>
      <c r="AI127" s="1043"/>
      <c r="AJ127" s="1043"/>
      <c r="AK127" s="1043"/>
      <c r="AL127" s="1043"/>
      <c r="AM127" s="1043"/>
      <c r="AN127" s="1043"/>
      <c r="AO127" s="1043"/>
      <c r="AP127" s="1043"/>
      <c r="AQ127" s="1043"/>
      <c r="AR127" s="1043"/>
      <c r="AS127" s="1043"/>
      <c r="AT127" s="1043"/>
      <c r="AU127" s="1043"/>
      <c r="AV127" s="1043"/>
      <c r="AW127" s="1043"/>
      <c r="AX127" s="1043"/>
      <c r="AY127" s="1043"/>
      <c r="AZ127" s="1043"/>
      <c r="BA127" s="1043"/>
      <c r="BB127" s="1043"/>
      <c r="BC127" s="1043"/>
      <c r="BD127" s="1043"/>
      <c r="BE127" s="1043"/>
      <c r="BF127" s="1043"/>
      <c r="BG127" s="1043"/>
      <c r="BH127" s="1043"/>
      <c r="BI127" s="1043"/>
      <c r="BJ127" s="1039"/>
      <c r="BK127" s="1039"/>
      <c r="BL127" s="1039"/>
      <c r="BM127" s="1039"/>
      <c r="BN127" s="1039"/>
      <c r="BO127" s="1039"/>
      <c r="BP127" s="1039"/>
      <c r="BQ127" s="1039"/>
      <c r="BR127" s="1039"/>
      <c r="BS127" s="1039"/>
      <c r="BT127" s="1039"/>
      <c r="BU127" s="1039"/>
      <c r="BV127" s="1043"/>
      <c r="BW127" s="180"/>
      <c r="BX127" s="177"/>
      <c r="BY127" s="177"/>
      <c r="BZ127" s="177"/>
      <c r="CA127" s="177"/>
      <c r="CB127" s="177"/>
      <c r="CC127" s="177"/>
      <c r="CD127" s="177"/>
      <c r="CE127" s="177"/>
      <c r="CF127" s="177"/>
      <c r="CG127" s="177"/>
      <c r="CH127" s="186"/>
      <c r="CI127" s="1018"/>
      <c r="CJ127" s="180"/>
      <c r="CK127" s="177"/>
      <c r="CL127" s="177"/>
      <c r="CM127" s="177"/>
      <c r="CN127" s="177"/>
      <c r="CO127" s="177"/>
      <c r="CP127" s="177"/>
      <c r="CQ127" s="177"/>
      <c r="CR127" s="177"/>
      <c r="CS127" s="177"/>
      <c r="CT127" s="177"/>
      <c r="CU127" s="186"/>
      <c r="CV127" s="1018"/>
      <c r="CW127" s="990"/>
      <c r="CX127" s="978"/>
      <c r="CY127" s="978"/>
      <c r="CZ127" s="978"/>
      <c r="DA127" s="978"/>
      <c r="DB127" s="978"/>
      <c r="DC127" s="978"/>
      <c r="DD127" s="978"/>
      <c r="DE127" s="978"/>
      <c r="DF127" s="978"/>
      <c r="DG127" s="978"/>
      <c r="DH127" s="981"/>
      <c r="DI127" s="1065"/>
      <c r="DJ127" s="973"/>
      <c r="DK127" s="215"/>
    </row>
    <row r="128" spans="1:117" ht="15" customHeight="1" x14ac:dyDescent="0.25">
      <c r="A128" s="1048">
        <v>18</v>
      </c>
      <c r="B128" s="985" t="s">
        <v>364</v>
      </c>
      <c r="C128" s="1069"/>
      <c r="D128" s="1070" t="s">
        <v>356</v>
      </c>
      <c r="E128" s="248" t="s">
        <v>234</v>
      </c>
      <c r="F128" s="149">
        <v>30</v>
      </c>
      <c r="G128" s="1071" t="e">
        <f>F128+F129+F130+F131+F132+#REF!+#REF!+#REF!+#REF!</f>
        <v>#REF!</v>
      </c>
      <c r="H128" s="194"/>
      <c r="I128" s="1037">
        <v>15</v>
      </c>
      <c r="J128" s="1043"/>
      <c r="K128" s="1043"/>
      <c r="L128" s="1043"/>
      <c r="M128" s="1043"/>
      <c r="N128" s="1043"/>
      <c r="O128" s="1043"/>
      <c r="P128" s="1043"/>
      <c r="Q128" s="1043"/>
      <c r="R128" s="1043"/>
      <c r="S128" s="1043"/>
      <c r="T128" s="1043"/>
      <c r="U128" s="1043"/>
      <c r="V128" s="1043">
        <f>SUM(J128:U132)</f>
        <v>0</v>
      </c>
      <c r="W128" s="1043"/>
      <c r="X128" s="1043"/>
      <c r="Y128" s="1043"/>
      <c r="Z128" s="1043"/>
      <c r="AA128" s="1043"/>
      <c r="AB128" s="1043"/>
      <c r="AC128" s="1043"/>
      <c r="AD128" s="1043"/>
      <c r="AE128" s="1043"/>
      <c r="AF128" s="1043"/>
      <c r="AG128" s="1043"/>
      <c r="AH128" s="1043"/>
      <c r="AI128" s="1043">
        <f>SUM(W128:AH132)</f>
        <v>0</v>
      </c>
      <c r="AJ128" s="1043"/>
      <c r="AK128" s="1043">
        <v>8</v>
      </c>
      <c r="AL128" s="1043"/>
      <c r="AM128" s="1043"/>
      <c r="AN128" s="1043"/>
      <c r="AO128" s="1043"/>
      <c r="AP128" s="1043">
        <v>8</v>
      </c>
      <c r="AQ128" s="1043"/>
      <c r="AR128" s="1043"/>
      <c r="AS128" s="1043"/>
      <c r="AT128" s="1043"/>
      <c r="AU128" s="1043"/>
      <c r="AV128" s="1043">
        <f>SUM(AJ128:AU132)</f>
        <v>16</v>
      </c>
      <c r="AW128" s="1043"/>
      <c r="AX128" s="1043"/>
      <c r="AY128" s="1043"/>
      <c r="AZ128" s="1043"/>
      <c r="BA128" s="1043"/>
      <c r="BB128" s="1043"/>
      <c r="BC128" s="1043"/>
      <c r="BD128" s="1043"/>
      <c r="BE128" s="1043"/>
      <c r="BF128" s="1043"/>
      <c r="BG128" s="1043">
        <v>1</v>
      </c>
      <c r="BH128" s="1043"/>
      <c r="BI128" s="1043">
        <f>SUM(AW128:BH132)</f>
        <v>1</v>
      </c>
      <c r="BJ128" s="1037"/>
      <c r="BK128" s="1037"/>
      <c r="BL128" s="1037"/>
      <c r="BM128" s="1037"/>
      <c r="BN128" s="1037"/>
      <c r="BO128" s="1037"/>
      <c r="BP128" s="1037">
        <v>10</v>
      </c>
      <c r="BQ128" s="1037"/>
      <c r="BR128" s="1037"/>
      <c r="BS128" s="1037"/>
      <c r="BT128" s="1037"/>
      <c r="BU128" s="1037"/>
      <c r="BV128" s="1043">
        <f>SUM(BJ128:BU132)</f>
        <v>10</v>
      </c>
      <c r="BW128" s="178"/>
      <c r="BX128" s="976">
        <v>5</v>
      </c>
      <c r="BY128" s="175"/>
      <c r="BZ128" s="175"/>
      <c r="CA128" s="175"/>
      <c r="CB128" s="175"/>
      <c r="CC128" s="175"/>
      <c r="CD128" s="175"/>
      <c r="CE128" s="175"/>
      <c r="CF128" s="175"/>
      <c r="CG128" s="175"/>
      <c r="CH128" s="184"/>
      <c r="CI128" s="1018">
        <f>SUM(BW128:CH132)</f>
        <v>5</v>
      </c>
      <c r="CJ128" s="988">
        <v>30</v>
      </c>
      <c r="CK128" s="976"/>
      <c r="CL128" s="175"/>
      <c r="CM128" s="175"/>
      <c r="CN128" s="175"/>
      <c r="CO128" s="175"/>
      <c r="CP128" s="175"/>
      <c r="CQ128" s="175"/>
      <c r="CR128" s="175"/>
      <c r="CS128" s="175"/>
      <c r="CT128" s="175"/>
      <c r="CU128" s="184"/>
      <c r="CV128" s="1018">
        <f>SUM(CJ128:CU132)</f>
        <v>30</v>
      </c>
      <c r="CW128" s="988">
        <v>31</v>
      </c>
      <c r="CX128" s="976"/>
      <c r="CY128" s="976"/>
      <c r="CZ128" s="976"/>
      <c r="DA128" s="976"/>
      <c r="DB128" s="976"/>
      <c r="DC128" s="976"/>
      <c r="DD128" s="976"/>
      <c r="DE128" s="976"/>
      <c r="DF128" s="976">
        <v>20</v>
      </c>
      <c r="DG128" s="976"/>
      <c r="DH128" s="1011"/>
      <c r="DI128" s="1121">
        <f>SUM(CW128:DH132)</f>
        <v>51</v>
      </c>
      <c r="DJ128" s="1122">
        <f>I128+V128+AI128+AV128+BI128+BV128+CI128+CV128+DI128</f>
        <v>128</v>
      </c>
      <c r="DK128" s="230">
        <f>H132-DJ128</f>
        <v>142</v>
      </c>
    </row>
    <row r="129" spans="1:115" ht="15" customHeight="1" x14ac:dyDescent="0.25">
      <c r="A129" s="1048"/>
      <c r="B129" s="986"/>
      <c r="C129" s="1069"/>
      <c r="D129" s="1070"/>
      <c r="E129" s="246" t="s">
        <v>235</v>
      </c>
      <c r="F129" s="150">
        <v>30</v>
      </c>
      <c r="G129" s="1072"/>
      <c r="H129" s="195"/>
      <c r="I129" s="1038"/>
      <c r="J129" s="1043"/>
      <c r="K129" s="1043"/>
      <c r="L129" s="1043"/>
      <c r="M129" s="1043"/>
      <c r="N129" s="1043"/>
      <c r="O129" s="1043"/>
      <c r="P129" s="1043"/>
      <c r="Q129" s="1043"/>
      <c r="R129" s="1043"/>
      <c r="S129" s="1043"/>
      <c r="T129" s="1043"/>
      <c r="U129" s="1043"/>
      <c r="V129" s="1043"/>
      <c r="W129" s="1043"/>
      <c r="X129" s="1043"/>
      <c r="Y129" s="1043"/>
      <c r="Z129" s="1043"/>
      <c r="AA129" s="1043"/>
      <c r="AB129" s="1043"/>
      <c r="AC129" s="1043"/>
      <c r="AD129" s="1043"/>
      <c r="AE129" s="1043"/>
      <c r="AF129" s="1043"/>
      <c r="AG129" s="1043"/>
      <c r="AH129" s="1043"/>
      <c r="AI129" s="1043"/>
      <c r="AJ129" s="1043"/>
      <c r="AK129" s="1043"/>
      <c r="AL129" s="1043"/>
      <c r="AM129" s="1043"/>
      <c r="AN129" s="1043"/>
      <c r="AO129" s="1043"/>
      <c r="AP129" s="1043"/>
      <c r="AQ129" s="1043"/>
      <c r="AR129" s="1043"/>
      <c r="AS129" s="1043"/>
      <c r="AT129" s="1043"/>
      <c r="AU129" s="1043"/>
      <c r="AV129" s="1043"/>
      <c r="AW129" s="1043"/>
      <c r="AX129" s="1043"/>
      <c r="AY129" s="1043"/>
      <c r="AZ129" s="1043"/>
      <c r="BA129" s="1043"/>
      <c r="BB129" s="1043"/>
      <c r="BC129" s="1043"/>
      <c r="BD129" s="1043"/>
      <c r="BE129" s="1043"/>
      <c r="BF129" s="1043"/>
      <c r="BG129" s="1043"/>
      <c r="BH129" s="1043"/>
      <c r="BI129" s="1043"/>
      <c r="BJ129" s="1038"/>
      <c r="BK129" s="1038"/>
      <c r="BL129" s="1038"/>
      <c r="BM129" s="1038"/>
      <c r="BN129" s="1038"/>
      <c r="BO129" s="1038"/>
      <c r="BP129" s="1038"/>
      <c r="BQ129" s="1038"/>
      <c r="BR129" s="1038"/>
      <c r="BS129" s="1038"/>
      <c r="BT129" s="1038"/>
      <c r="BU129" s="1038"/>
      <c r="BV129" s="1043"/>
      <c r="BW129" s="179"/>
      <c r="BX129" s="977"/>
      <c r="BY129" s="176"/>
      <c r="BZ129" s="176"/>
      <c r="CA129" s="176"/>
      <c r="CB129" s="176"/>
      <c r="CC129" s="176"/>
      <c r="CD129" s="176"/>
      <c r="CE129" s="176"/>
      <c r="CF129" s="176"/>
      <c r="CG129" s="176"/>
      <c r="CH129" s="185"/>
      <c r="CI129" s="1018"/>
      <c r="CJ129" s="989"/>
      <c r="CK129" s="977"/>
      <c r="CL129" s="176"/>
      <c r="CM129" s="176"/>
      <c r="CN129" s="176"/>
      <c r="CO129" s="176"/>
      <c r="CP129" s="176"/>
      <c r="CQ129" s="176"/>
      <c r="CR129" s="176"/>
      <c r="CS129" s="176"/>
      <c r="CT129" s="176"/>
      <c r="CU129" s="185"/>
      <c r="CV129" s="1018"/>
      <c r="CW129" s="989"/>
      <c r="CX129" s="977"/>
      <c r="CY129" s="977"/>
      <c r="CZ129" s="977"/>
      <c r="DA129" s="977"/>
      <c r="DB129" s="977"/>
      <c r="DC129" s="977"/>
      <c r="DD129" s="977"/>
      <c r="DE129" s="977"/>
      <c r="DF129" s="977"/>
      <c r="DG129" s="977"/>
      <c r="DH129" s="1012"/>
      <c r="DI129" s="1078"/>
      <c r="DJ129" s="1081"/>
      <c r="DK129" s="214"/>
    </row>
    <row r="130" spans="1:115" ht="15" customHeight="1" x14ac:dyDescent="0.25">
      <c r="A130" s="1048"/>
      <c r="B130" s="986"/>
      <c r="C130" s="1069"/>
      <c r="D130" s="1070"/>
      <c r="E130" s="246" t="s">
        <v>236</v>
      </c>
      <c r="F130" s="150">
        <v>30</v>
      </c>
      <c r="G130" s="1072"/>
      <c r="H130" s="195"/>
      <c r="I130" s="1038"/>
      <c r="J130" s="1043"/>
      <c r="K130" s="1043"/>
      <c r="L130" s="1043"/>
      <c r="M130" s="1043"/>
      <c r="N130" s="1043"/>
      <c r="O130" s="1043"/>
      <c r="P130" s="1043"/>
      <c r="Q130" s="1043"/>
      <c r="R130" s="1043"/>
      <c r="S130" s="1043"/>
      <c r="T130" s="1043"/>
      <c r="U130" s="1043"/>
      <c r="V130" s="1043"/>
      <c r="W130" s="1043"/>
      <c r="X130" s="1043"/>
      <c r="Y130" s="1043"/>
      <c r="Z130" s="1043"/>
      <c r="AA130" s="1043"/>
      <c r="AB130" s="1043"/>
      <c r="AC130" s="1043"/>
      <c r="AD130" s="1043"/>
      <c r="AE130" s="1043"/>
      <c r="AF130" s="1043"/>
      <c r="AG130" s="1043"/>
      <c r="AH130" s="1043"/>
      <c r="AI130" s="1043"/>
      <c r="AJ130" s="1043"/>
      <c r="AK130" s="1043"/>
      <c r="AL130" s="1043"/>
      <c r="AM130" s="1043"/>
      <c r="AN130" s="1043"/>
      <c r="AO130" s="1043"/>
      <c r="AP130" s="1043"/>
      <c r="AQ130" s="1043"/>
      <c r="AR130" s="1043"/>
      <c r="AS130" s="1043"/>
      <c r="AT130" s="1043"/>
      <c r="AU130" s="1043"/>
      <c r="AV130" s="1043"/>
      <c r="AW130" s="1043"/>
      <c r="AX130" s="1043"/>
      <c r="AY130" s="1043"/>
      <c r="AZ130" s="1043"/>
      <c r="BA130" s="1043"/>
      <c r="BB130" s="1043"/>
      <c r="BC130" s="1043"/>
      <c r="BD130" s="1043"/>
      <c r="BE130" s="1043"/>
      <c r="BF130" s="1043"/>
      <c r="BG130" s="1043"/>
      <c r="BH130" s="1043"/>
      <c r="BI130" s="1043"/>
      <c r="BJ130" s="1038"/>
      <c r="BK130" s="1038"/>
      <c r="BL130" s="1038"/>
      <c r="BM130" s="1038"/>
      <c r="BN130" s="1038"/>
      <c r="BO130" s="1038"/>
      <c r="BP130" s="1038"/>
      <c r="BQ130" s="1038"/>
      <c r="BR130" s="1038"/>
      <c r="BS130" s="1038"/>
      <c r="BT130" s="1038"/>
      <c r="BU130" s="1038"/>
      <c r="BV130" s="1043"/>
      <c r="BW130" s="179"/>
      <c r="BX130" s="977"/>
      <c r="BY130" s="176"/>
      <c r="BZ130" s="176"/>
      <c r="CA130" s="176"/>
      <c r="CB130" s="176"/>
      <c r="CC130" s="176"/>
      <c r="CD130" s="176"/>
      <c r="CE130" s="176"/>
      <c r="CF130" s="176"/>
      <c r="CG130" s="176"/>
      <c r="CH130" s="185"/>
      <c r="CI130" s="1018"/>
      <c r="CJ130" s="989"/>
      <c r="CK130" s="977"/>
      <c r="CL130" s="176"/>
      <c r="CM130" s="176"/>
      <c r="CN130" s="176"/>
      <c r="CO130" s="176"/>
      <c r="CP130" s="176"/>
      <c r="CQ130" s="176"/>
      <c r="CR130" s="176"/>
      <c r="CS130" s="176"/>
      <c r="CT130" s="176"/>
      <c r="CU130" s="185"/>
      <c r="CV130" s="1018"/>
      <c r="CW130" s="989"/>
      <c r="CX130" s="977"/>
      <c r="CY130" s="977"/>
      <c r="CZ130" s="977"/>
      <c r="DA130" s="977"/>
      <c r="DB130" s="977"/>
      <c r="DC130" s="977"/>
      <c r="DD130" s="977"/>
      <c r="DE130" s="977"/>
      <c r="DF130" s="977"/>
      <c r="DG130" s="977"/>
      <c r="DH130" s="1012"/>
      <c r="DI130" s="1078"/>
      <c r="DJ130" s="1081"/>
      <c r="DK130" s="214"/>
    </row>
    <row r="131" spans="1:115" ht="15" customHeight="1" x14ac:dyDescent="0.25">
      <c r="A131" s="1048"/>
      <c r="B131" s="986"/>
      <c r="C131" s="1069"/>
      <c r="D131" s="1070"/>
      <c r="E131" s="246" t="s">
        <v>237</v>
      </c>
      <c r="F131" s="150">
        <v>30</v>
      </c>
      <c r="G131" s="1072"/>
      <c r="H131" s="195"/>
      <c r="I131" s="1038"/>
      <c r="J131" s="1043"/>
      <c r="K131" s="1043"/>
      <c r="L131" s="1043"/>
      <c r="M131" s="1043"/>
      <c r="N131" s="1043"/>
      <c r="O131" s="1043"/>
      <c r="P131" s="1043"/>
      <c r="Q131" s="1043"/>
      <c r="R131" s="1043"/>
      <c r="S131" s="1043"/>
      <c r="T131" s="1043"/>
      <c r="U131" s="1043"/>
      <c r="V131" s="1043"/>
      <c r="W131" s="1043"/>
      <c r="X131" s="1043"/>
      <c r="Y131" s="1043"/>
      <c r="Z131" s="1043"/>
      <c r="AA131" s="1043"/>
      <c r="AB131" s="1043"/>
      <c r="AC131" s="1043"/>
      <c r="AD131" s="1043"/>
      <c r="AE131" s="1043"/>
      <c r="AF131" s="1043"/>
      <c r="AG131" s="1043"/>
      <c r="AH131" s="1043"/>
      <c r="AI131" s="1043"/>
      <c r="AJ131" s="1043"/>
      <c r="AK131" s="1043"/>
      <c r="AL131" s="1043"/>
      <c r="AM131" s="1043"/>
      <c r="AN131" s="1043"/>
      <c r="AO131" s="1043"/>
      <c r="AP131" s="1043"/>
      <c r="AQ131" s="1043"/>
      <c r="AR131" s="1043"/>
      <c r="AS131" s="1043"/>
      <c r="AT131" s="1043"/>
      <c r="AU131" s="1043"/>
      <c r="AV131" s="1043"/>
      <c r="AW131" s="1043"/>
      <c r="AX131" s="1043"/>
      <c r="AY131" s="1043"/>
      <c r="AZ131" s="1043"/>
      <c r="BA131" s="1043"/>
      <c r="BB131" s="1043"/>
      <c r="BC131" s="1043"/>
      <c r="BD131" s="1043"/>
      <c r="BE131" s="1043"/>
      <c r="BF131" s="1043"/>
      <c r="BG131" s="1043"/>
      <c r="BH131" s="1043"/>
      <c r="BI131" s="1043"/>
      <c r="BJ131" s="1038"/>
      <c r="BK131" s="1038"/>
      <c r="BL131" s="1038"/>
      <c r="BM131" s="1038"/>
      <c r="BN131" s="1038"/>
      <c r="BO131" s="1038"/>
      <c r="BP131" s="1038"/>
      <c r="BQ131" s="1038"/>
      <c r="BR131" s="1038"/>
      <c r="BS131" s="1038"/>
      <c r="BT131" s="1038"/>
      <c r="BU131" s="1038"/>
      <c r="BV131" s="1043"/>
      <c r="BW131" s="179"/>
      <c r="BX131" s="977"/>
      <c r="BY131" s="176"/>
      <c r="BZ131" s="176"/>
      <c r="CA131" s="176"/>
      <c r="CB131" s="176"/>
      <c r="CC131" s="176"/>
      <c r="CD131" s="176"/>
      <c r="CE131" s="176"/>
      <c r="CF131" s="176"/>
      <c r="CG131" s="176"/>
      <c r="CH131" s="185"/>
      <c r="CI131" s="1018"/>
      <c r="CJ131" s="989"/>
      <c r="CK131" s="977"/>
      <c r="CL131" s="176"/>
      <c r="CM131" s="176"/>
      <c r="CN131" s="176"/>
      <c r="CO131" s="176"/>
      <c r="CP131" s="176"/>
      <c r="CQ131" s="176"/>
      <c r="CR131" s="176"/>
      <c r="CS131" s="176"/>
      <c r="CT131" s="176"/>
      <c r="CU131" s="185"/>
      <c r="CV131" s="1018"/>
      <c r="CW131" s="989"/>
      <c r="CX131" s="977"/>
      <c r="CY131" s="977"/>
      <c r="CZ131" s="977"/>
      <c r="DA131" s="977"/>
      <c r="DB131" s="977"/>
      <c r="DC131" s="977"/>
      <c r="DD131" s="977"/>
      <c r="DE131" s="977"/>
      <c r="DF131" s="977"/>
      <c r="DG131" s="977"/>
      <c r="DH131" s="1012"/>
      <c r="DI131" s="1078"/>
      <c r="DJ131" s="1081"/>
      <c r="DK131" s="214"/>
    </row>
    <row r="132" spans="1:115" ht="15" customHeight="1" x14ac:dyDescent="0.25">
      <c r="A132" s="1048"/>
      <c r="B132" s="987"/>
      <c r="C132" s="1069"/>
      <c r="D132" s="1070"/>
      <c r="E132" s="182" t="s">
        <v>238</v>
      </c>
      <c r="F132" s="147">
        <v>30</v>
      </c>
      <c r="G132" s="1072"/>
      <c r="H132" s="228">
        <f>ROUNDDOWN(($H$2-D128)/365,0)*30</f>
        <v>270</v>
      </c>
      <c r="I132" s="1038"/>
      <c r="J132" s="1043"/>
      <c r="K132" s="1043"/>
      <c r="L132" s="1043"/>
      <c r="M132" s="1043"/>
      <c r="N132" s="1043"/>
      <c r="O132" s="1043"/>
      <c r="P132" s="1043"/>
      <c r="Q132" s="1043"/>
      <c r="R132" s="1043"/>
      <c r="S132" s="1043"/>
      <c r="T132" s="1043"/>
      <c r="U132" s="1043"/>
      <c r="V132" s="1043"/>
      <c r="W132" s="1043"/>
      <c r="X132" s="1043"/>
      <c r="Y132" s="1043"/>
      <c r="Z132" s="1043"/>
      <c r="AA132" s="1043"/>
      <c r="AB132" s="1043"/>
      <c r="AC132" s="1043"/>
      <c r="AD132" s="1043"/>
      <c r="AE132" s="1043"/>
      <c r="AF132" s="1043"/>
      <c r="AG132" s="1043"/>
      <c r="AH132" s="1043"/>
      <c r="AI132" s="1043"/>
      <c r="AJ132" s="1043"/>
      <c r="AK132" s="1043"/>
      <c r="AL132" s="1043"/>
      <c r="AM132" s="1043"/>
      <c r="AN132" s="1043"/>
      <c r="AO132" s="1043"/>
      <c r="AP132" s="1043"/>
      <c r="AQ132" s="1043"/>
      <c r="AR132" s="1043"/>
      <c r="AS132" s="1043"/>
      <c r="AT132" s="1043"/>
      <c r="AU132" s="1043"/>
      <c r="AV132" s="1043"/>
      <c r="AW132" s="1043"/>
      <c r="AX132" s="1043"/>
      <c r="AY132" s="1043"/>
      <c r="AZ132" s="1043"/>
      <c r="BA132" s="1043"/>
      <c r="BB132" s="1043"/>
      <c r="BC132" s="1043"/>
      <c r="BD132" s="1043"/>
      <c r="BE132" s="1043"/>
      <c r="BF132" s="1043"/>
      <c r="BG132" s="1043"/>
      <c r="BH132" s="1043"/>
      <c r="BI132" s="1043"/>
      <c r="BJ132" s="1038"/>
      <c r="BK132" s="1038"/>
      <c r="BL132" s="1038"/>
      <c r="BM132" s="1038"/>
      <c r="BN132" s="1038"/>
      <c r="BO132" s="1038"/>
      <c r="BP132" s="1038"/>
      <c r="BQ132" s="1038"/>
      <c r="BR132" s="1038"/>
      <c r="BS132" s="1038"/>
      <c r="BT132" s="1038"/>
      <c r="BU132" s="1038"/>
      <c r="BV132" s="1043"/>
      <c r="BW132" s="179"/>
      <c r="BX132" s="977"/>
      <c r="BY132" s="176"/>
      <c r="BZ132" s="176"/>
      <c r="CA132" s="176"/>
      <c r="CB132" s="176"/>
      <c r="CC132" s="176"/>
      <c r="CD132" s="176"/>
      <c r="CE132" s="176"/>
      <c r="CF132" s="176"/>
      <c r="CG132" s="176"/>
      <c r="CH132" s="185"/>
      <c r="CI132" s="1018"/>
      <c r="CJ132" s="989"/>
      <c r="CK132" s="977"/>
      <c r="CL132" s="176"/>
      <c r="CM132" s="176"/>
      <c r="CN132" s="176"/>
      <c r="CO132" s="176"/>
      <c r="CP132" s="176"/>
      <c r="CQ132" s="176"/>
      <c r="CR132" s="176"/>
      <c r="CS132" s="176"/>
      <c r="CT132" s="176"/>
      <c r="CU132" s="185"/>
      <c r="CV132" s="1018"/>
      <c r="CW132" s="989"/>
      <c r="CX132" s="977"/>
      <c r="CY132" s="977"/>
      <c r="CZ132" s="977"/>
      <c r="DA132" s="977"/>
      <c r="DB132" s="977"/>
      <c r="DC132" s="977"/>
      <c r="DD132" s="977"/>
      <c r="DE132" s="977"/>
      <c r="DF132" s="977"/>
      <c r="DG132" s="977"/>
      <c r="DH132" s="1012"/>
      <c r="DI132" s="1078"/>
      <c r="DJ132" s="1081"/>
      <c r="DK132" s="214"/>
    </row>
    <row r="133" spans="1:115" ht="15" customHeight="1" x14ac:dyDescent="0.25">
      <c r="A133" s="1048">
        <v>19</v>
      </c>
      <c r="B133" s="1105" t="s">
        <v>53</v>
      </c>
      <c r="C133" s="1069"/>
      <c r="D133" s="1070" t="s">
        <v>281</v>
      </c>
      <c r="E133" s="248" t="s">
        <v>282</v>
      </c>
      <c r="F133" s="149">
        <v>30</v>
      </c>
      <c r="G133" s="1071">
        <f>F133+F134+F135+F136+F137+F138+F139+F141+F142</f>
        <v>240</v>
      </c>
      <c r="H133" s="194"/>
      <c r="I133" s="1037">
        <v>15</v>
      </c>
      <c r="J133" s="1043"/>
      <c r="K133" s="1043"/>
      <c r="L133" s="1043"/>
      <c r="M133" s="1043"/>
      <c r="N133" s="1043"/>
      <c r="O133" s="1043"/>
      <c r="P133" s="1043"/>
      <c r="Q133" s="1043"/>
      <c r="R133" s="1043"/>
      <c r="S133" s="1043"/>
      <c r="T133" s="1043"/>
      <c r="U133" s="1043"/>
      <c r="V133" s="1043">
        <f>SUM(J133:U141)</f>
        <v>0</v>
      </c>
      <c r="W133" s="1043">
        <v>4</v>
      </c>
      <c r="X133" s="1043"/>
      <c r="Y133" s="1043"/>
      <c r="Z133" s="1043"/>
      <c r="AA133" s="1043">
        <v>3</v>
      </c>
      <c r="AB133" s="1043"/>
      <c r="AC133" s="1043"/>
      <c r="AD133" s="1043"/>
      <c r="AE133" s="1043"/>
      <c r="AF133" s="1043"/>
      <c r="AG133" s="1043"/>
      <c r="AH133" s="1043"/>
      <c r="AI133" s="1037">
        <f>SUM(W133:AH141)</f>
        <v>7</v>
      </c>
      <c r="AJ133" s="1043"/>
      <c r="AK133" s="1043">
        <v>7</v>
      </c>
      <c r="AL133" s="1043"/>
      <c r="AM133" s="1043"/>
      <c r="AN133" s="1043"/>
      <c r="AO133" s="1043">
        <v>7</v>
      </c>
      <c r="AP133" s="1043"/>
      <c r="AQ133" s="1043"/>
      <c r="AR133" s="1043"/>
      <c r="AS133" s="1043"/>
      <c r="AT133" s="1043">
        <v>2</v>
      </c>
      <c r="AU133" s="1043">
        <v>3</v>
      </c>
      <c r="AV133" s="1037">
        <f>SUM(AJ133:AU141)</f>
        <v>19</v>
      </c>
      <c r="AW133" s="1043">
        <v>10</v>
      </c>
      <c r="AX133" s="1043">
        <v>2</v>
      </c>
      <c r="AY133" s="1043"/>
      <c r="AZ133" s="1043"/>
      <c r="BA133" s="1043"/>
      <c r="BB133" s="1043"/>
      <c r="BC133" s="1043">
        <v>7</v>
      </c>
      <c r="BD133" s="1043"/>
      <c r="BE133" s="1043"/>
      <c r="BF133" s="1043"/>
      <c r="BG133" s="1043"/>
      <c r="BH133" s="1043"/>
      <c r="BI133" s="1037">
        <f>SUM(AW133:BH141)</f>
        <v>19</v>
      </c>
      <c r="BJ133" s="1037"/>
      <c r="BK133" s="1037">
        <v>2</v>
      </c>
      <c r="BL133" s="1037"/>
      <c r="BM133" s="1037"/>
      <c r="BN133" s="1037"/>
      <c r="BO133" s="1037"/>
      <c r="BP133" s="1037"/>
      <c r="BQ133" s="1037"/>
      <c r="BR133" s="1037"/>
      <c r="BS133" s="1037"/>
      <c r="BT133" s="1037"/>
      <c r="BU133" s="1037"/>
      <c r="BV133" s="1037">
        <f>SUM(BK133:BU141)</f>
        <v>2</v>
      </c>
      <c r="BW133" s="988"/>
      <c r="BX133" s="976"/>
      <c r="BY133" s="976">
        <v>6</v>
      </c>
      <c r="BZ133" s="976">
        <v>8</v>
      </c>
      <c r="CA133" s="976"/>
      <c r="CB133" s="976"/>
      <c r="CC133" s="976"/>
      <c r="CD133" s="976"/>
      <c r="CE133" s="976"/>
      <c r="CF133" s="976"/>
      <c r="CG133" s="976"/>
      <c r="CH133" s="979"/>
      <c r="CI133" s="1065">
        <f>SUM(BY133:CH141)</f>
        <v>14</v>
      </c>
      <c r="CJ133" s="988"/>
      <c r="CK133" s="976"/>
      <c r="CL133" s="976"/>
      <c r="CM133" s="976"/>
      <c r="CN133" s="976"/>
      <c r="CO133" s="976"/>
      <c r="CP133" s="976"/>
      <c r="CQ133" s="976">
        <v>12</v>
      </c>
      <c r="CR133" s="976"/>
      <c r="CS133" s="976"/>
      <c r="CT133" s="976"/>
      <c r="CU133" s="979"/>
      <c r="CV133" s="1065">
        <f>SUM(CL133:CU141)</f>
        <v>12</v>
      </c>
      <c r="CW133" s="988"/>
      <c r="CX133" s="976"/>
      <c r="CY133" s="976"/>
      <c r="CZ133" s="976"/>
      <c r="DA133" s="976"/>
      <c r="DB133" s="976"/>
      <c r="DC133" s="976"/>
      <c r="DD133" s="976"/>
      <c r="DE133" s="976">
        <v>30</v>
      </c>
      <c r="DF133" s="976">
        <v>31</v>
      </c>
      <c r="DG133" s="976"/>
      <c r="DH133" s="979"/>
      <c r="DI133" s="1115">
        <f>SUM(CY133:DH141)</f>
        <v>61</v>
      </c>
      <c r="DJ133" s="971">
        <f>I133+V133+AI133+AV133+BI133+BV133+CI133+CV133+DI133</f>
        <v>149</v>
      </c>
      <c r="DK133" s="230">
        <f>H137-DJ133</f>
        <v>91</v>
      </c>
    </row>
    <row r="134" spans="1:115" ht="15" customHeight="1" x14ac:dyDescent="0.25">
      <c r="A134" s="1048"/>
      <c r="B134" s="1105"/>
      <c r="C134" s="1069"/>
      <c r="D134" s="1070"/>
      <c r="E134" s="246" t="s">
        <v>283</v>
      </c>
      <c r="F134" s="150">
        <v>30</v>
      </c>
      <c r="G134" s="1072"/>
      <c r="H134" s="195"/>
      <c r="I134" s="1038"/>
      <c r="J134" s="1043"/>
      <c r="K134" s="1043"/>
      <c r="L134" s="1043"/>
      <c r="M134" s="1043"/>
      <c r="N134" s="1043"/>
      <c r="O134" s="1043"/>
      <c r="P134" s="1043"/>
      <c r="Q134" s="1043"/>
      <c r="R134" s="1043"/>
      <c r="S134" s="1043"/>
      <c r="T134" s="1043"/>
      <c r="U134" s="1043"/>
      <c r="V134" s="1043"/>
      <c r="W134" s="1043"/>
      <c r="X134" s="1043"/>
      <c r="Y134" s="1043"/>
      <c r="Z134" s="1043"/>
      <c r="AA134" s="1043"/>
      <c r="AB134" s="1043"/>
      <c r="AC134" s="1043"/>
      <c r="AD134" s="1043"/>
      <c r="AE134" s="1043"/>
      <c r="AF134" s="1043"/>
      <c r="AG134" s="1043"/>
      <c r="AH134" s="1043"/>
      <c r="AI134" s="1038"/>
      <c r="AJ134" s="1043"/>
      <c r="AK134" s="1043"/>
      <c r="AL134" s="1043"/>
      <c r="AM134" s="1043"/>
      <c r="AN134" s="1043"/>
      <c r="AO134" s="1043"/>
      <c r="AP134" s="1043"/>
      <c r="AQ134" s="1043"/>
      <c r="AR134" s="1043"/>
      <c r="AS134" s="1043"/>
      <c r="AT134" s="1043"/>
      <c r="AU134" s="1043"/>
      <c r="AV134" s="1038"/>
      <c r="AW134" s="1043"/>
      <c r="AX134" s="1043"/>
      <c r="AY134" s="1043"/>
      <c r="AZ134" s="1043"/>
      <c r="BA134" s="1043"/>
      <c r="BB134" s="1043"/>
      <c r="BC134" s="1043"/>
      <c r="BD134" s="1043"/>
      <c r="BE134" s="1043"/>
      <c r="BF134" s="1043"/>
      <c r="BG134" s="1043"/>
      <c r="BH134" s="1043"/>
      <c r="BI134" s="1038"/>
      <c r="BJ134" s="1038"/>
      <c r="BK134" s="1038"/>
      <c r="BL134" s="1038"/>
      <c r="BM134" s="1038"/>
      <c r="BN134" s="1038"/>
      <c r="BO134" s="1038"/>
      <c r="BP134" s="1038"/>
      <c r="BQ134" s="1038"/>
      <c r="BR134" s="1038"/>
      <c r="BS134" s="1038"/>
      <c r="BT134" s="1038"/>
      <c r="BU134" s="1038"/>
      <c r="BV134" s="1038"/>
      <c r="BW134" s="989"/>
      <c r="BX134" s="977"/>
      <c r="BY134" s="977"/>
      <c r="BZ134" s="977"/>
      <c r="CA134" s="977"/>
      <c r="CB134" s="977"/>
      <c r="CC134" s="977"/>
      <c r="CD134" s="977"/>
      <c r="CE134" s="977"/>
      <c r="CF134" s="977"/>
      <c r="CG134" s="977"/>
      <c r="CH134" s="980"/>
      <c r="CI134" s="1115"/>
      <c r="CJ134" s="989"/>
      <c r="CK134" s="977"/>
      <c r="CL134" s="977"/>
      <c r="CM134" s="977"/>
      <c r="CN134" s="977"/>
      <c r="CO134" s="977"/>
      <c r="CP134" s="977"/>
      <c r="CQ134" s="977"/>
      <c r="CR134" s="977"/>
      <c r="CS134" s="977"/>
      <c r="CT134" s="977"/>
      <c r="CU134" s="980"/>
      <c r="CV134" s="1115"/>
      <c r="CW134" s="989"/>
      <c r="CX134" s="977"/>
      <c r="CY134" s="977"/>
      <c r="CZ134" s="977"/>
      <c r="DA134" s="977"/>
      <c r="DB134" s="977"/>
      <c r="DC134" s="977"/>
      <c r="DD134" s="977"/>
      <c r="DE134" s="977"/>
      <c r="DF134" s="977"/>
      <c r="DG134" s="977"/>
      <c r="DH134" s="980"/>
      <c r="DI134" s="1115"/>
      <c r="DJ134" s="972"/>
      <c r="DK134" s="214"/>
    </row>
    <row r="135" spans="1:115" ht="15" customHeight="1" x14ac:dyDescent="0.25">
      <c r="A135" s="1048"/>
      <c r="B135" s="1105"/>
      <c r="C135" s="1069"/>
      <c r="D135" s="1070"/>
      <c r="E135" s="246" t="s">
        <v>284</v>
      </c>
      <c r="F135" s="150">
        <v>30</v>
      </c>
      <c r="G135" s="1072"/>
      <c r="H135" s="195"/>
      <c r="I135" s="1038"/>
      <c r="J135" s="1043"/>
      <c r="K135" s="1043"/>
      <c r="L135" s="1043"/>
      <c r="M135" s="1043"/>
      <c r="N135" s="1043"/>
      <c r="O135" s="1043"/>
      <c r="P135" s="1043"/>
      <c r="Q135" s="1043"/>
      <c r="R135" s="1043"/>
      <c r="S135" s="1043"/>
      <c r="T135" s="1043"/>
      <c r="U135" s="1043"/>
      <c r="V135" s="1043"/>
      <c r="W135" s="1043"/>
      <c r="X135" s="1043"/>
      <c r="Y135" s="1043"/>
      <c r="Z135" s="1043"/>
      <c r="AA135" s="1043"/>
      <c r="AB135" s="1043"/>
      <c r="AC135" s="1043"/>
      <c r="AD135" s="1043"/>
      <c r="AE135" s="1043"/>
      <c r="AF135" s="1043"/>
      <c r="AG135" s="1043"/>
      <c r="AH135" s="1043"/>
      <c r="AI135" s="1038"/>
      <c r="AJ135" s="1043"/>
      <c r="AK135" s="1043"/>
      <c r="AL135" s="1043"/>
      <c r="AM135" s="1043"/>
      <c r="AN135" s="1043"/>
      <c r="AO135" s="1043"/>
      <c r="AP135" s="1043"/>
      <c r="AQ135" s="1043"/>
      <c r="AR135" s="1043"/>
      <c r="AS135" s="1043"/>
      <c r="AT135" s="1043"/>
      <c r="AU135" s="1043"/>
      <c r="AV135" s="1038"/>
      <c r="AW135" s="1043"/>
      <c r="AX135" s="1043"/>
      <c r="AY135" s="1043"/>
      <c r="AZ135" s="1043"/>
      <c r="BA135" s="1043"/>
      <c r="BB135" s="1043"/>
      <c r="BC135" s="1043"/>
      <c r="BD135" s="1043"/>
      <c r="BE135" s="1043"/>
      <c r="BF135" s="1043"/>
      <c r="BG135" s="1043"/>
      <c r="BH135" s="1043"/>
      <c r="BI135" s="1038"/>
      <c r="BJ135" s="1038"/>
      <c r="BK135" s="1038"/>
      <c r="BL135" s="1038"/>
      <c r="BM135" s="1038"/>
      <c r="BN135" s="1038"/>
      <c r="BO135" s="1038"/>
      <c r="BP135" s="1038"/>
      <c r="BQ135" s="1038"/>
      <c r="BR135" s="1038"/>
      <c r="BS135" s="1038"/>
      <c r="BT135" s="1038"/>
      <c r="BU135" s="1038"/>
      <c r="BV135" s="1038"/>
      <c r="BW135" s="989"/>
      <c r="BX135" s="977"/>
      <c r="BY135" s="977"/>
      <c r="BZ135" s="977"/>
      <c r="CA135" s="977"/>
      <c r="CB135" s="977"/>
      <c r="CC135" s="977"/>
      <c r="CD135" s="977"/>
      <c r="CE135" s="977"/>
      <c r="CF135" s="977"/>
      <c r="CG135" s="977"/>
      <c r="CH135" s="980"/>
      <c r="CI135" s="1115"/>
      <c r="CJ135" s="989"/>
      <c r="CK135" s="977"/>
      <c r="CL135" s="977"/>
      <c r="CM135" s="977"/>
      <c r="CN135" s="977"/>
      <c r="CO135" s="977"/>
      <c r="CP135" s="977"/>
      <c r="CQ135" s="977"/>
      <c r="CR135" s="977"/>
      <c r="CS135" s="977"/>
      <c r="CT135" s="977"/>
      <c r="CU135" s="980"/>
      <c r="CV135" s="1115"/>
      <c r="CW135" s="989"/>
      <c r="CX135" s="977"/>
      <c r="CY135" s="977"/>
      <c r="CZ135" s="977"/>
      <c r="DA135" s="977"/>
      <c r="DB135" s="977"/>
      <c r="DC135" s="977"/>
      <c r="DD135" s="977"/>
      <c r="DE135" s="977"/>
      <c r="DF135" s="977"/>
      <c r="DG135" s="977"/>
      <c r="DH135" s="980"/>
      <c r="DI135" s="1115"/>
      <c r="DJ135" s="972"/>
      <c r="DK135" s="214"/>
    </row>
    <row r="136" spans="1:115" ht="15" customHeight="1" x14ac:dyDescent="0.25">
      <c r="A136" s="1048"/>
      <c r="B136" s="1105"/>
      <c r="C136" s="1069"/>
      <c r="D136" s="1070"/>
      <c r="E136" s="246" t="s">
        <v>285</v>
      </c>
      <c r="F136" s="150">
        <v>30</v>
      </c>
      <c r="G136" s="1072"/>
      <c r="H136" s="195"/>
      <c r="I136" s="1038"/>
      <c r="J136" s="1043"/>
      <c r="K136" s="1043"/>
      <c r="L136" s="1043"/>
      <c r="M136" s="1043"/>
      <c r="N136" s="1043"/>
      <c r="O136" s="1043"/>
      <c r="P136" s="1043"/>
      <c r="Q136" s="1043"/>
      <c r="R136" s="1043"/>
      <c r="S136" s="1043"/>
      <c r="T136" s="1043"/>
      <c r="U136" s="1043"/>
      <c r="V136" s="1043"/>
      <c r="W136" s="1043"/>
      <c r="X136" s="1043"/>
      <c r="Y136" s="1043"/>
      <c r="Z136" s="1043"/>
      <c r="AA136" s="1043"/>
      <c r="AB136" s="1043"/>
      <c r="AC136" s="1043"/>
      <c r="AD136" s="1043"/>
      <c r="AE136" s="1043"/>
      <c r="AF136" s="1043"/>
      <c r="AG136" s="1043"/>
      <c r="AH136" s="1043"/>
      <c r="AI136" s="1038"/>
      <c r="AJ136" s="1043"/>
      <c r="AK136" s="1043"/>
      <c r="AL136" s="1043"/>
      <c r="AM136" s="1043"/>
      <c r="AN136" s="1043"/>
      <c r="AO136" s="1043"/>
      <c r="AP136" s="1043"/>
      <c r="AQ136" s="1043"/>
      <c r="AR136" s="1043"/>
      <c r="AS136" s="1043"/>
      <c r="AT136" s="1043"/>
      <c r="AU136" s="1043"/>
      <c r="AV136" s="1038"/>
      <c r="AW136" s="1043"/>
      <c r="AX136" s="1043"/>
      <c r="AY136" s="1043"/>
      <c r="AZ136" s="1043"/>
      <c r="BA136" s="1043"/>
      <c r="BB136" s="1043"/>
      <c r="BC136" s="1043"/>
      <c r="BD136" s="1043"/>
      <c r="BE136" s="1043"/>
      <c r="BF136" s="1043"/>
      <c r="BG136" s="1043"/>
      <c r="BH136" s="1043"/>
      <c r="BI136" s="1038"/>
      <c r="BJ136" s="1038"/>
      <c r="BK136" s="1038"/>
      <c r="BL136" s="1038"/>
      <c r="BM136" s="1038"/>
      <c r="BN136" s="1038"/>
      <c r="BO136" s="1038"/>
      <c r="BP136" s="1038"/>
      <c r="BQ136" s="1038"/>
      <c r="BR136" s="1038"/>
      <c r="BS136" s="1038"/>
      <c r="BT136" s="1038"/>
      <c r="BU136" s="1038"/>
      <c r="BV136" s="1038"/>
      <c r="BW136" s="989"/>
      <c r="BX136" s="977"/>
      <c r="BY136" s="977"/>
      <c r="BZ136" s="977"/>
      <c r="CA136" s="977"/>
      <c r="CB136" s="977"/>
      <c r="CC136" s="977"/>
      <c r="CD136" s="977"/>
      <c r="CE136" s="977"/>
      <c r="CF136" s="977"/>
      <c r="CG136" s="977"/>
      <c r="CH136" s="980"/>
      <c r="CI136" s="1115"/>
      <c r="CJ136" s="989"/>
      <c r="CK136" s="977"/>
      <c r="CL136" s="977"/>
      <c r="CM136" s="977"/>
      <c r="CN136" s="977"/>
      <c r="CO136" s="977"/>
      <c r="CP136" s="977"/>
      <c r="CQ136" s="977"/>
      <c r="CR136" s="977"/>
      <c r="CS136" s="977"/>
      <c r="CT136" s="977"/>
      <c r="CU136" s="980"/>
      <c r="CV136" s="1115"/>
      <c r="CW136" s="989"/>
      <c r="CX136" s="977"/>
      <c r="CY136" s="977"/>
      <c r="CZ136" s="977"/>
      <c r="DA136" s="977"/>
      <c r="DB136" s="977"/>
      <c r="DC136" s="977"/>
      <c r="DD136" s="977"/>
      <c r="DE136" s="977"/>
      <c r="DF136" s="977"/>
      <c r="DG136" s="977"/>
      <c r="DH136" s="980"/>
      <c r="DI136" s="1115"/>
      <c r="DJ136" s="972"/>
      <c r="DK136" s="214"/>
    </row>
    <row r="137" spans="1:115" ht="15" customHeight="1" x14ac:dyDescent="0.25">
      <c r="A137" s="1048"/>
      <c r="B137" s="1105"/>
      <c r="C137" s="1069"/>
      <c r="D137" s="1070"/>
      <c r="E137" s="246" t="s">
        <v>286</v>
      </c>
      <c r="F137" s="150">
        <v>30</v>
      </c>
      <c r="G137" s="1072"/>
      <c r="H137" s="228">
        <f>ROUNDDOWN(($H$2-D133)/365,0)*30</f>
        <v>240</v>
      </c>
      <c r="I137" s="1038"/>
      <c r="J137" s="1043"/>
      <c r="K137" s="1043"/>
      <c r="L137" s="1043"/>
      <c r="M137" s="1043"/>
      <c r="N137" s="1043"/>
      <c r="O137" s="1043"/>
      <c r="P137" s="1043"/>
      <c r="Q137" s="1043"/>
      <c r="R137" s="1043"/>
      <c r="S137" s="1043"/>
      <c r="T137" s="1043"/>
      <c r="U137" s="1043"/>
      <c r="V137" s="1043"/>
      <c r="W137" s="1043"/>
      <c r="X137" s="1043"/>
      <c r="Y137" s="1043"/>
      <c r="Z137" s="1043"/>
      <c r="AA137" s="1043"/>
      <c r="AB137" s="1043"/>
      <c r="AC137" s="1043"/>
      <c r="AD137" s="1043"/>
      <c r="AE137" s="1043"/>
      <c r="AF137" s="1043"/>
      <c r="AG137" s="1043"/>
      <c r="AH137" s="1043"/>
      <c r="AI137" s="1038"/>
      <c r="AJ137" s="1043"/>
      <c r="AK137" s="1043"/>
      <c r="AL137" s="1043"/>
      <c r="AM137" s="1043"/>
      <c r="AN137" s="1043"/>
      <c r="AO137" s="1043"/>
      <c r="AP137" s="1043"/>
      <c r="AQ137" s="1043"/>
      <c r="AR137" s="1043"/>
      <c r="AS137" s="1043"/>
      <c r="AT137" s="1043"/>
      <c r="AU137" s="1043"/>
      <c r="AV137" s="1038"/>
      <c r="AW137" s="1043"/>
      <c r="AX137" s="1043"/>
      <c r="AY137" s="1043"/>
      <c r="AZ137" s="1043"/>
      <c r="BA137" s="1043"/>
      <c r="BB137" s="1043"/>
      <c r="BC137" s="1043"/>
      <c r="BD137" s="1043"/>
      <c r="BE137" s="1043"/>
      <c r="BF137" s="1043"/>
      <c r="BG137" s="1043"/>
      <c r="BH137" s="1043"/>
      <c r="BI137" s="1038"/>
      <c r="BJ137" s="1038"/>
      <c r="BK137" s="1038"/>
      <c r="BL137" s="1038"/>
      <c r="BM137" s="1038"/>
      <c r="BN137" s="1038"/>
      <c r="BO137" s="1038"/>
      <c r="BP137" s="1038"/>
      <c r="BQ137" s="1038"/>
      <c r="BR137" s="1038"/>
      <c r="BS137" s="1038"/>
      <c r="BT137" s="1038"/>
      <c r="BU137" s="1038"/>
      <c r="BV137" s="1038"/>
      <c r="BW137" s="989"/>
      <c r="BX137" s="977"/>
      <c r="BY137" s="977"/>
      <c r="BZ137" s="977"/>
      <c r="CA137" s="977"/>
      <c r="CB137" s="977"/>
      <c r="CC137" s="977"/>
      <c r="CD137" s="977"/>
      <c r="CE137" s="977"/>
      <c r="CF137" s="977"/>
      <c r="CG137" s="977"/>
      <c r="CH137" s="980"/>
      <c r="CI137" s="1115"/>
      <c r="CJ137" s="989"/>
      <c r="CK137" s="977"/>
      <c r="CL137" s="977"/>
      <c r="CM137" s="977"/>
      <c r="CN137" s="977"/>
      <c r="CO137" s="977"/>
      <c r="CP137" s="977"/>
      <c r="CQ137" s="977"/>
      <c r="CR137" s="977"/>
      <c r="CS137" s="977"/>
      <c r="CT137" s="977"/>
      <c r="CU137" s="980"/>
      <c r="CV137" s="1115"/>
      <c r="CW137" s="989"/>
      <c r="CX137" s="977"/>
      <c r="CY137" s="977"/>
      <c r="CZ137" s="977"/>
      <c r="DA137" s="977"/>
      <c r="DB137" s="977"/>
      <c r="DC137" s="977"/>
      <c r="DD137" s="977"/>
      <c r="DE137" s="977"/>
      <c r="DF137" s="977"/>
      <c r="DG137" s="977"/>
      <c r="DH137" s="980"/>
      <c r="DI137" s="1115"/>
      <c r="DJ137" s="972"/>
      <c r="DK137" s="214"/>
    </row>
    <row r="138" spans="1:115" ht="15" customHeight="1" x14ac:dyDescent="0.25">
      <c r="A138" s="1048"/>
      <c r="B138" s="1105"/>
      <c r="C138" s="1069"/>
      <c r="D138" s="1070"/>
      <c r="E138" s="182" t="s">
        <v>287</v>
      </c>
      <c r="F138" s="147">
        <v>30</v>
      </c>
      <c r="G138" s="1072"/>
      <c r="H138" s="195"/>
      <c r="I138" s="1038"/>
      <c r="J138" s="1043"/>
      <c r="K138" s="1043"/>
      <c r="L138" s="1043"/>
      <c r="M138" s="1043"/>
      <c r="N138" s="1043"/>
      <c r="O138" s="1043"/>
      <c r="P138" s="1043"/>
      <c r="Q138" s="1043"/>
      <c r="R138" s="1043"/>
      <c r="S138" s="1043"/>
      <c r="T138" s="1043"/>
      <c r="U138" s="1043"/>
      <c r="V138" s="1043"/>
      <c r="W138" s="1043"/>
      <c r="X138" s="1043"/>
      <c r="Y138" s="1043"/>
      <c r="Z138" s="1043"/>
      <c r="AA138" s="1043"/>
      <c r="AB138" s="1043"/>
      <c r="AC138" s="1043"/>
      <c r="AD138" s="1043"/>
      <c r="AE138" s="1043"/>
      <c r="AF138" s="1043"/>
      <c r="AG138" s="1043"/>
      <c r="AH138" s="1043"/>
      <c r="AI138" s="1038"/>
      <c r="AJ138" s="1043"/>
      <c r="AK138" s="1043"/>
      <c r="AL138" s="1043"/>
      <c r="AM138" s="1043"/>
      <c r="AN138" s="1043"/>
      <c r="AO138" s="1043"/>
      <c r="AP138" s="1043"/>
      <c r="AQ138" s="1043"/>
      <c r="AR138" s="1043"/>
      <c r="AS138" s="1043"/>
      <c r="AT138" s="1043"/>
      <c r="AU138" s="1043"/>
      <c r="AV138" s="1038"/>
      <c r="AW138" s="1043"/>
      <c r="AX138" s="1043"/>
      <c r="AY138" s="1043"/>
      <c r="AZ138" s="1043"/>
      <c r="BA138" s="1043"/>
      <c r="BB138" s="1043"/>
      <c r="BC138" s="1043"/>
      <c r="BD138" s="1043"/>
      <c r="BE138" s="1043"/>
      <c r="BF138" s="1043"/>
      <c r="BG138" s="1043"/>
      <c r="BH138" s="1043"/>
      <c r="BI138" s="1038"/>
      <c r="BJ138" s="1038"/>
      <c r="BK138" s="1038"/>
      <c r="BL138" s="1038"/>
      <c r="BM138" s="1038"/>
      <c r="BN138" s="1038"/>
      <c r="BO138" s="1038"/>
      <c r="BP138" s="1038"/>
      <c r="BQ138" s="1038"/>
      <c r="BR138" s="1038"/>
      <c r="BS138" s="1038"/>
      <c r="BT138" s="1038"/>
      <c r="BU138" s="1038"/>
      <c r="BV138" s="1038"/>
      <c r="BW138" s="989"/>
      <c r="BX138" s="977"/>
      <c r="BY138" s="977"/>
      <c r="BZ138" s="977"/>
      <c r="CA138" s="977"/>
      <c r="CB138" s="977"/>
      <c r="CC138" s="977"/>
      <c r="CD138" s="977"/>
      <c r="CE138" s="977"/>
      <c r="CF138" s="977"/>
      <c r="CG138" s="977"/>
      <c r="CH138" s="980"/>
      <c r="CI138" s="1115"/>
      <c r="CJ138" s="989"/>
      <c r="CK138" s="977"/>
      <c r="CL138" s="977"/>
      <c r="CM138" s="977"/>
      <c r="CN138" s="977"/>
      <c r="CO138" s="977"/>
      <c r="CP138" s="977"/>
      <c r="CQ138" s="977"/>
      <c r="CR138" s="977"/>
      <c r="CS138" s="977"/>
      <c r="CT138" s="977"/>
      <c r="CU138" s="980"/>
      <c r="CV138" s="1115"/>
      <c r="CW138" s="989"/>
      <c r="CX138" s="977"/>
      <c r="CY138" s="977"/>
      <c r="CZ138" s="977"/>
      <c r="DA138" s="977"/>
      <c r="DB138" s="977"/>
      <c r="DC138" s="977"/>
      <c r="DD138" s="977"/>
      <c r="DE138" s="977"/>
      <c r="DF138" s="977"/>
      <c r="DG138" s="977"/>
      <c r="DH138" s="980"/>
      <c r="DI138" s="1115"/>
      <c r="DJ138" s="972"/>
      <c r="DK138" s="214"/>
    </row>
    <row r="139" spans="1:115" ht="15" customHeight="1" x14ac:dyDescent="0.25">
      <c r="A139" s="1048"/>
      <c r="B139" s="1105"/>
      <c r="C139" s="1069"/>
      <c r="D139" s="1070"/>
      <c r="E139" s="182" t="s">
        <v>288</v>
      </c>
      <c r="F139" s="147">
        <v>30</v>
      </c>
      <c r="G139" s="1072"/>
      <c r="H139" s="195"/>
      <c r="I139" s="1038"/>
      <c r="J139" s="1043"/>
      <c r="K139" s="1043"/>
      <c r="L139" s="1043"/>
      <c r="M139" s="1043"/>
      <c r="N139" s="1043"/>
      <c r="O139" s="1043"/>
      <c r="P139" s="1043"/>
      <c r="Q139" s="1043"/>
      <c r="R139" s="1043"/>
      <c r="S139" s="1043"/>
      <c r="T139" s="1043"/>
      <c r="U139" s="1043"/>
      <c r="V139" s="1043"/>
      <c r="W139" s="1043"/>
      <c r="X139" s="1043"/>
      <c r="Y139" s="1043"/>
      <c r="Z139" s="1043"/>
      <c r="AA139" s="1043"/>
      <c r="AB139" s="1043"/>
      <c r="AC139" s="1043"/>
      <c r="AD139" s="1043"/>
      <c r="AE139" s="1043"/>
      <c r="AF139" s="1043"/>
      <c r="AG139" s="1043"/>
      <c r="AH139" s="1043"/>
      <c r="AI139" s="1038"/>
      <c r="AJ139" s="1043"/>
      <c r="AK139" s="1043"/>
      <c r="AL139" s="1043"/>
      <c r="AM139" s="1043"/>
      <c r="AN139" s="1043"/>
      <c r="AO139" s="1043"/>
      <c r="AP139" s="1043"/>
      <c r="AQ139" s="1043"/>
      <c r="AR139" s="1043"/>
      <c r="AS139" s="1043"/>
      <c r="AT139" s="1043"/>
      <c r="AU139" s="1043"/>
      <c r="AV139" s="1038"/>
      <c r="AW139" s="1043"/>
      <c r="AX139" s="1043"/>
      <c r="AY139" s="1043"/>
      <c r="AZ139" s="1043"/>
      <c r="BA139" s="1043"/>
      <c r="BB139" s="1043"/>
      <c r="BC139" s="1043"/>
      <c r="BD139" s="1043"/>
      <c r="BE139" s="1043"/>
      <c r="BF139" s="1043"/>
      <c r="BG139" s="1043"/>
      <c r="BH139" s="1043"/>
      <c r="BI139" s="1038"/>
      <c r="BJ139" s="1038"/>
      <c r="BK139" s="1038"/>
      <c r="BL139" s="1038"/>
      <c r="BM139" s="1038"/>
      <c r="BN139" s="1038"/>
      <c r="BO139" s="1038"/>
      <c r="BP139" s="1038"/>
      <c r="BQ139" s="1038"/>
      <c r="BR139" s="1038"/>
      <c r="BS139" s="1038"/>
      <c r="BT139" s="1038"/>
      <c r="BU139" s="1038"/>
      <c r="BV139" s="1038"/>
      <c r="BW139" s="989"/>
      <c r="BX139" s="977"/>
      <c r="BY139" s="977"/>
      <c r="BZ139" s="977"/>
      <c r="CA139" s="977"/>
      <c r="CB139" s="977"/>
      <c r="CC139" s="977"/>
      <c r="CD139" s="977"/>
      <c r="CE139" s="977"/>
      <c r="CF139" s="977"/>
      <c r="CG139" s="977"/>
      <c r="CH139" s="980"/>
      <c r="CI139" s="1115"/>
      <c r="CJ139" s="989"/>
      <c r="CK139" s="977"/>
      <c r="CL139" s="977"/>
      <c r="CM139" s="977"/>
      <c r="CN139" s="977"/>
      <c r="CO139" s="977"/>
      <c r="CP139" s="977"/>
      <c r="CQ139" s="977"/>
      <c r="CR139" s="977"/>
      <c r="CS139" s="977"/>
      <c r="CT139" s="977"/>
      <c r="CU139" s="980"/>
      <c r="CV139" s="1115"/>
      <c r="CW139" s="989"/>
      <c r="CX139" s="977"/>
      <c r="CY139" s="977"/>
      <c r="CZ139" s="977"/>
      <c r="DA139" s="977"/>
      <c r="DB139" s="977"/>
      <c r="DC139" s="977"/>
      <c r="DD139" s="977"/>
      <c r="DE139" s="977"/>
      <c r="DF139" s="977"/>
      <c r="DG139" s="977"/>
      <c r="DH139" s="980"/>
      <c r="DI139" s="1115"/>
      <c r="DJ139" s="972"/>
      <c r="DK139" s="214"/>
    </row>
    <row r="140" spans="1:115" ht="15" customHeight="1" x14ac:dyDescent="0.25">
      <c r="A140" s="1048"/>
      <c r="B140" s="1105"/>
      <c r="C140" s="1069"/>
      <c r="D140" s="1070"/>
      <c r="E140" s="182" t="s">
        <v>221</v>
      </c>
      <c r="F140" s="147">
        <v>30</v>
      </c>
      <c r="G140" s="1072"/>
      <c r="H140" s="195"/>
      <c r="I140" s="1038"/>
      <c r="J140" s="1043"/>
      <c r="K140" s="1043"/>
      <c r="L140" s="1043"/>
      <c r="M140" s="1043"/>
      <c r="N140" s="1043"/>
      <c r="O140" s="1043"/>
      <c r="P140" s="1043"/>
      <c r="Q140" s="1043"/>
      <c r="R140" s="1043"/>
      <c r="S140" s="1043"/>
      <c r="T140" s="1043"/>
      <c r="U140" s="1043"/>
      <c r="V140" s="1043"/>
      <c r="W140" s="1043"/>
      <c r="X140" s="1043"/>
      <c r="Y140" s="1043"/>
      <c r="Z140" s="1043"/>
      <c r="AA140" s="1043"/>
      <c r="AB140" s="1043"/>
      <c r="AC140" s="1043"/>
      <c r="AD140" s="1043"/>
      <c r="AE140" s="1043"/>
      <c r="AF140" s="1043"/>
      <c r="AG140" s="1043"/>
      <c r="AH140" s="1043"/>
      <c r="AI140" s="1038"/>
      <c r="AJ140" s="1043"/>
      <c r="AK140" s="1043"/>
      <c r="AL140" s="1043"/>
      <c r="AM140" s="1043"/>
      <c r="AN140" s="1043"/>
      <c r="AO140" s="1043"/>
      <c r="AP140" s="1043"/>
      <c r="AQ140" s="1043"/>
      <c r="AR140" s="1043"/>
      <c r="AS140" s="1043"/>
      <c r="AT140" s="1043"/>
      <c r="AU140" s="1043"/>
      <c r="AV140" s="1038"/>
      <c r="AW140" s="1043"/>
      <c r="AX140" s="1043"/>
      <c r="AY140" s="1043"/>
      <c r="AZ140" s="1043"/>
      <c r="BA140" s="1043"/>
      <c r="BB140" s="1043"/>
      <c r="BC140" s="1043"/>
      <c r="BD140" s="1043"/>
      <c r="BE140" s="1043"/>
      <c r="BF140" s="1043"/>
      <c r="BG140" s="1043"/>
      <c r="BH140" s="1043"/>
      <c r="BI140" s="1038"/>
      <c r="BJ140" s="1038"/>
      <c r="BK140" s="1038"/>
      <c r="BL140" s="1038"/>
      <c r="BM140" s="1038"/>
      <c r="BN140" s="1038"/>
      <c r="BO140" s="1038"/>
      <c r="BP140" s="1038"/>
      <c r="BQ140" s="1038"/>
      <c r="BR140" s="1038"/>
      <c r="BS140" s="1038"/>
      <c r="BT140" s="1038"/>
      <c r="BU140" s="1038"/>
      <c r="BV140" s="1038"/>
      <c r="BW140" s="989"/>
      <c r="BX140" s="977"/>
      <c r="BY140" s="977"/>
      <c r="BZ140" s="977"/>
      <c r="CA140" s="977"/>
      <c r="CB140" s="977"/>
      <c r="CC140" s="977"/>
      <c r="CD140" s="977"/>
      <c r="CE140" s="977"/>
      <c r="CF140" s="977"/>
      <c r="CG140" s="977"/>
      <c r="CH140" s="980"/>
      <c r="CI140" s="1115"/>
      <c r="CJ140" s="989"/>
      <c r="CK140" s="977"/>
      <c r="CL140" s="977"/>
      <c r="CM140" s="977"/>
      <c r="CN140" s="977"/>
      <c r="CO140" s="977"/>
      <c r="CP140" s="977"/>
      <c r="CQ140" s="977"/>
      <c r="CR140" s="977"/>
      <c r="CS140" s="977"/>
      <c r="CT140" s="977"/>
      <c r="CU140" s="980"/>
      <c r="CV140" s="1115"/>
      <c r="CW140" s="989"/>
      <c r="CX140" s="977"/>
      <c r="CY140" s="977"/>
      <c r="CZ140" s="977"/>
      <c r="DA140" s="977"/>
      <c r="DB140" s="977"/>
      <c r="DC140" s="977"/>
      <c r="DD140" s="977"/>
      <c r="DE140" s="977"/>
      <c r="DF140" s="977"/>
      <c r="DG140" s="977"/>
      <c r="DH140" s="980"/>
      <c r="DI140" s="1115"/>
      <c r="DJ140" s="972"/>
      <c r="DK140" s="214"/>
    </row>
    <row r="141" spans="1:115" ht="15" customHeight="1" x14ac:dyDescent="0.25">
      <c r="A141" s="1048"/>
      <c r="B141" s="1105"/>
      <c r="C141" s="1069"/>
      <c r="D141" s="1070"/>
      <c r="E141" s="183" t="s">
        <v>191</v>
      </c>
      <c r="F141" s="147"/>
      <c r="G141" s="1073"/>
      <c r="H141" s="196"/>
      <c r="I141" s="1039"/>
      <c r="J141" s="1043"/>
      <c r="K141" s="1043"/>
      <c r="L141" s="1043"/>
      <c r="M141" s="1043"/>
      <c r="N141" s="1043"/>
      <c r="O141" s="1043"/>
      <c r="P141" s="1043"/>
      <c r="Q141" s="1043"/>
      <c r="R141" s="1043"/>
      <c r="S141" s="1043"/>
      <c r="T141" s="1043"/>
      <c r="U141" s="1043"/>
      <c r="V141" s="1043"/>
      <c r="W141" s="1043"/>
      <c r="X141" s="1043"/>
      <c r="Y141" s="1043"/>
      <c r="Z141" s="1043"/>
      <c r="AA141" s="1043"/>
      <c r="AB141" s="1043"/>
      <c r="AC141" s="1043"/>
      <c r="AD141" s="1043"/>
      <c r="AE141" s="1043"/>
      <c r="AF141" s="1043"/>
      <c r="AG141" s="1043"/>
      <c r="AH141" s="1043"/>
      <c r="AI141" s="1039"/>
      <c r="AJ141" s="1043"/>
      <c r="AK141" s="1043"/>
      <c r="AL141" s="1043"/>
      <c r="AM141" s="1043"/>
      <c r="AN141" s="1043"/>
      <c r="AO141" s="1043"/>
      <c r="AP141" s="1043"/>
      <c r="AQ141" s="1043"/>
      <c r="AR141" s="1043"/>
      <c r="AS141" s="1043"/>
      <c r="AT141" s="1043"/>
      <c r="AU141" s="1043"/>
      <c r="AV141" s="1039"/>
      <c r="AW141" s="1043"/>
      <c r="AX141" s="1043"/>
      <c r="AY141" s="1043"/>
      <c r="AZ141" s="1043"/>
      <c r="BA141" s="1043"/>
      <c r="BB141" s="1043"/>
      <c r="BC141" s="1043"/>
      <c r="BD141" s="1043"/>
      <c r="BE141" s="1043"/>
      <c r="BF141" s="1043"/>
      <c r="BG141" s="1043"/>
      <c r="BH141" s="1043"/>
      <c r="BI141" s="1039"/>
      <c r="BJ141" s="1039"/>
      <c r="BK141" s="1039"/>
      <c r="BL141" s="1039"/>
      <c r="BM141" s="1039"/>
      <c r="BN141" s="1039"/>
      <c r="BO141" s="1039"/>
      <c r="BP141" s="1039"/>
      <c r="BQ141" s="1039"/>
      <c r="BR141" s="1039"/>
      <c r="BS141" s="1039"/>
      <c r="BT141" s="1039"/>
      <c r="BU141" s="1039"/>
      <c r="BV141" s="1039"/>
      <c r="BW141" s="990"/>
      <c r="BX141" s="978"/>
      <c r="BY141" s="978"/>
      <c r="BZ141" s="978"/>
      <c r="CA141" s="978"/>
      <c r="CB141" s="978"/>
      <c r="CC141" s="978"/>
      <c r="CD141" s="978"/>
      <c r="CE141" s="978"/>
      <c r="CF141" s="978"/>
      <c r="CG141" s="978"/>
      <c r="CH141" s="981"/>
      <c r="CI141" s="1111"/>
      <c r="CJ141" s="990"/>
      <c r="CK141" s="978"/>
      <c r="CL141" s="978"/>
      <c r="CM141" s="978"/>
      <c r="CN141" s="978"/>
      <c r="CO141" s="978"/>
      <c r="CP141" s="978"/>
      <c r="CQ141" s="978"/>
      <c r="CR141" s="978"/>
      <c r="CS141" s="978"/>
      <c r="CT141" s="978"/>
      <c r="CU141" s="981"/>
      <c r="CV141" s="1111"/>
      <c r="CW141" s="990"/>
      <c r="CX141" s="978"/>
      <c r="CY141" s="978"/>
      <c r="CZ141" s="978"/>
      <c r="DA141" s="978"/>
      <c r="DB141" s="978"/>
      <c r="DC141" s="978"/>
      <c r="DD141" s="978"/>
      <c r="DE141" s="978"/>
      <c r="DF141" s="978"/>
      <c r="DG141" s="978"/>
      <c r="DH141" s="981"/>
      <c r="DI141" s="1111"/>
      <c r="DJ141" s="973"/>
      <c r="DK141" s="215"/>
    </row>
    <row r="142" spans="1:115" ht="15" customHeight="1" x14ac:dyDescent="0.25">
      <c r="A142" s="1048"/>
      <c r="B142" s="1068" t="s">
        <v>108</v>
      </c>
      <c r="C142" s="1069"/>
      <c r="D142" s="1070" t="s">
        <v>289</v>
      </c>
      <c r="E142" s="152" t="s">
        <v>290</v>
      </c>
      <c r="F142" s="174">
        <v>30</v>
      </c>
      <c r="G142" s="1072">
        <f>SUM(F142+F143+F144+F145)</f>
        <v>60</v>
      </c>
      <c r="H142" s="195"/>
      <c r="I142" s="1038"/>
      <c r="J142" s="1043"/>
      <c r="K142" s="1043"/>
      <c r="L142" s="1043"/>
      <c r="M142" s="1043"/>
      <c r="N142" s="1043"/>
      <c r="O142" s="1043"/>
      <c r="P142" s="1043"/>
      <c r="Q142" s="1043"/>
      <c r="R142" s="1043"/>
      <c r="S142" s="1043"/>
      <c r="T142" s="1043"/>
      <c r="U142" s="1043"/>
      <c r="V142" s="1043"/>
      <c r="W142" s="1043"/>
      <c r="X142" s="1043"/>
      <c r="Y142" s="1043"/>
      <c r="Z142" s="1043"/>
      <c r="AA142" s="1043"/>
      <c r="AB142" s="1043"/>
      <c r="AC142" s="1043"/>
      <c r="AD142" s="1043"/>
      <c r="AE142" s="1043"/>
      <c r="AF142" s="1043"/>
      <c r="AG142" s="1043"/>
      <c r="AH142" s="1043"/>
      <c r="AI142" s="1043"/>
      <c r="AJ142" s="1043"/>
      <c r="AK142" s="1043"/>
      <c r="AL142" s="1043"/>
      <c r="AM142" s="1043"/>
      <c r="AN142" s="1043"/>
      <c r="AO142" s="1043"/>
      <c r="AP142" s="1043"/>
      <c r="AQ142" s="1043"/>
      <c r="AR142" s="1043"/>
      <c r="AS142" s="1043"/>
      <c r="AT142" s="1043"/>
      <c r="AU142" s="1043"/>
      <c r="AV142" s="1043"/>
      <c r="AW142" s="1043"/>
      <c r="AX142" s="1043"/>
      <c r="AY142" s="1043"/>
      <c r="AZ142" s="1043"/>
      <c r="BA142" s="1043"/>
      <c r="BB142" s="1043"/>
      <c r="BC142" s="1043"/>
      <c r="BD142" s="1043"/>
      <c r="BE142" s="1043"/>
      <c r="BF142" s="1043"/>
      <c r="BG142" s="1043"/>
      <c r="BH142" s="1043"/>
      <c r="BI142" s="1043"/>
      <c r="BJ142" s="1038"/>
      <c r="BK142" s="1038"/>
      <c r="BL142" s="1038"/>
      <c r="BM142" s="1038"/>
      <c r="BN142" s="1038"/>
      <c r="BO142" s="1038"/>
      <c r="BP142" s="1038"/>
      <c r="BQ142" s="1038"/>
      <c r="BR142" s="1038"/>
      <c r="BS142" s="1038"/>
      <c r="BT142" s="1038"/>
      <c r="BU142" s="1038"/>
      <c r="BV142" s="1043"/>
      <c r="BW142" s="989"/>
      <c r="BX142" s="977"/>
      <c r="BY142" s="977"/>
      <c r="BZ142" s="977"/>
      <c r="CA142" s="176"/>
      <c r="CB142" s="176"/>
      <c r="CC142" s="176"/>
      <c r="CD142" s="176"/>
      <c r="CE142" s="176"/>
      <c r="CF142" s="176"/>
      <c r="CG142" s="176"/>
      <c r="CH142" s="979">
        <v>4</v>
      </c>
      <c r="CI142" s="1018">
        <f>SUM(BW142:CH145)</f>
        <v>4</v>
      </c>
      <c r="CJ142" s="989"/>
      <c r="CK142" s="977">
        <v>7</v>
      </c>
      <c r="CL142" s="977"/>
      <c r="CM142" s="977"/>
      <c r="CN142" s="176"/>
      <c r="CO142" s="176"/>
      <c r="CP142" s="976">
        <v>1</v>
      </c>
      <c r="CQ142" s="976"/>
      <c r="CR142" s="976">
        <v>8</v>
      </c>
      <c r="CS142" s="976"/>
      <c r="CT142" s="976"/>
      <c r="CU142" s="1011"/>
      <c r="CV142" s="1120">
        <f>SUM(CJ142:CU145)</f>
        <v>16</v>
      </c>
      <c r="CW142" s="989"/>
      <c r="CX142" s="977">
        <v>15</v>
      </c>
      <c r="CY142" s="977"/>
      <c r="CZ142" s="977"/>
      <c r="DA142" s="976"/>
      <c r="DB142" s="976"/>
      <c r="DC142" s="976"/>
      <c r="DD142" s="976"/>
      <c r="DE142" s="976">
        <v>12</v>
      </c>
      <c r="DF142" s="976"/>
      <c r="DG142" s="976"/>
      <c r="DH142" s="1011"/>
      <c r="DI142" s="1120">
        <f>SUM(CW142:DH145)</f>
        <v>27</v>
      </c>
      <c r="DJ142" s="1112">
        <f>CI142+CV142+DI142</f>
        <v>47</v>
      </c>
      <c r="DK142" s="211">
        <f>H143-DJ142</f>
        <v>13</v>
      </c>
    </row>
    <row r="143" spans="1:115" ht="15" customHeight="1" x14ac:dyDescent="0.25">
      <c r="A143" s="1048"/>
      <c r="B143" s="1068"/>
      <c r="C143" s="1069"/>
      <c r="D143" s="1070"/>
      <c r="E143" s="154" t="s">
        <v>291</v>
      </c>
      <c r="F143" s="147">
        <v>30</v>
      </c>
      <c r="G143" s="1072"/>
      <c r="H143" s="228">
        <f>ROUNDDOWN(($H$2-D142)/365,0)*30</f>
        <v>60</v>
      </c>
      <c r="I143" s="1038"/>
      <c r="J143" s="1043"/>
      <c r="K143" s="1043"/>
      <c r="L143" s="1043"/>
      <c r="M143" s="1043"/>
      <c r="N143" s="1043"/>
      <c r="O143" s="1043"/>
      <c r="P143" s="1043"/>
      <c r="Q143" s="1043"/>
      <c r="R143" s="1043"/>
      <c r="S143" s="1043"/>
      <c r="T143" s="1043"/>
      <c r="U143" s="1043"/>
      <c r="V143" s="1043"/>
      <c r="W143" s="1043"/>
      <c r="X143" s="1043"/>
      <c r="Y143" s="1043"/>
      <c r="Z143" s="1043"/>
      <c r="AA143" s="1043"/>
      <c r="AB143" s="1043"/>
      <c r="AC143" s="1043"/>
      <c r="AD143" s="1043"/>
      <c r="AE143" s="1043"/>
      <c r="AF143" s="1043"/>
      <c r="AG143" s="1043"/>
      <c r="AH143" s="1043"/>
      <c r="AI143" s="1043"/>
      <c r="AJ143" s="1043"/>
      <c r="AK143" s="1043"/>
      <c r="AL143" s="1043"/>
      <c r="AM143" s="1043"/>
      <c r="AN143" s="1043"/>
      <c r="AO143" s="1043"/>
      <c r="AP143" s="1043"/>
      <c r="AQ143" s="1043"/>
      <c r="AR143" s="1043"/>
      <c r="AS143" s="1043"/>
      <c r="AT143" s="1043"/>
      <c r="AU143" s="1043"/>
      <c r="AV143" s="1043"/>
      <c r="AW143" s="1043"/>
      <c r="AX143" s="1043"/>
      <c r="AY143" s="1043"/>
      <c r="AZ143" s="1043"/>
      <c r="BA143" s="1043"/>
      <c r="BB143" s="1043"/>
      <c r="BC143" s="1043"/>
      <c r="BD143" s="1043"/>
      <c r="BE143" s="1043"/>
      <c r="BF143" s="1043"/>
      <c r="BG143" s="1043"/>
      <c r="BH143" s="1043"/>
      <c r="BI143" s="1043"/>
      <c r="BJ143" s="1038"/>
      <c r="BK143" s="1038"/>
      <c r="BL143" s="1038"/>
      <c r="BM143" s="1038"/>
      <c r="BN143" s="1038"/>
      <c r="BO143" s="1038"/>
      <c r="BP143" s="1038"/>
      <c r="BQ143" s="1038"/>
      <c r="BR143" s="1038"/>
      <c r="BS143" s="1038"/>
      <c r="BT143" s="1038"/>
      <c r="BU143" s="1038"/>
      <c r="BV143" s="1043"/>
      <c r="BW143" s="989"/>
      <c r="BX143" s="977"/>
      <c r="BY143" s="977"/>
      <c r="BZ143" s="977"/>
      <c r="CA143" s="176"/>
      <c r="CB143" s="176"/>
      <c r="CC143" s="176"/>
      <c r="CD143" s="176"/>
      <c r="CE143" s="176"/>
      <c r="CF143" s="176"/>
      <c r="CG143" s="176"/>
      <c r="CH143" s="980"/>
      <c r="CI143" s="1018"/>
      <c r="CJ143" s="989"/>
      <c r="CK143" s="977"/>
      <c r="CL143" s="977"/>
      <c r="CM143" s="977"/>
      <c r="CN143" s="176"/>
      <c r="CO143" s="176"/>
      <c r="CP143" s="977"/>
      <c r="CQ143" s="977"/>
      <c r="CR143" s="977"/>
      <c r="CS143" s="977"/>
      <c r="CT143" s="977"/>
      <c r="CU143" s="1012"/>
      <c r="CV143" s="1120"/>
      <c r="CW143" s="989"/>
      <c r="CX143" s="977"/>
      <c r="CY143" s="977"/>
      <c r="CZ143" s="977"/>
      <c r="DA143" s="977"/>
      <c r="DB143" s="977"/>
      <c r="DC143" s="977"/>
      <c r="DD143" s="977"/>
      <c r="DE143" s="977"/>
      <c r="DF143" s="977"/>
      <c r="DG143" s="977"/>
      <c r="DH143" s="1012"/>
      <c r="DI143" s="1120"/>
      <c r="DJ143" s="972"/>
      <c r="DK143" s="214"/>
    </row>
    <row r="144" spans="1:115" ht="15" customHeight="1" x14ac:dyDescent="0.25">
      <c r="A144" s="1048"/>
      <c r="B144" s="1068"/>
      <c r="C144" s="1069"/>
      <c r="D144" s="1070"/>
      <c r="E144" s="154"/>
      <c r="F144" s="147"/>
      <c r="G144" s="1072"/>
      <c r="H144" s="195"/>
      <c r="I144" s="1038"/>
      <c r="J144" s="1043"/>
      <c r="K144" s="1043"/>
      <c r="L144" s="1043"/>
      <c r="M144" s="1043"/>
      <c r="N144" s="1043"/>
      <c r="O144" s="1043"/>
      <c r="P144" s="1043"/>
      <c r="Q144" s="1043"/>
      <c r="R144" s="1043"/>
      <c r="S144" s="1043"/>
      <c r="T144" s="1043"/>
      <c r="U144" s="1043"/>
      <c r="V144" s="1043"/>
      <c r="W144" s="1043"/>
      <c r="X144" s="1043"/>
      <c r="Y144" s="1043"/>
      <c r="Z144" s="1043"/>
      <c r="AA144" s="1043"/>
      <c r="AB144" s="1043"/>
      <c r="AC144" s="1043"/>
      <c r="AD144" s="1043"/>
      <c r="AE144" s="1043"/>
      <c r="AF144" s="1043"/>
      <c r="AG144" s="1043"/>
      <c r="AH144" s="1043"/>
      <c r="AI144" s="1043"/>
      <c r="AJ144" s="1043"/>
      <c r="AK144" s="1043"/>
      <c r="AL144" s="1043"/>
      <c r="AM144" s="1043"/>
      <c r="AN144" s="1043"/>
      <c r="AO144" s="1043"/>
      <c r="AP144" s="1043"/>
      <c r="AQ144" s="1043"/>
      <c r="AR144" s="1043"/>
      <c r="AS144" s="1043"/>
      <c r="AT144" s="1043"/>
      <c r="AU144" s="1043"/>
      <c r="AV144" s="1043"/>
      <c r="AW144" s="1043"/>
      <c r="AX144" s="1043"/>
      <c r="AY144" s="1043"/>
      <c r="AZ144" s="1043"/>
      <c r="BA144" s="1043"/>
      <c r="BB144" s="1043"/>
      <c r="BC144" s="1043"/>
      <c r="BD144" s="1043"/>
      <c r="BE144" s="1043"/>
      <c r="BF144" s="1043"/>
      <c r="BG144" s="1043"/>
      <c r="BH144" s="1043"/>
      <c r="BI144" s="1043"/>
      <c r="BJ144" s="1038"/>
      <c r="BK144" s="1038"/>
      <c r="BL144" s="1038"/>
      <c r="BM144" s="1038"/>
      <c r="BN144" s="1038"/>
      <c r="BO144" s="1038"/>
      <c r="BP144" s="1038"/>
      <c r="BQ144" s="1038"/>
      <c r="BR144" s="1038"/>
      <c r="BS144" s="1038"/>
      <c r="BT144" s="1038"/>
      <c r="BU144" s="1038"/>
      <c r="BV144" s="1043"/>
      <c r="BW144" s="989"/>
      <c r="BX144" s="977"/>
      <c r="BY144" s="977"/>
      <c r="BZ144" s="977"/>
      <c r="CA144" s="176"/>
      <c r="CB144" s="176"/>
      <c r="CC144" s="176"/>
      <c r="CD144" s="176"/>
      <c r="CE144" s="176"/>
      <c r="CF144" s="176"/>
      <c r="CG144" s="176"/>
      <c r="CH144" s="980"/>
      <c r="CI144" s="1018"/>
      <c r="CJ144" s="989"/>
      <c r="CK144" s="977"/>
      <c r="CL144" s="977"/>
      <c r="CM144" s="977"/>
      <c r="CN144" s="176"/>
      <c r="CO144" s="176"/>
      <c r="CP144" s="977"/>
      <c r="CQ144" s="977"/>
      <c r="CR144" s="977"/>
      <c r="CS144" s="977"/>
      <c r="CT144" s="977"/>
      <c r="CU144" s="1012"/>
      <c r="CV144" s="1120"/>
      <c r="CW144" s="989"/>
      <c r="CX144" s="977"/>
      <c r="CY144" s="977"/>
      <c r="CZ144" s="977"/>
      <c r="DA144" s="977"/>
      <c r="DB144" s="977"/>
      <c r="DC144" s="977"/>
      <c r="DD144" s="977"/>
      <c r="DE144" s="977"/>
      <c r="DF144" s="977"/>
      <c r="DG144" s="977"/>
      <c r="DH144" s="1012"/>
      <c r="DI144" s="1120"/>
      <c r="DJ144" s="972"/>
      <c r="DK144" s="214"/>
    </row>
    <row r="145" spans="1:117" ht="15" customHeight="1" x14ac:dyDescent="0.25">
      <c r="A145" s="1048"/>
      <c r="B145" s="1068"/>
      <c r="C145" s="1069"/>
      <c r="D145" s="1070"/>
      <c r="E145" s="249"/>
      <c r="F145" s="156"/>
      <c r="G145" s="1073"/>
      <c r="H145" s="196"/>
      <c r="I145" s="1039"/>
      <c r="J145" s="1043"/>
      <c r="K145" s="1043"/>
      <c r="L145" s="1043"/>
      <c r="M145" s="1043"/>
      <c r="N145" s="1043"/>
      <c r="O145" s="1043"/>
      <c r="P145" s="1043"/>
      <c r="Q145" s="1043"/>
      <c r="R145" s="1043"/>
      <c r="S145" s="1043"/>
      <c r="T145" s="1043"/>
      <c r="U145" s="1043"/>
      <c r="V145" s="1043"/>
      <c r="W145" s="1043"/>
      <c r="X145" s="1043"/>
      <c r="Y145" s="1043"/>
      <c r="Z145" s="1043"/>
      <c r="AA145" s="1043"/>
      <c r="AB145" s="1043"/>
      <c r="AC145" s="1043"/>
      <c r="AD145" s="1043"/>
      <c r="AE145" s="1043"/>
      <c r="AF145" s="1043"/>
      <c r="AG145" s="1043"/>
      <c r="AH145" s="1043"/>
      <c r="AI145" s="1043"/>
      <c r="AJ145" s="1043"/>
      <c r="AK145" s="1043"/>
      <c r="AL145" s="1043"/>
      <c r="AM145" s="1043"/>
      <c r="AN145" s="1043"/>
      <c r="AO145" s="1043"/>
      <c r="AP145" s="1043"/>
      <c r="AQ145" s="1043"/>
      <c r="AR145" s="1043"/>
      <c r="AS145" s="1043"/>
      <c r="AT145" s="1043"/>
      <c r="AU145" s="1043"/>
      <c r="AV145" s="1043"/>
      <c r="AW145" s="1043"/>
      <c r="AX145" s="1043"/>
      <c r="AY145" s="1043"/>
      <c r="AZ145" s="1043"/>
      <c r="BA145" s="1043"/>
      <c r="BB145" s="1043"/>
      <c r="BC145" s="1043"/>
      <c r="BD145" s="1043"/>
      <c r="BE145" s="1043"/>
      <c r="BF145" s="1043"/>
      <c r="BG145" s="1043"/>
      <c r="BH145" s="1043"/>
      <c r="BI145" s="1043"/>
      <c r="BJ145" s="1039"/>
      <c r="BK145" s="1039"/>
      <c r="BL145" s="1039"/>
      <c r="BM145" s="1039"/>
      <c r="BN145" s="1039"/>
      <c r="BO145" s="1039"/>
      <c r="BP145" s="1039"/>
      <c r="BQ145" s="1039"/>
      <c r="BR145" s="1039"/>
      <c r="BS145" s="1039"/>
      <c r="BT145" s="1039"/>
      <c r="BU145" s="1039"/>
      <c r="BV145" s="1043"/>
      <c r="BW145" s="990"/>
      <c r="BX145" s="978"/>
      <c r="BY145" s="978"/>
      <c r="BZ145" s="978"/>
      <c r="CA145" s="177"/>
      <c r="CB145" s="177"/>
      <c r="CC145" s="177"/>
      <c r="CD145" s="177"/>
      <c r="CE145" s="177"/>
      <c r="CF145" s="177"/>
      <c r="CG145" s="177"/>
      <c r="CH145" s="981"/>
      <c r="CI145" s="1018"/>
      <c r="CJ145" s="990"/>
      <c r="CK145" s="978"/>
      <c r="CL145" s="978"/>
      <c r="CM145" s="978"/>
      <c r="CN145" s="177"/>
      <c r="CO145" s="177"/>
      <c r="CP145" s="978"/>
      <c r="CQ145" s="978"/>
      <c r="CR145" s="978"/>
      <c r="CS145" s="978"/>
      <c r="CT145" s="978"/>
      <c r="CU145" s="1013"/>
      <c r="CV145" s="1120"/>
      <c r="CW145" s="990"/>
      <c r="CX145" s="978"/>
      <c r="CY145" s="978"/>
      <c r="CZ145" s="978"/>
      <c r="DA145" s="978"/>
      <c r="DB145" s="978"/>
      <c r="DC145" s="978"/>
      <c r="DD145" s="978"/>
      <c r="DE145" s="978"/>
      <c r="DF145" s="978"/>
      <c r="DG145" s="978"/>
      <c r="DH145" s="1013"/>
      <c r="DI145" s="1120"/>
      <c r="DJ145" s="973"/>
      <c r="DK145" s="215"/>
    </row>
    <row r="146" spans="1:117" ht="15" customHeight="1" x14ac:dyDescent="0.25">
      <c r="A146" s="1048">
        <v>221</v>
      </c>
      <c r="B146" s="1105" t="s">
        <v>87</v>
      </c>
      <c r="C146" s="1069" t="s">
        <v>292</v>
      </c>
      <c r="D146" s="1070" t="s">
        <v>293</v>
      </c>
      <c r="E146" s="151"/>
      <c r="F146" s="149"/>
      <c r="G146" s="1071">
        <f>F146+F147+F148+F149+F150+F151+F152+F153+F154</f>
        <v>240</v>
      </c>
      <c r="H146" s="194"/>
      <c r="I146" s="1037"/>
      <c r="J146" s="1043"/>
      <c r="K146" s="1043">
        <v>1</v>
      </c>
      <c r="L146" s="1043"/>
      <c r="M146" s="1043"/>
      <c r="N146" s="1043"/>
      <c r="O146" s="1043">
        <v>1</v>
      </c>
      <c r="P146" s="1043"/>
      <c r="Q146" s="1043">
        <v>2</v>
      </c>
      <c r="R146" s="1043"/>
      <c r="S146" s="1043"/>
      <c r="T146" s="1043"/>
      <c r="U146" s="1043"/>
      <c r="V146" s="1043">
        <f>SUM(J146:U154)</f>
        <v>4</v>
      </c>
      <c r="W146" s="1043"/>
      <c r="X146" s="1043">
        <v>2</v>
      </c>
      <c r="Y146" s="1043">
        <v>1</v>
      </c>
      <c r="Z146" s="1043"/>
      <c r="AA146" s="1043">
        <v>1</v>
      </c>
      <c r="AB146" s="1043"/>
      <c r="AC146" s="1043"/>
      <c r="AD146" s="1043"/>
      <c r="AE146" s="1043"/>
      <c r="AF146" s="1043"/>
      <c r="AG146" s="1043"/>
      <c r="AH146" s="1043"/>
      <c r="AI146" s="1043">
        <f>SUM(W146:AH154)</f>
        <v>4</v>
      </c>
      <c r="AJ146" s="1043">
        <v>1</v>
      </c>
      <c r="AK146" s="1043"/>
      <c r="AL146" s="1043">
        <v>2</v>
      </c>
      <c r="AM146" s="1043">
        <v>5</v>
      </c>
      <c r="AN146" s="1043"/>
      <c r="AO146" s="1043">
        <v>1</v>
      </c>
      <c r="AP146" s="1043">
        <v>2</v>
      </c>
      <c r="AQ146" s="1043">
        <v>5</v>
      </c>
      <c r="AR146" s="1043"/>
      <c r="AS146" s="1043"/>
      <c r="AT146" s="1043">
        <v>1</v>
      </c>
      <c r="AU146" s="1043"/>
      <c r="AV146" s="1043">
        <f>SUM(AJ146:AU154)</f>
        <v>17</v>
      </c>
      <c r="AW146" s="1043">
        <v>1</v>
      </c>
      <c r="AX146" s="1043">
        <v>1</v>
      </c>
      <c r="AY146" s="1043"/>
      <c r="AZ146" s="1043">
        <v>2</v>
      </c>
      <c r="BA146" s="1043"/>
      <c r="BB146" s="1043"/>
      <c r="BC146" s="1043"/>
      <c r="BD146" s="1043"/>
      <c r="BE146" s="1043"/>
      <c r="BF146" s="1043"/>
      <c r="BG146" s="1043">
        <v>1</v>
      </c>
      <c r="BH146" s="1043"/>
      <c r="BI146" s="1043">
        <f>SUM(AW146:BH154)</f>
        <v>5</v>
      </c>
      <c r="BJ146" s="1037">
        <v>2</v>
      </c>
      <c r="BK146" s="1037">
        <v>2</v>
      </c>
      <c r="BL146" s="1037">
        <v>1</v>
      </c>
      <c r="BM146" s="1037">
        <v>2</v>
      </c>
      <c r="BN146" s="1037">
        <v>3</v>
      </c>
      <c r="BO146" s="1037"/>
      <c r="BP146" s="1037"/>
      <c r="BQ146" s="1037"/>
      <c r="BR146" s="1037"/>
      <c r="BS146" s="1037"/>
      <c r="BT146" s="1037">
        <v>4</v>
      </c>
      <c r="BU146" s="1037">
        <v>6</v>
      </c>
      <c r="BV146" s="1043">
        <f>SUM(BJ146:BU154)</f>
        <v>20</v>
      </c>
      <c r="BW146" s="988">
        <v>1</v>
      </c>
      <c r="BX146" s="976">
        <v>5</v>
      </c>
      <c r="BY146" s="175"/>
      <c r="BZ146" s="175"/>
      <c r="CA146" s="976">
        <v>5</v>
      </c>
      <c r="CB146" s="976">
        <v>2</v>
      </c>
      <c r="CC146" s="976">
        <v>3</v>
      </c>
      <c r="CD146" s="175"/>
      <c r="CE146" s="976">
        <v>2</v>
      </c>
      <c r="CF146" s="175"/>
      <c r="CG146" s="175"/>
      <c r="CH146" s="184"/>
      <c r="CI146" s="1018">
        <f>SUM(BW146:CH154)</f>
        <v>18</v>
      </c>
      <c r="CJ146" s="988">
        <v>60</v>
      </c>
      <c r="CK146" s="976"/>
      <c r="CL146" s="976">
        <v>2</v>
      </c>
      <c r="CM146" s="175"/>
      <c r="CN146" s="976">
        <v>60</v>
      </c>
      <c r="CO146" s="976"/>
      <c r="CP146" s="976"/>
      <c r="CQ146" s="175"/>
      <c r="CR146" s="976">
        <v>30</v>
      </c>
      <c r="CS146" s="175"/>
      <c r="CT146" s="175"/>
      <c r="CU146" s="184"/>
      <c r="CV146" s="1018">
        <f>SUM(CJ146:CU154)</f>
        <v>152</v>
      </c>
      <c r="CW146" s="988"/>
      <c r="CX146" s="976">
        <v>7</v>
      </c>
      <c r="CY146" s="976"/>
      <c r="CZ146" s="976"/>
      <c r="DA146" s="976"/>
      <c r="DB146" s="976"/>
      <c r="DC146" s="976"/>
      <c r="DD146" s="976"/>
      <c r="DE146" s="976">
        <v>15</v>
      </c>
      <c r="DF146" s="976">
        <v>2</v>
      </c>
      <c r="DG146" s="976"/>
      <c r="DH146" s="979"/>
      <c r="DI146" s="1018">
        <f>SUM(CW146:DH154)</f>
        <v>24</v>
      </c>
      <c r="DJ146" s="971">
        <f>BI146+V146+AI146+AV146+BI146+BV146+CI146+CV146+DI146</f>
        <v>249</v>
      </c>
      <c r="DK146" s="230">
        <f>H150-DJ146</f>
        <v>-9</v>
      </c>
    </row>
    <row r="147" spans="1:117" ht="15" customHeight="1" x14ac:dyDescent="0.25">
      <c r="A147" s="1048"/>
      <c r="B147" s="1105"/>
      <c r="C147" s="1069"/>
      <c r="D147" s="1070"/>
      <c r="E147" s="152" t="s">
        <v>225</v>
      </c>
      <c r="F147" s="150">
        <v>30</v>
      </c>
      <c r="G147" s="1072"/>
      <c r="H147" s="195"/>
      <c r="I147" s="1038"/>
      <c r="J147" s="1043"/>
      <c r="K147" s="1043"/>
      <c r="L147" s="1043"/>
      <c r="M147" s="1043"/>
      <c r="N147" s="1043"/>
      <c r="O147" s="1043"/>
      <c r="P147" s="1043"/>
      <c r="Q147" s="1043"/>
      <c r="R147" s="1043"/>
      <c r="S147" s="1043"/>
      <c r="T147" s="1043"/>
      <c r="U147" s="1043"/>
      <c r="V147" s="1043"/>
      <c r="W147" s="1043"/>
      <c r="X147" s="1043"/>
      <c r="Y147" s="1043"/>
      <c r="Z147" s="1043"/>
      <c r="AA147" s="1043"/>
      <c r="AB147" s="1043"/>
      <c r="AC147" s="1043"/>
      <c r="AD147" s="1043"/>
      <c r="AE147" s="1043"/>
      <c r="AF147" s="1043"/>
      <c r="AG147" s="1043"/>
      <c r="AH147" s="1043"/>
      <c r="AI147" s="1043"/>
      <c r="AJ147" s="1043"/>
      <c r="AK147" s="1043"/>
      <c r="AL147" s="1043"/>
      <c r="AM147" s="1043"/>
      <c r="AN147" s="1043"/>
      <c r="AO147" s="1043"/>
      <c r="AP147" s="1043"/>
      <c r="AQ147" s="1043"/>
      <c r="AR147" s="1043"/>
      <c r="AS147" s="1043"/>
      <c r="AT147" s="1043"/>
      <c r="AU147" s="1043"/>
      <c r="AV147" s="1043"/>
      <c r="AW147" s="1043"/>
      <c r="AX147" s="1043"/>
      <c r="AY147" s="1043"/>
      <c r="AZ147" s="1043"/>
      <c r="BA147" s="1043"/>
      <c r="BB147" s="1043"/>
      <c r="BC147" s="1043"/>
      <c r="BD147" s="1043"/>
      <c r="BE147" s="1043"/>
      <c r="BF147" s="1043"/>
      <c r="BG147" s="1043"/>
      <c r="BH147" s="1043"/>
      <c r="BI147" s="1043"/>
      <c r="BJ147" s="1038"/>
      <c r="BK147" s="1038"/>
      <c r="BL147" s="1038"/>
      <c r="BM147" s="1038"/>
      <c r="BN147" s="1038"/>
      <c r="BO147" s="1038"/>
      <c r="BP147" s="1038"/>
      <c r="BQ147" s="1038"/>
      <c r="BR147" s="1038"/>
      <c r="BS147" s="1038"/>
      <c r="BT147" s="1038"/>
      <c r="BU147" s="1038"/>
      <c r="BV147" s="1043"/>
      <c r="BW147" s="989"/>
      <c r="BX147" s="977"/>
      <c r="BY147" s="176"/>
      <c r="BZ147" s="176"/>
      <c r="CA147" s="977"/>
      <c r="CB147" s="977"/>
      <c r="CC147" s="977"/>
      <c r="CD147" s="176"/>
      <c r="CE147" s="977"/>
      <c r="CF147" s="176"/>
      <c r="CG147" s="176"/>
      <c r="CH147" s="185"/>
      <c r="CI147" s="1018"/>
      <c r="CJ147" s="989"/>
      <c r="CK147" s="977"/>
      <c r="CL147" s="977"/>
      <c r="CM147" s="176"/>
      <c r="CN147" s="977"/>
      <c r="CO147" s="977"/>
      <c r="CP147" s="977"/>
      <c r="CQ147" s="176"/>
      <c r="CR147" s="977"/>
      <c r="CS147" s="176"/>
      <c r="CT147" s="176"/>
      <c r="CU147" s="185"/>
      <c r="CV147" s="1018"/>
      <c r="CW147" s="989"/>
      <c r="CX147" s="977"/>
      <c r="CY147" s="977"/>
      <c r="CZ147" s="977"/>
      <c r="DA147" s="977"/>
      <c r="DB147" s="977"/>
      <c r="DC147" s="977"/>
      <c r="DD147" s="977"/>
      <c r="DE147" s="977"/>
      <c r="DF147" s="977"/>
      <c r="DG147" s="977"/>
      <c r="DH147" s="980"/>
      <c r="DI147" s="1018"/>
      <c r="DJ147" s="972"/>
      <c r="DK147" s="214"/>
    </row>
    <row r="148" spans="1:117" ht="15" customHeight="1" x14ac:dyDescent="0.25">
      <c r="A148" s="1048"/>
      <c r="B148" s="1105"/>
      <c r="C148" s="1069"/>
      <c r="D148" s="1070"/>
      <c r="E148" s="152" t="s">
        <v>294</v>
      </c>
      <c r="F148" s="150">
        <v>30</v>
      </c>
      <c r="G148" s="1072"/>
      <c r="H148" s="195"/>
      <c r="I148" s="1038"/>
      <c r="J148" s="1043"/>
      <c r="K148" s="1043"/>
      <c r="L148" s="1043"/>
      <c r="M148" s="1043"/>
      <c r="N148" s="1043"/>
      <c r="O148" s="1043"/>
      <c r="P148" s="1043"/>
      <c r="Q148" s="1043"/>
      <c r="R148" s="1043"/>
      <c r="S148" s="1043"/>
      <c r="T148" s="1043"/>
      <c r="U148" s="1043"/>
      <c r="V148" s="1043"/>
      <c r="W148" s="1043"/>
      <c r="X148" s="1043"/>
      <c r="Y148" s="1043"/>
      <c r="Z148" s="1043"/>
      <c r="AA148" s="1043"/>
      <c r="AB148" s="1043"/>
      <c r="AC148" s="1043"/>
      <c r="AD148" s="1043"/>
      <c r="AE148" s="1043"/>
      <c r="AF148" s="1043"/>
      <c r="AG148" s="1043"/>
      <c r="AH148" s="1043"/>
      <c r="AI148" s="1043"/>
      <c r="AJ148" s="1043"/>
      <c r="AK148" s="1043"/>
      <c r="AL148" s="1043"/>
      <c r="AM148" s="1043"/>
      <c r="AN148" s="1043"/>
      <c r="AO148" s="1043"/>
      <c r="AP148" s="1043"/>
      <c r="AQ148" s="1043"/>
      <c r="AR148" s="1043"/>
      <c r="AS148" s="1043"/>
      <c r="AT148" s="1043"/>
      <c r="AU148" s="1043"/>
      <c r="AV148" s="1043"/>
      <c r="AW148" s="1043"/>
      <c r="AX148" s="1043"/>
      <c r="AY148" s="1043"/>
      <c r="AZ148" s="1043"/>
      <c r="BA148" s="1043"/>
      <c r="BB148" s="1043"/>
      <c r="BC148" s="1043"/>
      <c r="BD148" s="1043"/>
      <c r="BE148" s="1043"/>
      <c r="BF148" s="1043"/>
      <c r="BG148" s="1043"/>
      <c r="BH148" s="1043"/>
      <c r="BI148" s="1043"/>
      <c r="BJ148" s="1038"/>
      <c r="BK148" s="1038"/>
      <c r="BL148" s="1038"/>
      <c r="BM148" s="1038"/>
      <c r="BN148" s="1038"/>
      <c r="BO148" s="1038"/>
      <c r="BP148" s="1038"/>
      <c r="BQ148" s="1038"/>
      <c r="BR148" s="1038"/>
      <c r="BS148" s="1038"/>
      <c r="BT148" s="1038"/>
      <c r="BU148" s="1038"/>
      <c r="BV148" s="1043"/>
      <c r="BW148" s="989"/>
      <c r="BX148" s="977"/>
      <c r="BY148" s="176"/>
      <c r="BZ148" s="176"/>
      <c r="CA148" s="977"/>
      <c r="CB148" s="977"/>
      <c r="CC148" s="977"/>
      <c r="CD148" s="176"/>
      <c r="CE148" s="977"/>
      <c r="CF148" s="176"/>
      <c r="CG148" s="176"/>
      <c r="CH148" s="185"/>
      <c r="CI148" s="1018"/>
      <c r="CJ148" s="989"/>
      <c r="CK148" s="977"/>
      <c r="CL148" s="977"/>
      <c r="CM148" s="176"/>
      <c r="CN148" s="977"/>
      <c r="CO148" s="977"/>
      <c r="CP148" s="977"/>
      <c r="CQ148" s="176"/>
      <c r="CR148" s="977"/>
      <c r="CS148" s="176"/>
      <c r="CT148" s="176"/>
      <c r="CU148" s="185"/>
      <c r="CV148" s="1018"/>
      <c r="CW148" s="989"/>
      <c r="CX148" s="977"/>
      <c r="CY148" s="977"/>
      <c r="CZ148" s="977"/>
      <c r="DA148" s="977"/>
      <c r="DB148" s="977"/>
      <c r="DC148" s="977"/>
      <c r="DD148" s="977"/>
      <c r="DE148" s="977"/>
      <c r="DF148" s="977"/>
      <c r="DG148" s="977"/>
      <c r="DH148" s="980"/>
      <c r="DI148" s="1018"/>
      <c r="DJ148" s="972"/>
      <c r="DK148" s="214"/>
    </row>
    <row r="149" spans="1:117" ht="15" customHeight="1" x14ac:dyDescent="0.25">
      <c r="A149" s="1048"/>
      <c r="B149" s="1105"/>
      <c r="C149" s="1069"/>
      <c r="D149" s="1070"/>
      <c r="E149" s="152" t="s">
        <v>295</v>
      </c>
      <c r="F149" s="150">
        <v>30</v>
      </c>
      <c r="G149" s="1072"/>
      <c r="H149" s="195"/>
      <c r="I149" s="1038"/>
      <c r="J149" s="1043"/>
      <c r="K149" s="1043"/>
      <c r="L149" s="1043"/>
      <c r="M149" s="1043"/>
      <c r="N149" s="1043"/>
      <c r="O149" s="1043"/>
      <c r="P149" s="1043"/>
      <c r="Q149" s="1043"/>
      <c r="R149" s="1043"/>
      <c r="S149" s="1043"/>
      <c r="T149" s="1043"/>
      <c r="U149" s="1043"/>
      <c r="V149" s="1043"/>
      <c r="W149" s="1043"/>
      <c r="X149" s="1043"/>
      <c r="Y149" s="1043"/>
      <c r="Z149" s="1043"/>
      <c r="AA149" s="1043"/>
      <c r="AB149" s="1043"/>
      <c r="AC149" s="1043"/>
      <c r="AD149" s="1043"/>
      <c r="AE149" s="1043"/>
      <c r="AF149" s="1043"/>
      <c r="AG149" s="1043"/>
      <c r="AH149" s="1043"/>
      <c r="AI149" s="1043"/>
      <c r="AJ149" s="1043"/>
      <c r="AK149" s="1043"/>
      <c r="AL149" s="1043"/>
      <c r="AM149" s="1043"/>
      <c r="AN149" s="1043"/>
      <c r="AO149" s="1043"/>
      <c r="AP149" s="1043"/>
      <c r="AQ149" s="1043"/>
      <c r="AR149" s="1043"/>
      <c r="AS149" s="1043"/>
      <c r="AT149" s="1043"/>
      <c r="AU149" s="1043"/>
      <c r="AV149" s="1043"/>
      <c r="AW149" s="1043"/>
      <c r="AX149" s="1043"/>
      <c r="AY149" s="1043"/>
      <c r="AZ149" s="1043"/>
      <c r="BA149" s="1043"/>
      <c r="BB149" s="1043"/>
      <c r="BC149" s="1043"/>
      <c r="BD149" s="1043"/>
      <c r="BE149" s="1043"/>
      <c r="BF149" s="1043"/>
      <c r="BG149" s="1043"/>
      <c r="BH149" s="1043"/>
      <c r="BI149" s="1043"/>
      <c r="BJ149" s="1038"/>
      <c r="BK149" s="1038"/>
      <c r="BL149" s="1038"/>
      <c r="BM149" s="1038"/>
      <c r="BN149" s="1038"/>
      <c r="BO149" s="1038"/>
      <c r="BP149" s="1038"/>
      <c r="BQ149" s="1038"/>
      <c r="BR149" s="1038"/>
      <c r="BS149" s="1038"/>
      <c r="BT149" s="1038"/>
      <c r="BU149" s="1038"/>
      <c r="BV149" s="1043"/>
      <c r="BW149" s="989"/>
      <c r="BX149" s="977"/>
      <c r="BY149" s="176"/>
      <c r="BZ149" s="176"/>
      <c r="CA149" s="977"/>
      <c r="CB149" s="977"/>
      <c r="CC149" s="977"/>
      <c r="CD149" s="176"/>
      <c r="CE149" s="977"/>
      <c r="CF149" s="176"/>
      <c r="CG149" s="176"/>
      <c r="CH149" s="185"/>
      <c r="CI149" s="1018"/>
      <c r="CJ149" s="989"/>
      <c r="CK149" s="977"/>
      <c r="CL149" s="977"/>
      <c r="CM149" s="176"/>
      <c r="CN149" s="977"/>
      <c r="CO149" s="977"/>
      <c r="CP149" s="977"/>
      <c r="CQ149" s="176"/>
      <c r="CR149" s="977"/>
      <c r="CS149" s="176"/>
      <c r="CT149" s="176"/>
      <c r="CU149" s="185"/>
      <c r="CV149" s="1018"/>
      <c r="CW149" s="989"/>
      <c r="CX149" s="977"/>
      <c r="CY149" s="977"/>
      <c r="CZ149" s="977"/>
      <c r="DA149" s="977"/>
      <c r="DB149" s="977"/>
      <c r="DC149" s="977"/>
      <c r="DD149" s="977"/>
      <c r="DE149" s="977"/>
      <c r="DF149" s="977"/>
      <c r="DG149" s="977"/>
      <c r="DH149" s="980"/>
      <c r="DI149" s="1018"/>
      <c r="DJ149" s="972"/>
      <c r="DK149" s="214"/>
    </row>
    <row r="150" spans="1:117" ht="15" customHeight="1" x14ac:dyDescent="0.25">
      <c r="A150" s="1048"/>
      <c r="B150" s="1105"/>
      <c r="C150" s="1069"/>
      <c r="D150" s="1070"/>
      <c r="E150" s="152" t="s">
        <v>296</v>
      </c>
      <c r="F150" s="150">
        <v>30</v>
      </c>
      <c r="G150" s="1072"/>
      <c r="H150" s="228">
        <f>ROUNDDOWN(($H$2-D146)/365,0)*30</f>
        <v>240</v>
      </c>
      <c r="I150" s="1038"/>
      <c r="J150" s="1043"/>
      <c r="K150" s="1043"/>
      <c r="L150" s="1043"/>
      <c r="M150" s="1043"/>
      <c r="N150" s="1043"/>
      <c r="O150" s="1043"/>
      <c r="P150" s="1043"/>
      <c r="Q150" s="1043"/>
      <c r="R150" s="1043"/>
      <c r="S150" s="1043"/>
      <c r="T150" s="1043"/>
      <c r="U150" s="1043"/>
      <c r="V150" s="1043"/>
      <c r="W150" s="1043"/>
      <c r="X150" s="1043"/>
      <c r="Y150" s="1043"/>
      <c r="Z150" s="1043"/>
      <c r="AA150" s="1043"/>
      <c r="AB150" s="1043"/>
      <c r="AC150" s="1043"/>
      <c r="AD150" s="1043"/>
      <c r="AE150" s="1043"/>
      <c r="AF150" s="1043"/>
      <c r="AG150" s="1043"/>
      <c r="AH150" s="1043"/>
      <c r="AI150" s="1043"/>
      <c r="AJ150" s="1043"/>
      <c r="AK150" s="1043"/>
      <c r="AL150" s="1043"/>
      <c r="AM150" s="1043"/>
      <c r="AN150" s="1043"/>
      <c r="AO150" s="1043"/>
      <c r="AP150" s="1043"/>
      <c r="AQ150" s="1043"/>
      <c r="AR150" s="1043"/>
      <c r="AS150" s="1043"/>
      <c r="AT150" s="1043"/>
      <c r="AU150" s="1043"/>
      <c r="AV150" s="1043"/>
      <c r="AW150" s="1043"/>
      <c r="AX150" s="1043"/>
      <c r="AY150" s="1043"/>
      <c r="AZ150" s="1043"/>
      <c r="BA150" s="1043"/>
      <c r="BB150" s="1043"/>
      <c r="BC150" s="1043"/>
      <c r="BD150" s="1043"/>
      <c r="BE150" s="1043"/>
      <c r="BF150" s="1043"/>
      <c r="BG150" s="1043"/>
      <c r="BH150" s="1043"/>
      <c r="BI150" s="1043"/>
      <c r="BJ150" s="1038"/>
      <c r="BK150" s="1038"/>
      <c r="BL150" s="1038"/>
      <c r="BM150" s="1038"/>
      <c r="BN150" s="1038"/>
      <c r="BO150" s="1038"/>
      <c r="BP150" s="1038"/>
      <c r="BQ150" s="1038"/>
      <c r="BR150" s="1038"/>
      <c r="BS150" s="1038"/>
      <c r="BT150" s="1038"/>
      <c r="BU150" s="1038"/>
      <c r="BV150" s="1043"/>
      <c r="BW150" s="989"/>
      <c r="BX150" s="977"/>
      <c r="BY150" s="176"/>
      <c r="BZ150" s="176"/>
      <c r="CA150" s="977"/>
      <c r="CB150" s="977"/>
      <c r="CC150" s="977"/>
      <c r="CD150" s="176"/>
      <c r="CE150" s="977"/>
      <c r="CF150" s="176"/>
      <c r="CG150" s="176"/>
      <c r="CH150" s="185"/>
      <c r="CI150" s="1018"/>
      <c r="CJ150" s="989"/>
      <c r="CK150" s="977"/>
      <c r="CL150" s="977"/>
      <c r="CM150" s="176"/>
      <c r="CN150" s="977"/>
      <c r="CO150" s="977"/>
      <c r="CP150" s="977"/>
      <c r="CQ150" s="176"/>
      <c r="CR150" s="977"/>
      <c r="CS150" s="176"/>
      <c r="CT150" s="176"/>
      <c r="CU150" s="185"/>
      <c r="CV150" s="1018"/>
      <c r="CW150" s="989"/>
      <c r="CX150" s="977"/>
      <c r="CY150" s="977"/>
      <c r="CZ150" s="977"/>
      <c r="DA150" s="977"/>
      <c r="DB150" s="977"/>
      <c r="DC150" s="977"/>
      <c r="DD150" s="977"/>
      <c r="DE150" s="977"/>
      <c r="DF150" s="977"/>
      <c r="DG150" s="977"/>
      <c r="DH150" s="980"/>
      <c r="DI150" s="1018"/>
      <c r="DJ150" s="972"/>
      <c r="DK150" s="214"/>
    </row>
    <row r="151" spans="1:117" ht="15" customHeight="1" x14ac:dyDescent="0.25">
      <c r="A151" s="1048"/>
      <c r="B151" s="1105"/>
      <c r="C151" s="1069"/>
      <c r="D151" s="1070"/>
      <c r="E151" s="152" t="s">
        <v>297</v>
      </c>
      <c r="F151" s="150">
        <v>30</v>
      </c>
      <c r="G151" s="1072"/>
      <c r="H151" s="195"/>
      <c r="I151" s="1038"/>
      <c r="J151" s="1043"/>
      <c r="K151" s="1043"/>
      <c r="L151" s="1043"/>
      <c r="M151" s="1043"/>
      <c r="N151" s="1043"/>
      <c r="O151" s="1043"/>
      <c r="P151" s="1043"/>
      <c r="Q151" s="1043"/>
      <c r="R151" s="1043"/>
      <c r="S151" s="1043"/>
      <c r="T151" s="1043"/>
      <c r="U151" s="1043"/>
      <c r="V151" s="1043"/>
      <c r="W151" s="1043"/>
      <c r="X151" s="1043"/>
      <c r="Y151" s="1043"/>
      <c r="Z151" s="1043"/>
      <c r="AA151" s="1043"/>
      <c r="AB151" s="1043"/>
      <c r="AC151" s="1043"/>
      <c r="AD151" s="1043"/>
      <c r="AE151" s="1043"/>
      <c r="AF151" s="1043"/>
      <c r="AG151" s="1043"/>
      <c r="AH151" s="1043"/>
      <c r="AI151" s="1043"/>
      <c r="AJ151" s="1043"/>
      <c r="AK151" s="1043"/>
      <c r="AL151" s="1043"/>
      <c r="AM151" s="1043"/>
      <c r="AN151" s="1043"/>
      <c r="AO151" s="1043"/>
      <c r="AP151" s="1043"/>
      <c r="AQ151" s="1043"/>
      <c r="AR151" s="1043"/>
      <c r="AS151" s="1043"/>
      <c r="AT151" s="1043"/>
      <c r="AU151" s="1043"/>
      <c r="AV151" s="1043"/>
      <c r="AW151" s="1043"/>
      <c r="AX151" s="1043"/>
      <c r="AY151" s="1043"/>
      <c r="AZ151" s="1043"/>
      <c r="BA151" s="1043"/>
      <c r="BB151" s="1043"/>
      <c r="BC151" s="1043"/>
      <c r="BD151" s="1043"/>
      <c r="BE151" s="1043"/>
      <c r="BF151" s="1043"/>
      <c r="BG151" s="1043"/>
      <c r="BH151" s="1043"/>
      <c r="BI151" s="1043"/>
      <c r="BJ151" s="1038"/>
      <c r="BK151" s="1038"/>
      <c r="BL151" s="1038"/>
      <c r="BM151" s="1038"/>
      <c r="BN151" s="1038"/>
      <c r="BO151" s="1038"/>
      <c r="BP151" s="1038"/>
      <c r="BQ151" s="1038"/>
      <c r="BR151" s="1038"/>
      <c r="BS151" s="1038"/>
      <c r="BT151" s="1038"/>
      <c r="BU151" s="1038"/>
      <c r="BV151" s="1043"/>
      <c r="BW151" s="989"/>
      <c r="BX151" s="977"/>
      <c r="BY151" s="176"/>
      <c r="BZ151" s="176"/>
      <c r="CA151" s="977"/>
      <c r="CB151" s="977"/>
      <c r="CC151" s="977"/>
      <c r="CD151" s="176"/>
      <c r="CE151" s="977"/>
      <c r="CF151" s="176"/>
      <c r="CG151" s="176"/>
      <c r="CH151" s="185"/>
      <c r="CI151" s="1018"/>
      <c r="CJ151" s="989"/>
      <c r="CK151" s="977"/>
      <c r="CL151" s="977"/>
      <c r="CM151" s="176"/>
      <c r="CN151" s="977"/>
      <c r="CO151" s="977"/>
      <c r="CP151" s="977"/>
      <c r="CQ151" s="176"/>
      <c r="CR151" s="977"/>
      <c r="CS151" s="176"/>
      <c r="CT151" s="176"/>
      <c r="CU151" s="185"/>
      <c r="CV151" s="1018"/>
      <c r="CW151" s="989"/>
      <c r="CX151" s="977"/>
      <c r="CY151" s="977"/>
      <c r="CZ151" s="977"/>
      <c r="DA151" s="977"/>
      <c r="DB151" s="977"/>
      <c r="DC151" s="977"/>
      <c r="DD151" s="977"/>
      <c r="DE151" s="977"/>
      <c r="DF151" s="977"/>
      <c r="DG151" s="977"/>
      <c r="DH151" s="980"/>
      <c r="DI151" s="1018"/>
      <c r="DJ151" s="972"/>
      <c r="DK151" s="214"/>
    </row>
    <row r="152" spans="1:117" ht="15" customHeight="1" x14ac:dyDescent="0.25">
      <c r="A152" s="1048"/>
      <c r="B152" s="1105"/>
      <c r="C152" s="1069"/>
      <c r="D152" s="1070"/>
      <c r="E152" s="152" t="s">
        <v>298</v>
      </c>
      <c r="F152" s="150">
        <v>30</v>
      </c>
      <c r="G152" s="1072"/>
      <c r="H152" s="195"/>
      <c r="I152" s="1038"/>
      <c r="J152" s="1043"/>
      <c r="K152" s="1043"/>
      <c r="L152" s="1043"/>
      <c r="M152" s="1043"/>
      <c r="N152" s="1043"/>
      <c r="O152" s="1043"/>
      <c r="P152" s="1043"/>
      <c r="Q152" s="1043"/>
      <c r="R152" s="1043"/>
      <c r="S152" s="1043"/>
      <c r="T152" s="1043"/>
      <c r="U152" s="1043"/>
      <c r="V152" s="1043"/>
      <c r="W152" s="1043"/>
      <c r="X152" s="1043"/>
      <c r="Y152" s="1043"/>
      <c r="Z152" s="1043"/>
      <c r="AA152" s="1043"/>
      <c r="AB152" s="1043"/>
      <c r="AC152" s="1043"/>
      <c r="AD152" s="1043"/>
      <c r="AE152" s="1043"/>
      <c r="AF152" s="1043"/>
      <c r="AG152" s="1043"/>
      <c r="AH152" s="1043"/>
      <c r="AI152" s="1043"/>
      <c r="AJ152" s="1043"/>
      <c r="AK152" s="1043"/>
      <c r="AL152" s="1043"/>
      <c r="AM152" s="1043"/>
      <c r="AN152" s="1043"/>
      <c r="AO152" s="1043"/>
      <c r="AP152" s="1043"/>
      <c r="AQ152" s="1043"/>
      <c r="AR152" s="1043"/>
      <c r="AS152" s="1043"/>
      <c r="AT152" s="1043"/>
      <c r="AU152" s="1043"/>
      <c r="AV152" s="1043"/>
      <c r="AW152" s="1043"/>
      <c r="AX152" s="1043"/>
      <c r="AY152" s="1043"/>
      <c r="AZ152" s="1043"/>
      <c r="BA152" s="1043"/>
      <c r="BB152" s="1043"/>
      <c r="BC152" s="1043"/>
      <c r="BD152" s="1043"/>
      <c r="BE152" s="1043"/>
      <c r="BF152" s="1043"/>
      <c r="BG152" s="1043"/>
      <c r="BH152" s="1043"/>
      <c r="BI152" s="1043"/>
      <c r="BJ152" s="1038"/>
      <c r="BK152" s="1038"/>
      <c r="BL152" s="1038"/>
      <c r="BM152" s="1038"/>
      <c r="BN152" s="1038"/>
      <c r="BO152" s="1038"/>
      <c r="BP152" s="1038"/>
      <c r="BQ152" s="1038"/>
      <c r="BR152" s="1038"/>
      <c r="BS152" s="1038"/>
      <c r="BT152" s="1038"/>
      <c r="BU152" s="1038"/>
      <c r="BV152" s="1043"/>
      <c r="BW152" s="989"/>
      <c r="BX152" s="977"/>
      <c r="BY152" s="176"/>
      <c r="BZ152" s="176"/>
      <c r="CA152" s="977"/>
      <c r="CB152" s="977"/>
      <c r="CC152" s="977"/>
      <c r="CD152" s="176"/>
      <c r="CE152" s="977"/>
      <c r="CF152" s="176"/>
      <c r="CG152" s="176"/>
      <c r="CH152" s="185"/>
      <c r="CI152" s="1018"/>
      <c r="CJ152" s="989"/>
      <c r="CK152" s="977"/>
      <c r="CL152" s="977"/>
      <c r="CM152" s="176"/>
      <c r="CN152" s="977"/>
      <c r="CO152" s="977"/>
      <c r="CP152" s="977"/>
      <c r="CQ152" s="176"/>
      <c r="CR152" s="977"/>
      <c r="CS152" s="176"/>
      <c r="CT152" s="176"/>
      <c r="CU152" s="185"/>
      <c r="CV152" s="1018"/>
      <c r="CW152" s="989"/>
      <c r="CX152" s="977"/>
      <c r="CY152" s="977"/>
      <c r="CZ152" s="977"/>
      <c r="DA152" s="977"/>
      <c r="DB152" s="977"/>
      <c r="DC152" s="977"/>
      <c r="DD152" s="977"/>
      <c r="DE152" s="977"/>
      <c r="DF152" s="977"/>
      <c r="DG152" s="977"/>
      <c r="DH152" s="980"/>
      <c r="DI152" s="1018"/>
      <c r="DJ152" s="972"/>
      <c r="DK152" s="214"/>
    </row>
    <row r="153" spans="1:117" ht="15" customHeight="1" x14ac:dyDescent="0.25">
      <c r="A153" s="1048"/>
      <c r="B153" s="985"/>
      <c r="C153" s="1117"/>
      <c r="D153" s="975"/>
      <c r="E153" s="152" t="s">
        <v>299</v>
      </c>
      <c r="F153" s="147">
        <v>30</v>
      </c>
      <c r="G153" s="1072"/>
      <c r="H153" s="195"/>
      <c r="I153" s="1038"/>
      <c r="J153" s="1037"/>
      <c r="K153" s="1037"/>
      <c r="L153" s="1037"/>
      <c r="M153" s="1037"/>
      <c r="N153" s="1037"/>
      <c r="O153" s="1037"/>
      <c r="P153" s="1037"/>
      <c r="Q153" s="1037"/>
      <c r="R153" s="1037"/>
      <c r="S153" s="1037"/>
      <c r="T153" s="1037"/>
      <c r="U153" s="1037"/>
      <c r="V153" s="1037"/>
      <c r="W153" s="1037"/>
      <c r="X153" s="1037"/>
      <c r="Y153" s="1037"/>
      <c r="Z153" s="1037"/>
      <c r="AA153" s="1037"/>
      <c r="AB153" s="1037"/>
      <c r="AC153" s="1037"/>
      <c r="AD153" s="1037"/>
      <c r="AE153" s="1037"/>
      <c r="AF153" s="1037"/>
      <c r="AG153" s="1037"/>
      <c r="AH153" s="1037"/>
      <c r="AI153" s="1037"/>
      <c r="AJ153" s="1037"/>
      <c r="AK153" s="1037"/>
      <c r="AL153" s="1037"/>
      <c r="AM153" s="1037"/>
      <c r="AN153" s="1037"/>
      <c r="AO153" s="1037"/>
      <c r="AP153" s="1037"/>
      <c r="AQ153" s="1037"/>
      <c r="AR153" s="1037"/>
      <c r="AS153" s="1037"/>
      <c r="AT153" s="1037"/>
      <c r="AU153" s="1037"/>
      <c r="AV153" s="1037"/>
      <c r="AW153" s="1037"/>
      <c r="AX153" s="1037"/>
      <c r="AY153" s="1037"/>
      <c r="AZ153" s="1037"/>
      <c r="BA153" s="1037"/>
      <c r="BB153" s="1037"/>
      <c r="BC153" s="1037"/>
      <c r="BD153" s="1037"/>
      <c r="BE153" s="1037"/>
      <c r="BF153" s="1037"/>
      <c r="BG153" s="1037"/>
      <c r="BH153" s="1037"/>
      <c r="BI153" s="1037"/>
      <c r="BJ153" s="1038"/>
      <c r="BK153" s="1038"/>
      <c r="BL153" s="1038"/>
      <c r="BM153" s="1038"/>
      <c r="BN153" s="1038"/>
      <c r="BO153" s="1038"/>
      <c r="BP153" s="1038"/>
      <c r="BQ153" s="1038"/>
      <c r="BR153" s="1038"/>
      <c r="BS153" s="1038"/>
      <c r="BT153" s="1038"/>
      <c r="BU153" s="1038"/>
      <c r="BV153" s="1037"/>
      <c r="BW153" s="989"/>
      <c r="BX153" s="977"/>
      <c r="BY153" s="176"/>
      <c r="BZ153" s="176"/>
      <c r="CA153" s="977"/>
      <c r="CB153" s="977"/>
      <c r="CC153" s="977"/>
      <c r="CD153" s="176"/>
      <c r="CE153" s="977"/>
      <c r="CF153" s="176"/>
      <c r="CG153" s="176"/>
      <c r="CH153" s="185"/>
      <c r="CI153" s="1065"/>
      <c r="CJ153" s="989"/>
      <c r="CK153" s="977"/>
      <c r="CL153" s="977"/>
      <c r="CM153" s="176"/>
      <c r="CN153" s="977"/>
      <c r="CO153" s="977"/>
      <c r="CP153" s="977"/>
      <c r="CQ153" s="176"/>
      <c r="CR153" s="977"/>
      <c r="CS153" s="176"/>
      <c r="CT153" s="176"/>
      <c r="CU153" s="185"/>
      <c r="CV153" s="1065"/>
      <c r="CW153" s="989"/>
      <c r="CX153" s="977"/>
      <c r="CY153" s="977"/>
      <c r="CZ153" s="977"/>
      <c r="DA153" s="977"/>
      <c r="DB153" s="977"/>
      <c r="DC153" s="977"/>
      <c r="DD153" s="977"/>
      <c r="DE153" s="977"/>
      <c r="DF153" s="977"/>
      <c r="DG153" s="977"/>
      <c r="DH153" s="980"/>
      <c r="DI153" s="1065"/>
      <c r="DJ153" s="972"/>
      <c r="DK153" s="214"/>
    </row>
    <row r="154" spans="1:117" ht="15" customHeight="1" x14ac:dyDescent="0.25">
      <c r="A154" s="1048"/>
      <c r="B154" s="985"/>
      <c r="C154" s="1117"/>
      <c r="D154" s="975"/>
      <c r="E154" s="154" t="s">
        <v>232</v>
      </c>
      <c r="F154" s="147">
        <v>30</v>
      </c>
      <c r="G154" s="1072"/>
      <c r="H154" s="195"/>
      <c r="I154" s="1038"/>
      <c r="J154" s="1037"/>
      <c r="K154" s="1037"/>
      <c r="L154" s="1037"/>
      <c r="M154" s="1037"/>
      <c r="N154" s="1037"/>
      <c r="O154" s="1037"/>
      <c r="P154" s="1037"/>
      <c r="Q154" s="1037"/>
      <c r="R154" s="1037"/>
      <c r="S154" s="1037"/>
      <c r="T154" s="1037"/>
      <c r="U154" s="1037"/>
      <c r="V154" s="1037"/>
      <c r="W154" s="1037"/>
      <c r="X154" s="1037"/>
      <c r="Y154" s="1037"/>
      <c r="Z154" s="1037"/>
      <c r="AA154" s="1037"/>
      <c r="AB154" s="1037"/>
      <c r="AC154" s="1037"/>
      <c r="AD154" s="1037"/>
      <c r="AE154" s="1037"/>
      <c r="AF154" s="1037"/>
      <c r="AG154" s="1037"/>
      <c r="AH154" s="1037"/>
      <c r="AI154" s="1037"/>
      <c r="AJ154" s="1037"/>
      <c r="AK154" s="1037"/>
      <c r="AL154" s="1037"/>
      <c r="AM154" s="1037"/>
      <c r="AN154" s="1037"/>
      <c r="AO154" s="1037"/>
      <c r="AP154" s="1037"/>
      <c r="AQ154" s="1037"/>
      <c r="AR154" s="1037"/>
      <c r="AS154" s="1037"/>
      <c r="AT154" s="1037"/>
      <c r="AU154" s="1037"/>
      <c r="AV154" s="1037"/>
      <c r="AW154" s="1037"/>
      <c r="AX154" s="1037"/>
      <c r="AY154" s="1037"/>
      <c r="AZ154" s="1037"/>
      <c r="BA154" s="1037"/>
      <c r="BB154" s="1037"/>
      <c r="BC154" s="1037"/>
      <c r="BD154" s="1037"/>
      <c r="BE154" s="1037"/>
      <c r="BF154" s="1037"/>
      <c r="BG154" s="1037"/>
      <c r="BH154" s="1037"/>
      <c r="BI154" s="1037"/>
      <c r="BJ154" s="1038"/>
      <c r="BK154" s="1038"/>
      <c r="BL154" s="1038"/>
      <c r="BM154" s="1038"/>
      <c r="BN154" s="1038"/>
      <c r="BO154" s="1038"/>
      <c r="BP154" s="1038"/>
      <c r="BQ154" s="1038"/>
      <c r="BR154" s="1038"/>
      <c r="BS154" s="1038"/>
      <c r="BT154" s="1038"/>
      <c r="BU154" s="1038"/>
      <c r="BV154" s="1037"/>
      <c r="BW154" s="989"/>
      <c r="BX154" s="977"/>
      <c r="BY154" s="176"/>
      <c r="BZ154" s="176"/>
      <c r="CA154" s="977"/>
      <c r="CB154" s="977"/>
      <c r="CC154" s="977"/>
      <c r="CD154" s="176"/>
      <c r="CE154" s="977"/>
      <c r="CF154" s="176"/>
      <c r="CG154" s="176"/>
      <c r="CH154" s="185"/>
      <c r="CI154" s="1065"/>
      <c r="CJ154" s="989"/>
      <c r="CK154" s="977"/>
      <c r="CL154" s="977"/>
      <c r="CM154" s="176"/>
      <c r="CN154" s="977"/>
      <c r="CO154" s="977"/>
      <c r="CP154" s="977"/>
      <c r="CQ154" s="176"/>
      <c r="CR154" s="977"/>
      <c r="CS154" s="176"/>
      <c r="CT154" s="176"/>
      <c r="CU154" s="185"/>
      <c r="CV154" s="1065"/>
      <c r="CW154" s="989"/>
      <c r="CX154" s="977"/>
      <c r="CY154" s="977"/>
      <c r="CZ154" s="978"/>
      <c r="DA154" s="977"/>
      <c r="DB154" s="977"/>
      <c r="DC154" s="977"/>
      <c r="DD154" s="978"/>
      <c r="DE154" s="977"/>
      <c r="DF154" s="978"/>
      <c r="DG154" s="978"/>
      <c r="DH154" s="981"/>
      <c r="DI154" s="1065"/>
      <c r="DJ154" s="972"/>
      <c r="DK154" s="214"/>
    </row>
    <row r="155" spans="1:117" ht="15" customHeight="1" x14ac:dyDescent="0.25">
      <c r="A155" s="1048">
        <v>24</v>
      </c>
      <c r="B155" s="982" t="s">
        <v>127</v>
      </c>
      <c r="C155" s="1117"/>
      <c r="D155" s="975" t="s">
        <v>265</v>
      </c>
      <c r="E155" s="239" t="s">
        <v>221</v>
      </c>
      <c r="F155" s="134">
        <v>30</v>
      </c>
      <c r="G155" s="1071">
        <f>F155+F156+F157</f>
        <v>30</v>
      </c>
      <c r="H155" s="194"/>
      <c r="I155" s="1037"/>
      <c r="J155" s="1037"/>
      <c r="K155" s="1037"/>
      <c r="L155" s="1037"/>
      <c r="M155" s="1037"/>
      <c r="N155" s="1037"/>
      <c r="O155" s="1037"/>
      <c r="P155" s="1037"/>
      <c r="Q155" s="1037"/>
      <c r="R155" s="1037"/>
      <c r="S155" s="1037"/>
      <c r="T155" s="1037"/>
      <c r="U155" s="1037"/>
      <c r="V155" s="1037"/>
      <c r="W155" s="1037"/>
      <c r="X155" s="1037"/>
      <c r="Y155" s="1037"/>
      <c r="Z155" s="1037"/>
      <c r="AA155" s="1037"/>
      <c r="AB155" s="1037"/>
      <c r="AC155" s="1037"/>
      <c r="AD155" s="1037"/>
      <c r="AE155" s="1037"/>
      <c r="AF155" s="1037"/>
      <c r="AG155" s="1037"/>
      <c r="AH155" s="1037"/>
      <c r="AI155" s="1037"/>
      <c r="AJ155" s="1037"/>
      <c r="AK155" s="1037"/>
      <c r="AL155" s="1037"/>
      <c r="AM155" s="1037"/>
      <c r="AN155" s="1037"/>
      <c r="AO155" s="1037"/>
      <c r="AP155" s="1037"/>
      <c r="AQ155" s="1037"/>
      <c r="AR155" s="1037"/>
      <c r="AS155" s="1037"/>
      <c r="AT155" s="1037"/>
      <c r="AU155" s="1037"/>
      <c r="AV155" s="1037"/>
      <c r="AW155" s="1037"/>
      <c r="AX155" s="1037"/>
      <c r="AY155" s="1037"/>
      <c r="AZ155" s="1037"/>
      <c r="BA155" s="1037"/>
      <c r="BB155" s="1037"/>
      <c r="BC155" s="1037"/>
      <c r="BD155" s="1037"/>
      <c r="BE155" s="1037"/>
      <c r="BF155" s="1037"/>
      <c r="BG155" s="1037"/>
      <c r="BH155" s="1037"/>
      <c r="BI155" s="1037"/>
      <c r="BJ155" s="1037"/>
      <c r="BK155" s="137"/>
      <c r="BL155" s="137"/>
      <c r="BM155" s="137"/>
      <c r="BN155" s="137"/>
      <c r="BO155" s="1037"/>
      <c r="BP155" s="1037"/>
      <c r="BQ155" s="137"/>
      <c r="BR155" s="137"/>
      <c r="BS155" s="137"/>
      <c r="BT155" s="137"/>
      <c r="BU155" s="1037"/>
      <c r="BV155" s="1037"/>
      <c r="BW155" s="1028"/>
      <c r="BX155" s="976"/>
      <c r="BY155" s="976"/>
      <c r="BZ155" s="976"/>
      <c r="CA155" s="976"/>
      <c r="CB155" s="976"/>
      <c r="CC155" s="976"/>
      <c r="CD155" s="976"/>
      <c r="CE155" s="976"/>
      <c r="CF155" s="976"/>
      <c r="CG155" s="976"/>
      <c r="CH155" s="979"/>
      <c r="CI155" s="1065">
        <f>SUM(BW155:CH157)</f>
        <v>0</v>
      </c>
      <c r="CJ155" s="1028"/>
      <c r="CK155" s="976"/>
      <c r="CL155" s="976"/>
      <c r="CM155" s="976"/>
      <c r="CN155" s="976"/>
      <c r="CO155" s="976"/>
      <c r="CP155" s="976"/>
      <c r="CQ155" s="976">
        <v>5</v>
      </c>
      <c r="CR155" s="976"/>
      <c r="CS155" s="976"/>
      <c r="CT155" s="976"/>
      <c r="CU155" s="979"/>
      <c r="CV155" s="1065">
        <f>SUM(CJ155:CU157)</f>
        <v>5</v>
      </c>
      <c r="CW155" s="1028"/>
      <c r="CX155" s="976"/>
      <c r="CY155" s="976"/>
      <c r="CZ155" s="976"/>
      <c r="DA155" s="976"/>
      <c r="DB155" s="976"/>
      <c r="DC155" s="976"/>
      <c r="DD155" s="976">
        <v>31</v>
      </c>
      <c r="DE155" s="976">
        <v>2</v>
      </c>
      <c r="DF155" s="976"/>
      <c r="DG155" s="976"/>
      <c r="DH155" s="979"/>
      <c r="DI155" s="1065">
        <f>SUM(CW155:DH157)</f>
        <v>33</v>
      </c>
      <c r="DJ155" s="971">
        <f>I155+V155+AI155+AV155+BI155+BV155+CI155+CV155+DI155</f>
        <v>38</v>
      </c>
      <c r="DK155" s="216">
        <f>H156-DJ155</f>
        <v>-8</v>
      </c>
    </row>
    <row r="156" spans="1:117" ht="15" customHeight="1" x14ac:dyDescent="0.25">
      <c r="A156" s="1048"/>
      <c r="B156" s="983"/>
      <c r="C156" s="1118"/>
      <c r="D156" s="1119"/>
      <c r="E156" s="238" t="s">
        <v>301</v>
      </c>
      <c r="F156" s="147"/>
      <c r="G156" s="1072"/>
      <c r="H156" s="228">
        <f>ROUNDDOWN(($H$2-D155)/365,0)*30</f>
        <v>30</v>
      </c>
      <c r="I156" s="1038"/>
      <c r="J156" s="1038"/>
      <c r="K156" s="1038"/>
      <c r="L156" s="1038"/>
      <c r="M156" s="1038"/>
      <c r="N156" s="1038"/>
      <c r="O156" s="1038"/>
      <c r="P156" s="1038"/>
      <c r="Q156" s="1038"/>
      <c r="R156" s="1038"/>
      <c r="S156" s="1038"/>
      <c r="T156" s="1038"/>
      <c r="U156" s="1038"/>
      <c r="V156" s="1038"/>
      <c r="W156" s="1038"/>
      <c r="X156" s="1038"/>
      <c r="Y156" s="1038"/>
      <c r="Z156" s="1038"/>
      <c r="AA156" s="1038"/>
      <c r="AB156" s="1038"/>
      <c r="AC156" s="1038"/>
      <c r="AD156" s="1038"/>
      <c r="AE156" s="1038"/>
      <c r="AF156" s="1038"/>
      <c r="AG156" s="1038"/>
      <c r="AH156" s="1038"/>
      <c r="AI156" s="1038"/>
      <c r="AJ156" s="1038"/>
      <c r="AK156" s="1038"/>
      <c r="AL156" s="1038"/>
      <c r="AM156" s="1038"/>
      <c r="AN156" s="1038"/>
      <c r="AO156" s="1038"/>
      <c r="AP156" s="1038"/>
      <c r="AQ156" s="1038"/>
      <c r="AR156" s="1038"/>
      <c r="AS156" s="1038"/>
      <c r="AT156" s="1038"/>
      <c r="AU156" s="1038"/>
      <c r="AV156" s="1038"/>
      <c r="AW156" s="1038"/>
      <c r="AX156" s="1038"/>
      <c r="AY156" s="1038"/>
      <c r="AZ156" s="1038"/>
      <c r="BA156" s="1038"/>
      <c r="BB156" s="1038"/>
      <c r="BC156" s="1038"/>
      <c r="BD156" s="1038"/>
      <c r="BE156" s="1038"/>
      <c r="BF156" s="1038"/>
      <c r="BG156" s="1038"/>
      <c r="BH156" s="1038"/>
      <c r="BI156" s="1038"/>
      <c r="BJ156" s="1038"/>
      <c r="BK156" s="139"/>
      <c r="BL156" s="139"/>
      <c r="BM156" s="139"/>
      <c r="BN156" s="139"/>
      <c r="BO156" s="1038"/>
      <c r="BP156" s="1038"/>
      <c r="BQ156" s="139"/>
      <c r="BR156" s="139"/>
      <c r="BS156" s="139"/>
      <c r="BT156" s="139"/>
      <c r="BU156" s="1038"/>
      <c r="BV156" s="1038"/>
      <c r="BW156" s="1029"/>
      <c r="BX156" s="977"/>
      <c r="BY156" s="977"/>
      <c r="BZ156" s="977"/>
      <c r="CA156" s="977"/>
      <c r="CB156" s="977"/>
      <c r="CC156" s="977"/>
      <c r="CD156" s="977"/>
      <c r="CE156" s="977"/>
      <c r="CF156" s="977"/>
      <c r="CG156" s="977"/>
      <c r="CH156" s="980"/>
      <c r="CI156" s="1115"/>
      <c r="CJ156" s="1029"/>
      <c r="CK156" s="977"/>
      <c r="CL156" s="977"/>
      <c r="CM156" s="977"/>
      <c r="CN156" s="977"/>
      <c r="CO156" s="977"/>
      <c r="CP156" s="977"/>
      <c r="CQ156" s="977"/>
      <c r="CR156" s="977"/>
      <c r="CS156" s="977"/>
      <c r="CT156" s="977"/>
      <c r="CU156" s="980"/>
      <c r="CV156" s="1115"/>
      <c r="CW156" s="1029"/>
      <c r="CX156" s="977"/>
      <c r="CY156" s="977"/>
      <c r="CZ156" s="977"/>
      <c r="DA156" s="977"/>
      <c r="DB156" s="977"/>
      <c r="DC156" s="977"/>
      <c r="DD156" s="977"/>
      <c r="DE156" s="977"/>
      <c r="DF156" s="977"/>
      <c r="DG156" s="977"/>
      <c r="DH156" s="980"/>
      <c r="DI156" s="1115"/>
      <c r="DJ156" s="1112"/>
      <c r="DK156" s="211"/>
    </row>
    <row r="157" spans="1:117" ht="15" customHeight="1" x14ac:dyDescent="0.25">
      <c r="A157" s="1048"/>
      <c r="B157" s="1084"/>
      <c r="C157" s="1114"/>
      <c r="D157" s="1085"/>
      <c r="E157" s="241"/>
      <c r="F157" s="156"/>
      <c r="G157" s="1073"/>
      <c r="H157" s="196"/>
      <c r="I157" s="1039"/>
      <c r="J157" s="1039"/>
      <c r="K157" s="1039"/>
      <c r="L157" s="1039"/>
      <c r="M157" s="1039"/>
      <c r="N157" s="1039"/>
      <c r="O157" s="1039"/>
      <c r="P157" s="1039"/>
      <c r="Q157" s="1039"/>
      <c r="R157" s="1039"/>
      <c r="S157" s="1039"/>
      <c r="T157" s="1039"/>
      <c r="U157" s="1039"/>
      <c r="V157" s="1039"/>
      <c r="W157" s="1039"/>
      <c r="X157" s="1039"/>
      <c r="Y157" s="1039"/>
      <c r="Z157" s="1039"/>
      <c r="AA157" s="1039"/>
      <c r="AB157" s="1039"/>
      <c r="AC157" s="1039"/>
      <c r="AD157" s="1039"/>
      <c r="AE157" s="1039"/>
      <c r="AF157" s="1039"/>
      <c r="AG157" s="1039"/>
      <c r="AH157" s="1039"/>
      <c r="AI157" s="1039"/>
      <c r="AJ157" s="1039"/>
      <c r="AK157" s="1039"/>
      <c r="AL157" s="1039"/>
      <c r="AM157" s="1039"/>
      <c r="AN157" s="1039"/>
      <c r="AO157" s="1039"/>
      <c r="AP157" s="1039"/>
      <c r="AQ157" s="1039"/>
      <c r="AR157" s="1039"/>
      <c r="AS157" s="1039"/>
      <c r="AT157" s="1039"/>
      <c r="AU157" s="1039"/>
      <c r="AV157" s="1039"/>
      <c r="AW157" s="1039"/>
      <c r="AX157" s="1039"/>
      <c r="AY157" s="1039"/>
      <c r="AZ157" s="1039"/>
      <c r="BA157" s="1039"/>
      <c r="BB157" s="1039"/>
      <c r="BC157" s="1039"/>
      <c r="BD157" s="1039"/>
      <c r="BE157" s="1039"/>
      <c r="BF157" s="1039"/>
      <c r="BG157" s="1039"/>
      <c r="BH157" s="1039"/>
      <c r="BI157" s="1039"/>
      <c r="BJ157" s="1039"/>
      <c r="BK157" s="139"/>
      <c r="BL157" s="139"/>
      <c r="BM157" s="139"/>
      <c r="BN157" s="139"/>
      <c r="BO157" s="1039"/>
      <c r="BP157" s="1039"/>
      <c r="BQ157" s="139"/>
      <c r="BR157" s="139"/>
      <c r="BS157" s="139"/>
      <c r="BT157" s="139"/>
      <c r="BU157" s="1039"/>
      <c r="BV157" s="1039"/>
      <c r="BW157" s="1030"/>
      <c r="BX157" s="978"/>
      <c r="BY157" s="978"/>
      <c r="BZ157" s="978"/>
      <c r="CA157" s="978"/>
      <c r="CB157" s="978"/>
      <c r="CC157" s="978"/>
      <c r="CD157" s="978"/>
      <c r="CE157" s="978"/>
      <c r="CF157" s="978"/>
      <c r="CG157" s="978"/>
      <c r="CH157" s="981"/>
      <c r="CI157" s="1111"/>
      <c r="CJ157" s="1030"/>
      <c r="CK157" s="978"/>
      <c r="CL157" s="978"/>
      <c r="CM157" s="978"/>
      <c r="CN157" s="978"/>
      <c r="CO157" s="978"/>
      <c r="CP157" s="978"/>
      <c r="CQ157" s="978"/>
      <c r="CR157" s="978"/>
      <c r="CS157" s="978"/>
      <c r="CT157" s="978"/>
      <c r="CU157" s="981"/>
      <c r="CV157" s="1111"/>
      <c r="CW157" s="1030"/>
      <c r="CX157" s="978"/>
      <c r="CY157" s="978"/>
      <c r="CZ157" s="978"/>
      <c r="DA157" s="978"/>
      <c r="DB157" s="978"/>
      <c r="DC157" s="978"/>
      <c r="DD157" s="978"/>
      <c r="DE157" s="978"/>
      <c r="DF157" s="978"/>
      <c r="DG157" s="978"/>
      <c r="DH157" s="981"/>
      <c r="DI157" s="1111"/>
      <c r="DJ157" s="1116"/>
      <c r="DK157" s="217"/>
    </row>
    <row r="158" spans="1:117" ht="15" customHeight="1" x14ac:dyDescent="0.25">
      <c r="A158" s="1048">
        <v>16</v>
      </c>
      <c r="B158" s="1068" t="s">
        <v>151</v>
      </c>
      <c r="C158" s="1069" t="s">
        <v>264</v>
      </c>
      <c r="D158" s="1070" t="s">
        <v>302</v>
      </c>
      <c r="E158" s="182" t="s">
        <v>303</v>
      </c>
      <c r="F158" s="142">
        <v>30</v>
      </c>
      <c r="G158" s="1074">
        <f>F158+F159+F163+F160+F161+F162</f>
        <v>30</v>
      </c>
      <c r="H158" s="197"/>
      <c r="I158" s="1037"/>
      <c r="J158" s="1043"/>
      <c r="K158" s="1043"/>
      <c r="L158" s="1043"/>
      <c r="M158" s="1043"/>
      <c r="N158" s="1043"/>
      <c r="O158" s="1043"/>
      <c r="P158" s="1043"/>
      <c r="Q158" s="1043"/>
      <c r="R158" s="1043"/>
      <c r="S158" s="1043"/>
      <c r="T158" s="1043"/>
      <c r="U158" s="1043"/>
      <c r="V158" s="1043"/>
      <c r="W158" s="1043"/>
      <c r="X158" s="1043"/>
      <c r="Y158" s="1043"/>
      <c r="Z158" s="1043"/>
      <c r="AA158" s="1043"/>
      <c r="AB158" s="1043"/>
      <c r="AC158" s="1043"/>
      <c r="AD158" s="1043"/>
      <c r="AE158" s="1043"/>
      <c r="AF158" s="1043"/>
      <c r="AG158" s="1043"/>
      <c r="AH158" s="1043"/>
      <c r="AI158" s="1043"/>
      <c r="AJ158" s="1043"/>
      <c r="AK158" s="1043"/>
      <c r="AL158" s="1043"/>
      <c r="AM158" s="1043"/>
      <c r="AN158" s="1043"/>
      <c r="AO158" s="1043"/>
      <c r="AP158" s="1043"/>
      <c r="AQ158" s="1043"/>
      <c r="AR158" s="1043"/>
      <c r="AS158" s="1043"/>
      <c r="AT158" s="1043"/>
      <c r="AU158" s="1043"/>
      <c r="AV158" s="1043"/>
      <c r="AW158" s="1043"/>
      <c r="AX158" s="1043"/>
      <c r="AY158" s="1043"/>
      <c r="AZ158" s="1043"/>
      <c r="BA158" s="1043"/>
      <c r="BB158" s="1043"/>
      <c r="BC158" s="1043"/>
      <c r="BD158" s="1043"/>
      <c r="BE158" s="1043"/>
      <c r="BF158" s="1043"/>
      <c r="BG158" s="1043"/>
      <c r="BH158" s="1043"/>
      <c r="BI158" s="1043"/>
      <c r="BJ158" s="1037"/>
      <c r="BK158" s="1037"/>
      <c r="BL158" s="1037"/>
      <c r="BM158" s="1037"/>
      <c r="BN158" s="1037"/>
      <c r="BO158" s="1037"/>
      <c r="BP158" s="1037"/>
      <c r="BQ158" s="1037"/>
      <c r="BR158" s="1037"/>
      <c r="BS158" s="1037"/>
      <c r="BT158" s="1037"/>
      <c r="BU158" s="1037"/>
      <c r="BV158" s="1043"/>
      <c r="BW158" s="988"/>
      <c r="BX158" s="976"/>
      <c r="BY158" s="976"/>
      <c r="BZ158" s="976"/>
      <c r="CA158" s="976"/>
      <c r="CB158" s="976"/>
      <c r="CC158" s="976"/>
      <c r="CD158" s="976"/>
      <c r="CE158" s="976"/>
      <c r="CF158" s="976"/>
      <c r="CG158" s="976"/>
      <c r="CH158" s="979"/>
      <c r="CI158" s="1018"/>
      <c r="CJ158" s="988"/>
      <c r="CK158" s="976"/>
      <c r="CL158" s="976"/>
      <c r="CM158" s="976"/>
      <c r="CN158" s="976"/>
      <c r="CO158" s="976"/>
      <c r="CP158" s="976"/>
      <c r="CQ158" s="976"/>
      <c r="CR158" s="976"/>
      <c r="CS158" s="976"/>
      <c r="CT158" s="976"/>
      <c r="CU158" s="979"/>
      <c r="CV158" s="1018"/>
      <c r="CW158" s="988"/>
      <c r="CX158" s="976"/>
      <c r="CY158" s="976"/>
      <c r="CZ158" s="976"/>
      <c r="DA158" s="976"/>
      <c r="DB158" s="976"/>
      <c r="DC158" s="976"/>
      <c r="DD158" s="976"/>
      <c r="DE158" s="976"/>
      <c r="DF158" s="976"/>
      <c r="DG158" s="976"/>
      <c r="DH158" s="979"/>
      <c r="DI158" s="1018">
        <f>SUM(CW158:DH163)</f>
        <v>0</v>
      </c>
      <c r="DJ158" s="971">
        <f>I158+V158+AI158+AV158+BI158+BV158+CI158+CV158+DI158</f>
        <v>0</v>
      </c>
      <c r="DK158" s="230">
        <f>H160-DJ158</f>
        <v>30</v>
      </c>
    </row>
    <row r="159" spans="1:117" ht="15" customHeight="1" x14ac:dyDescent="0.25">
      <c r="A159" s="1048"/>
      <c r="B159" s="1068"/>
      <c r="C159" s="1069"/>
      <c r="D159" s="1070"/>
      <c r="E159" s="246"/>
      <c r="F159" s="143"/>
      <c r="G159" s="1075"/>
      <c r="H159" s="198"/>
      <c r="I159" s="1038"/>
      <c r="J159" s="1043"/>
      <c r="K159" s="1043"/>
      <c r="L159" s="1043"/>
      <c r="M159" s="1043"/>
      <c r="N159" s="1043"/>
      <c r="O159" s="1043"/>
      <c r="P159" s="1043"/>
      <c r="Q159" s="1043"/>
      <c r="R159" s="1043"/>
      <c r="S159" s="1043"/>
      <c r="T159" s="1043"/>
      <c r="U159" s="1043"/>
      <c r="V159" s="1043"/>
      <c r="W159" s="1043"/>
      <c r="X159" s="1043"/>
      <c r="Y159" s="1043"/>
      <c r="Z159" s="1043"/>
      <c r="AA159" s="1043"/>
      <c r="AB159" s="1043"/>
      <c r="AC159" s="1043"/>
      <c r="AD159" s="1043"/>
      <c r="AE159" s="1043"/>
      <c r="AF159" s="1043"/>
      <c r="AG159" s="1043"/>
      <c r="AH159" s="1043"/>
      <c r="AI159" s="1043"/>
      <c r="AJ159" s="1043"/>
      <c r="AK159" s="1043"/>
      <c r="AL159" s="1043"/>
      <c r="AM159" s="1043"/>
      <c r="AN159" s="1043"/>
      <c r="AO159" s="1043"/>
      <c r="AP159" s="1043"/>
      <c r="AQ159" s="1043"/>
      <c r="AR159" s="1043"/>
      <c r="AS159" s="1043"/>
      <c r="AT159" s="1043"/>
      <c r="AU159" s="1043"/>
      <c r="AV159" s="1043"/>
      <c r="AW159" s="1043"/>
      <c r="AX159" s="1043"/>
      <c r="AY159" s="1043"/>
      <c r="AZ159" s="1043"/>
      <c r="BA159" s="1043"/>
      <c r="BB159" s="1043"/>
      <c r="BC159" s="1043"/>
      <c r="BD159" s="1043"/>
      <c r="BE159" s="1043"/>
      <c r="BF159" s="1043"/>
      <c r="BG159" s="1043"/>
      <c r="BH159" s="1043"/>
      <c r="BI159" s="1043"/>
      <c r="BJ159" s="1038"/>
      <c r="BK159" s="1038"/>
      <c r="BL159" s="1038"/>
      <c r="BM159" s="1038"/>
      <c r="BN159" s="1038"/>
      <c r="BO159" s="1038"/>
      <c r="BP159" s="1038"/>
      <c r="BQ159" s="1038"/>
      <c r="BR159" s="1038"/>
      <c r="BS159" s="1038"/>
      <c r="BT159" s="1038"/>
      <c r="BU159" s="1038"/>
      <c r="BV159" s="1043"/>
      <c r="BW159" s="989"/>
      <c r="BX159" s="977"/>
      <c r="BY159" s="977"/>
      <c r="BZ159" s="977"/>
      <c r="CA159" s="977"/>
      <c r="CB159" s="977"/>
      <c r="CC159" s="977"/>
      <c r="CD159" s="977"/>
      <c r="CE159" s="977"/>
      <c r="CF159" s="977"/>
      <c r="CG159" s="977"/>
      <c r="CH159" s="980"/>
      <c r="CI159" s="1018"/>
      <c r="CJ159" s="989"/>
      <c r="CK159" s="977"/>
      <c r="CL159" s="977"/>
      <c r="CM159" s="977"/>
      <c r="CN159" s="977"/>
      <c r="CO159" s="977"/>
      <c r="CP159" s="977"/>
      <c r="CQ159" s="977"/>
      <c r="CR159" s="977"/>
      <c r="CS159" s="977"/>
      <c r="CT159" s="977"/>
      <c r="CU159" s="980"/>
      <c r="CV159" s="1018"/>
      <c r="CW159" s="989"/>
      <c r="CX159" s="977"/>
      <c r="CY159" s="977"/>
      <c r="CZ159" s="977"/>
      <c r="DA159" s="977"/>
      <c r="DB159" s="977"/>
      <c r="DC159" s="977"/>
      <c r="DD159" s="977"/>
      <c r="DE159" s="977"/>
      <c r="DF159" s="977"/>
      <c r="DG159" s="977"/>
      <c r="DH159" s="980"/>
      <c r="DI159" s="1018"/>
      <c r="DJ159" s="972"/>
      <c r="DK159" s="214"/>
    </row>
    <row r="160" spans="1:117" ht="15" customHeight="1" x14ac:dyDescent="0.25">
      <c r="A160" s="1048"/>
      <c r="B160" s="1068"/>
      <c r="C160" s="1069"/>
      <c r="D160" s="1070"/>
      <c r="E160" s="246"/>
      <c r="F160" s="143"/>
      <c r="G160" s="1075"/>
      <c r="H160" s="228">
        <f>ROUNDDOWN(($H$2-D158)/365,0)*30</f>
        <v>30</v>
      </c>
      <c r="I160" s="1038"/>
      <c r="J160" s="1043"/>
      <c r="K160" s="1043"/>
      <c r="L160" s="1043"/>
      <c r="M160" s="1043"/>
      <c r="N160" s="1043"/>
      <c r="O160" s="1043"/>
      <c r="P160" s="1043"/>
      <c r="Q160" s="1043"/>
      <c r="R160" s="1043"/>
      <c r="S160" s="1043"/>
      <c r="T160" s="1043"/>
      <c r="U160" s="1043"/>
      <c r="V160" s="1043"/>
      <c r="W160" s="1043"/>
      <c r="X160" s="1043"/>
      <c r="Y160" s="1043"/>
      <c r="Z160" s="1043"/>
      <c r="AA160" s="1043"/>
      <c r="AB160" s="1043"/>
      <c r="AC160" s="1043"/>
      <c r="AD160" s="1043"/>
      <c r="AE160" s="1043"/>
      <c r="AF160" s="1043"/>
      <c r="AG160" s="1043"/>
      <c r="AH160" s="1043"/>
      <c r="AI160" s="1043"/>
      <c r="AJ160" s="1043"/>
      <c r="AK160" s="1043"/>
      <c r="AL160" s="1043"/>
      <c r="AM160" s="1043"/>
      <c r="AN160" s="1043"/>
      <c r="AO160" s="1043"/>
      <c r="AP160" s="1043"/>
      <c r="AQ160" s="1043"/>
      <c r="AR160" s="1043"/>
      <c r="AS160" s="1043"/>
      <c r="AT160" s="1043"/>
      <c r="AU160" s="1043"/>
      <c r="AV160" s="1043"/>
      <c r="AW160" s="1043"/>
      <c r="AX160" s="1043"/>
      <c r="AY160" s="1043"/>
      <c r="AZ160" s="1043"/>
      <c r="BA160" s="1043"/>
      <c r="BB160" s="1043"/>
      <c r="BC160" s="1043"/>
      <c r="BD160" s="1043"/>
      <c r="BE160" s="1043"/>
      <c r="BF160" s="1043"/>
      <c r="BG160" s="1043"/>
      <c r="BH160" s="1043"/>
      <c r="BI160" s="1043"/>
      <c r="BJ160" s="1038"/>
      <c r="BK160" s="1038"/>
      <c r="BL160" s="1038"/>
      <c r="BM160" s="1038"/>
      <c r="BN160" s="1038"/>
      <c r="BO160" s="1038"/>
      <c r="BP160" s="1038"/>
      <c r="BQ160" s="1038"/>
      <c r="BR160" s="1038"/>
      <c r="BS160" s="1038"/>
      <c r="BT160" s="1038"/>
      <c r="BU160" s="1038"/>
      <c r="BV160" s="1043"/>
      <c r="BW160" s="989"/>
      <c r="BX160" s="977"/>
      <c r="BY160" s="977"/>
      <c r="BZ160" s="977"/>
      <c r="CA160" s="977"/>
      <c r="CB160" s="977"/>
      <c r="CC160" s="977"/>
      <c r="CD160" s="977"/>
      <c r="CE160" s="977"/>
      <c r="CF160" s="977"/>
      <c r="CG160" s="977"/>
      <c r="CH160" s="980"/>
      <c r="CI160" s="1018"/>
      <c r="CJ160" s="989"/>
      <c r="CK160" s="977"/>
      <c r="CL160" s="977"/>
      <c r="CM160" s="977"/>
      <c r="CN160" s="977"/>
      <c r="CO160" s="977"/>
      <c r="CP160" s="977"/>
      <c r="CQ160" s="977"/>
      <c r="CR160" s="977"/>
      <c r="CS160" s="977"/>
      <c r="CT160" s="977"/>
      <c r="CU160" s="980"/>
      <c r="CV160" s="1018"/>
      <c r="CW160" s="989"/>
      <c r="CX160" s="977"/>
      <c r="CY160" s="977"/>
      <c r="CZ160" s="977"/>
      <c r="DA160" s="977"/>
      <c r="DB160" s="977"/>
      <c r="DC160" s="977"/>
      <c r="DD160" s="977"/>
      <c r="DE160" s="977"/>
      <c r="DF160" s="977"/>
      <c r="DG160" s="977"/>
      <c r="DH160" s="980"/>
      <c r="DI160" s="1018"/>
      <c r="DJ160" s="972"/>
      <c r="DK160" s="214"/>
      <c r="DM160" s="128"/>
    </row>
    <row r="161" spans="1:117" ht="15" customHeight="1" x14ac:dyDescent="0.25">
      <c r="A161" s="1048"/>
      <c r="B161" s="1068"/>
      <c r="C161" s="1069"/>
      <c r="D161" s="1070"/>
      <c r="E161" s="182"/>
      <c r="F161" s="144"/>
      <c r="G161" s="1075"/>
      <c r="H161" s="198"/>
      <c r="I161" s="1038"/>
      <c r="J161" s="1043"/>
      <c r="K161" s="1043"/>
      <c r="L161" s="1043"/>
      <c r="M161" s="1043"/>
      <c r="N161" s="1043"/>
      <c r="O161" s="1043"/>
      <c r="P161" s="1043"/>
      <c r="Q161" s="1043"/>
      <c r="R161" s="1043"/>
      <c r="S161" s="1043"/>
      <c r="T161" s="1043"/>
      <c r="U161" s="1043"/>
      <c r="V161" s="1043"/>
      <c r="W161" s="1043"/>
      <c r="X161" s="1043"/>
      <c r="Y161" s="1043"/>
      <c r="Z161" s="1043"/>
      <c r="AA161" s="1043"/>
      <c r="AB161" s="1043"/>
      <c r="AC161" s="1043"/>
      <c r="AD161" s="1043"/>
      <c r="AE161" s="1043"/>
      <c r="AF161" s="1043"/>
      <c r="AG161" s="1043"/>
      <c r="AH161" s="1043"/>
      <c r="AI161" s="1043"/>
      <c r="AJ161" s="1043"/>
      <c r="AK161" s="1043"/>
      <c r="AL161" s="1043"/>
      <c r="AM161" s="1043"/>
      <c r="AN161" s="1043"/>
      <c r="AO161" s="1043"/>
      <c r="AP161" s="1043"/>
      <c r="AQ161" s="1043"/>
      <c r="AR161" s="1043"/>
      <c r="AS161" s="1043"/>
      <c r="AT161" s="1043"/>
      <c r="AU161" s="1043"/>
      <c r="AV161" s="1043"/>
      <c r="AW161" s="1043"/>
      <c r="AX161" s="1043"/>
      <c r="AY161" s="1043"/>
      <c r="AZ161" s="1043"/>
      <c r="BA161" s="1043"/>
      <c r="BB161" s="1043"/>
      <c r="BC161" s="1043"/>
      <c r="BD161" s="1043"/>
      <c r="BE161" s="1043"/>
      <c r="BF161" s="1043"/>
      <c r="BG161" s="1043"/>
      <c r="BH161" s="1043"/>
      <c r="BI161" s="1043"/>
      <c r="BJ161" s="1038"/>
      <c r="BK161" s="1038"/>
      <c r="BL161" s="1038"/>
      <c r="BM161" s="1038"/>
      <c r="BN161" s="1038"/>
      <c r="BO161" s="1038"/>
      <c r="BP161" s="1038"/>
      <c r="BQ161" s="1038"/>
      <c r="BR161" s="1038"/>
      <c r="BS161" s="1038"/>
      <c r="BT161" s="1038"/>
      <c r="BU161" s="1038"/>
      <c r="BV161" s="1043"/>
      <c r="BW161" s="989"/>
      <c r="BX161" s="977"/>
      <c r="BY161" s="977"/>
      <c r="BZ161" s="977"/>
      <c r="CA161" s="977"/>
      <c r="CB161" s="977"/>
      <c r="CC161" s="977"/>
      <c r="CD161" s="977"/>
      <c r="CE161" s="977"/>
      <c r="CF161" s="977"/>
      <c r="CG161" s="977"/>
      <c r="CH161" s="980"/>
      <c r="CI161" s="1018"/>
      <c r="CJ161" s="989"/>
      <c r="CK161" s="977"/>
      <c r="CL161" s="977"/>
      <c r="CM161" s="977"/>
      <c r="CN161" s="977"/>
      <c r="CO161" s="977"/>
      <c r="CP161" s="977"/>
      <c r="CQ161" s="977"/>
      <c r="CR161" s="977"/>
      <c r="CS161" s="977"/>
      <c r="CT161" s="977"/>
      <c r="CU161" s="980"/>
      <c r="CV161" s="1018"/>
      <c r="CW161" s="989"/>
      <c r="CX161" s="977"/>
      <c r="CY161" s="977"/>
      <c r="CZ161" s="977"/>
      <c r="DA161" s="977"/>
      <c r="DB161" s="977"/>
      <c r="DC161" s="977"/>
      <c r="DD161" s="977"/>
      <c r="DE161" s="977"/>
      <c r="DF161" s="977"/>
      <c r="DG161" s="977"/>
      <c r="DH161" s="980"/>
      <c r="DI161" s="1018"/>
      <c r="DJ161" s="972"/>
      <c r="DK161" s="214"/>
    </row>
    <row r="162" spans="1:117" ht="15" customHeight="1" x14ac:dyDescent="0.25">
      <c r="A162" s="1048"/>
      <c r="B162" s="1068"/>
      <c r="C162" s="1069"/>
      <c r="D162" s="1070"/>
      <c r="E162" s="182"/>
      <c r="F162" s="144"/>
      <c r="G162" s="1075"/>
      <c r="H162" s="198"/>
      <c r="I162" s="1038"/>
      <c r="J162" s="1043"/>
      <c r="K162" s="1043"/>
      <c r="L162" s="1043"/>
      <c r="M162" s="1043"/>
      <c r="N162" s="1043"/>
      <c r="O162" s="1043"/>
      <c r="P162" s="1043"/>
      <c r="Q162" s="1043"/>
      <c r="R162" s="1043"/>
      <c r="S162" s="1043"/>
      <c r="T162" s="1043"/>
      <c r="U162" s="1043"/>
      <c r="V162" s="1043"/>
      <c r="W162" s="1043"/>
      <c r="X162" s="1043"/>
      <c r="Y162" s="1043"/>
      <c r="Z162" s="1043"/>
      <c r="AA162" s="1043"/>
      <c r="AB162" s="1043"/>
      <c r="AC162" s="1043"/>
      <c r="AD162" s="1043"/>
      <c r="AE162" s="1043"/>
      <c r="AF162" s="1043"/>
      <c r="AG162" s="1043"/>
      <c r="AH162" s="1043"/>
      <c r="AI162" s="1043"/>
      <c r="AJ162" s="1043"/>
      <c r="AK162" s="1043"/>
      <c r="AL162" s="1043"/>
      <c r="AM162" s="1043"/>
      <c r="AN162" s="1043"/>
      <c r="AO162" s="1043"/>
      <c r="AP162" s="1043"/>
      <c r="AQ162" s="1043"/>
      <c r="AR162" s="1043"/>
      <c r="AS162" s="1043"/>
      <c r="AT162" s="1043"/>
      <c r="AU162" s="1043"/>
      <c r="AV162" s="1043"/>
      <c r="AW162" s="1043"/>
      <c r="AX162" s="1043"/>
      <c r="AY162" s="1043"/>
      <c r="AZ162" s="1043"/>
      <c r="BA162" s="1043"/>
      <c r="BB162" s="1043"/>
      <c r="BC162" s="1043"/>
      <c r="BD162" s="1043"/>
      <c r="BE162" s="1043"/>
      <c r="BF162" s="1043"/>
      <c r="BG162" s="1043"/>
      <c r="BH162" s="1043"/>
      <c r="BI162" s="1043"/>
      <c r="BJ162" s="1038"/>
      <c r="BK162" s="1038"/>
      <c r="BL162" s="1038"/>
      <c r="BM162" s="1038"/>
      <c r="BN162" s="1038"/>
      <c r="BO162" s="1038"/>
      <c r="BP162" s="1038"/>
      <c r="BQ162" s="1038"/>
      <c r="BR162" s="1038"/>
      <c r="BS162" s="1038"/>
      <c r="BT162" s="1038"/>
      <c r="BU162" s="1038"/>
      <c r="BV162" s="1043"/>
      <c r="BW162" s="989"/>
      <c r="BX162" s="977"/>
      <c r="BY162" s="977"/>
      <c r="BZ162" s="977"/>
      <c r="CA162" s="977"/>
      <c r="CB162" s="977"/>
      <c r="CC162" s="977"/>
      <c r="CD162" s="977"/>
      <c r="CE162" s="977"/>
      <c r="CF162" s="977"/>
      <c r="CG162" s="977"/>
      <c r="CH162" s="980"/>
      <c r="CI162" s="1018"/>
      <c r="CJ162" s="989"/>
      <c r="CK162" s="977"/>
      <c r="CL162" s="977"/>
      <c r="CM162" s="977"/>
      <c r="CN162" s="977"/>
      <c r="CO162" s="977"/>
      <c r="CP162" s="977"/>
      <c r="CQ162" s="977"/>
      <c r="CR162" s="977"/>
      <c r="CS162" s="977"/>
      <c r="CT162" s="977"/>
      <c r="CU162" s="980"/>
      <c r="CV162" s="1018"/>
      <c r="CW162" s="989"/>
      <c r="CX162" s="977"/>
      <c r="CY162" s="977"/>
      <c r="CZ162" s="977"/>
      <c r="DA162" s="977"/>
      <c r="DB162" s="977"/>
      <c r="DC162" s="977"/>
      <c r="DD162" s="977"/>
      <c r="DE162" s="977"/>
      <c r="DF162" s="977"/>
      <c r="DG162" s="977"/>
      <c r="DH162" s="980"/>
      <c r="DI162" s="1018"/>
      <c r="DJ162" s="972"/>
      <c r="DK162" s="214"/>
    </row>
    <row r="163" spans="1:117" ht="15" customHeight="1" x14ac:dyDescent="0.25">
      <c r="A163" s="1048"/>
      <c r="B163" s="1068"/>
      <c r="C163" s="1069"/>
      <c r="D163" s="1070"/>
      <c r="E163" s="183"/>
      <c r="F163" s="145"/>
      <c r="G163" s="1076"/>
      <c r="H163" s="199"/>
      <c r="I163" s="1039"/>
      <c r="J163" s="1043"/>
      <c r="K163" s="1043"/>
      <c r="L163" s="1043"/>
      <c r="M163" s="1043"/>
      <c r="N163" s="1043"/>
      <c r="O163" s="1043"/>
      <c r="P163" s="1043"/>
      <c r="Q163" s="1043"/>
      <c r="R163" s="1043"/>
      <c r="S163" s="1043"/>
      <c r="T163" s="1043"/>
      <c r="U163" s="1043"/>
      <c r="V163" s="1043"/>
      <c r="W163" s="1043"/>
      <c r="X163" s="1043"/>
      <c r="Y163" s="1043"/>
      <c r="Z163" s="1043"/>
      <c r="AA163" s="1043"/>
      <c r="AB163" s="1043"/>
      <c r="AC163" s="1043"/>
      <c r="AD163" s="1043"/>
      <c r="AE163" s="1043"/>
      <c r="AF163" s="1043"/>
      <c r="AG163" s="1043"/>
      <c r="AH163" s="1043"/>
      <c r="AI163" s="1043"/>
      <c r="AJ163" s="1043"/>
      <c r="AK163" s="1043"/>
      <c r="AL163" s="1043"/>
      <c r="AM163" s="1043"/>
      <c r="AN163" s="1043"/>
      <c r="AO163" s="1043"/>
      <c r="AP163" s="1043"/>
      <c r="AQ163" s="1043"/>
      <c r="AR163" s="1043"/>
      <c r="AS163" s="1043"/>
      <c r="AT163" s="1043"/>
      <c r="AU163" s="1043"/>
      <c r="AV163" s="1043"/>
      <c r="AW163" s="1043"/>
      <c r="AX163" s="1043"/>
      <c r="AY163" s="1043"/>
      <c r="AZ163" s="1043"/>
      <c r="BA163" s="1043"/>
      <c r="BB163" s="1043"/>
      <c r="BC163" s="1043"/>
      <c r="BD163" s="1043"/>
      <c r="BE163" s="1043"/>
      <c r="BF163" s="1043"/>
      <c r="BG163" s="1043"/>
      <c r="BH163" s="1043"/>
      <c r="BI163" s="1043"/>
      <c r="BJ163" s="1039"/>
      <c r="BK163" s="1039"/>
      <c r="BL163" s="1039"/>
      <c r="BM163" s="1039"/>
      <c r="BN163" s="1039"/>
      <c r="BO163" s="1039"/>
      <c r="BP163" s="1039"/>
      <c r="BQ163" s="1039"/>
      <c r="BR163" s="1039"/>
      <c r="BS163" s="1039"/>
      <c r="BT163" s="1039"/>
      <c r="BU163" s="1039"/>
      <c r="BV163" s="1043"/>
      <c r="BW163" s="990"/>
      <c r="BX163" s="978"/>
      <c r="BY163" s="978"/>
      <c r="BZ163" s="978"/>
      <c r="CA163" s="978"/>
      <c r="CB163" s="978"/>
      <c r="CC163" s="978"/>
      <c r="CD163" s="978"/>
      <c r="CE163" s="978"/>
      <c r="CF163" s="978"/>
      <c r="CG163" s="978"/>
      <c r="CH163" s="981"/>
      <c r="CI163" s="1018"/>
      <c r="CJ163" s="990"/>
      <c r="CK163" s="978"/>
      <c r="CL163" s="978"/>
      <c r="CM163" s="978"/>
      <c r="CN163" s="978"/>
      <c r="CO163" s="978"/>
      <c r="CP163" s="978"/>
      <c r="CQ163" s="978"/>
      <c r="CR163" s="978"/>
      <c r="CS163" s="978"/>
      <c r="CT163" s="978"/>
      <c r="CU163" s="981"/>
      <c r="CV163" s="1018"/>
      <c r="CW163" s="990"/>
      <c r="CX163" s="978"/>
      <c r="CY163" s="978"/>
      <c r="CZ163" s="978"/>
      <c r="DA163" s="978"/>
      <c r="DB163" s="978"/>
      <c r="DC163" s="978"/>
      <c r="DD163" s="978"/>
      <c r="DE163" s="978"/>
      <c r="DF163" s="978"/>
      <c r="DG163" s="978"/>
      <c r="DH163" s="981"/>
      <c r="DI163" s="1018"/>
      <c r="DJ163" s="973"/>
      <c r="DK163" s="215"/>
    </row>
    <row r="164" spans="1:117" ht="15" customHeight="1" x14ac:dyDescent="0.25">
      <c r="A164" s="1048">
        <v>16</v>
      </c>
      <c r="B164" s="1068" t="s">
        <v>304</v>
      </c>
      <c r="C164" s="1069" t="s">
        <v>264</v>
      </c>
      <c r="D164" s="1070" t="s">
        <v>305</v>
      </c>
      <c r="E164" s="182"/>
      <c r="F164" s="142"/>
      <c r="G164" s="1074">
        <f>F164+F165+F169+F166+F167+F168</f>
        <v>0</v>
      </c>
      <c r="H164" s="197"/>
      <c r="I164" s="1037"/>
      <c r="J164" s="1043"/>
      <c r="K164" s="1043"/>
      <c r="L164" s="1043"/>
      <c r="M164" s="1043"/>
      <c r="N164" s="1043"/>
      <c r="O164" s="1043"/>
      <c r="P164" s="1043"/>
      <c r="Q164" s="1043"/>
      <c r="R164" s="1043"/>
      <c r="S164" s="1043"/>
      <c r="T164" s="1043"/>
      <c r="U164" s="1043"/>
      <c r="V164" s="1043"/>
      <c r="W164" s="1043"/>
      <c r="X164" s="1043"/>
      <c r="Y164" s="1043"/>
      <c r="Z164" s="1043"/>
      <c r="AA164" s="1043"/>
      <c r="AB164" s="1043"/>
      <c r="AC164" s="1043"/>
      <c r="AD164" s="1043"/>
      <c r="AE164" s="1043"/>
      <c r="AF164" s="1043"/>
      <c r="AG164" s="1043"/>
      <c r="AH164" s="1043"/>
      <c r="AI164" s="1043"/>
      <c r="AJ164" s="1043"/>
      <c r="AK164" s="1043"/>
      <c r="AL164" s="1043"/>
      <c r="AM164" s="1043"/>
      <c r="AN164" s="1043"/>
      <c r="AO164" s="1043"/>
      <c r="AP164" s="1043"/>
      <c r="AQ164" s="1043"/>
      <c r="AR164" s="1043"/>
      <c r="AS164" s="1043"/>
      <c r="AT164" s="1043"/>
      <c r="AU164" s="1043"/>
      <c r="AV164" s="1043"/>
      <c r="AW164" s="1043"/>
      <c r="AX164" s="1043"/>
      <c r="AY164" s="1043"/>
      <c r="AZ164" s="1043"/>
      <c r="BA164" s="1043"/>
      <c r="BB164" s="1043"/>
      <c r="BC164" s="1043"/>
      <c r="BD164" s="1043"/>
      <c r="BE164" s="1043"/>
      <c r="BF164" s="1043"/>
      <c r="BG164" s="1043"/>
      <c r="BH164" s="1043"/>
      <c r="BI164" s="1043"/>
      <c r="BJ164" s="1037"/>
      <c r="BK164" s="1037"/>
      <c r="BL164" s="1037"/>
      <c r="BM164" s="1037"/>
      <c r="BN164" s="1037"/>
      <c r="BO164" s="1037"/>
      <c r="BP164" s="1037"/>
      <c r="BQ164" s="1037"/>
      <c r="BR164" s="1037"/>
      <c r="BS164" s="1037"/>
      <c r="BT164" s="1037"/>
      <c r="BU164" s="1037"/>
      <c r="BV164" s="1043"/>
      <c r="BW164" s="988"/>
      <c r="BX164" s="976"/>
      <c r="BY164" s="976"/>
      <c r="BZ164" s="976"/>
      <c r="CA164" s="976"/>
      <c r="CB164" s="976"/>
      <c r="CC164" s="976"/>
      <c r="CD164" s="976"/>
      <c r="CE164" s="976"/>
      <c r="CF164" s="976"/>
      <c r="CG164" s="976"/>
      <c r="CH164" s="979"/>
      <c r="CI164" s="1018"/>
      <c r="CJ164" s="988"/>
      <c r="CK164" s="976"/>
      <c r="CL164" s="976"/>
      <c r="CM164" s="976"/>
      <c r="CN164" s="976"/>
      <c r="CO164" s="976"/>
      <c r="CP164" s="976"/>
      <c r="CQ164" s="976"/>
      <c r="CR164" s="976"/>
      <c r="CS164" s="976"/>
      <c r="CT164" s="976"/>
      <c r="CU164" s="979"/>
      <c r="CV164" s="1018"/>
      <c r="CW164" s="988"/>
      <c r="CX164" s="976"/>
      <c r="CY164" s="976"/>
      <c r="CZ164" s="976"/>
      <c r="DA164" s="976"/>
      <c r="DB164" s="976"/>
      <c r="DC164" s="976"/>
      <c r="DD164" s="976"/>
      <c r="DE164" s="976"/>
      <c r="DF164" s="976"/>
      <c r="DG164" s="976"/>
      <c r="DH164" s="979"/>
      <c r="DI164" s="1018">
        <f>SUM(CW164:DH169)</f>
        <v>0</v>
      </c>
      <c r="DJ164" s="971">
        <f>I164+V164+AI164+AV164+BI164+BV164+CI164+CV164+DI164</f>
        <v>0</v>
      </c>
      <c r="DK164" s="230">
        <f>H167-DJ164</f>
        <v>0</v>
      </c>
    </row>
    <row r="165" spans="1:117" ht="15" customHeight="1" x14ac:dyDescent="0.25">
      <c r="A165" s="1048"/>
      <c r="B165" s="1068"/>
      <c r="C165" s="1069"/>
      <c r="D165" s="1070"/>
      <c r="E165" s="246"/>
      <c r="F165" s="143"/>
      <c r="G165" s="1075"/>
      <c r="H165" s="198"/>
      <c r="I165" s="1038"/>
      <c r="J165" s="1043"/>
      <c r="K165" s="1043"/>
      <c r="L165" s="1043"/>
      <c r="M165" s="1043"/>
      <c r="N165" s="1043"/>
      <c r="O165" s="1043"/>
      <c r="P165" s="1043"/>
      <c r="Q165" s="1043"/>
      <c r="R165" s="1043"/>
      <c r="S165" s="1043"/>
      <c r="T165" s="1043"/>
      <c r="U165" s="1043"/>
      <c r="V165" s="1043"/>
      <c r="W165" s="1043"/>
      <c r="X165" s="1043"/>
      <c r="Y165" s="1043"/>
      <c r="Z165" s="1043"/>
      <c r="AA165" s="1043"/>
      <c r="AB165" s="1043"/>
      <c r="AC165" s="1043"/>
      <c r="AD165" s="1043"/>
      <c r="AE165" s="1043"/>
      <c r="AF165" s="1043"/>
      <c r="AG165" s="1043"/>
      <c r="AH165" s="1043"/>
      <c r="AI165" s="1043"/>
      <c r="AJ165" s="1043"/>
      <c r="AK165" s="1043"/>
      <c r="AL165" s="1043"/>
      <c r="AM165" s="1043"/>
      <c r="AN165" s="1043"/>
      <c r="AO165" s="1043"/>
      <c r="AP165" s="1043"/>
      <c r="AQ165" s="1043"/>
      <c r="AR165" s="1043"/>
      <c r="AS165" s="1043"/>
      <c r="AT165" s="1043"/>
      <c r="AU165" s="1043"/>
      <c r="AV165" s="1043"/>
      <c r="AW165" s="1043"/>
      <c r="AX165" s="1043"/>
      <c r="AY165" s="1043"/>
      <c r="AZ165" s="1043"/>
      <c r="BA165" s="1043"/>
      <c r="BB165" s="1043"/>
      <c r="BC165" s="1043"/>
      <c r="BD165" s="1043"/>
      <c r="BE165" s="1043"/>
      <c r="BF165" s="1043"/>
      <c r="BG165" s="1043"/>
      <c r="BH165" s="1043"/>
      <c r="BI165" s="1043"/>
      <c r="BJ165" s="1038"/>
      <c r="BK165" s="1038"/>
      <c r="BL165" s="1038"/>
      <c r="BM165" s="1038"/>
      <c r="BN165" s="1038"/>
      <c r="BO165" s="1038"/>
      <c r="BP165" s="1038"/>
      <c r="BQ165" s="1038"/>
      <c r="BR165" s="1038"/>
      <c r="BS165" s="1038"/>
      <c r="BT165" s="1038"/>
      <c r="BU165" s="1038"/>
      <c r="BV165" s="1043"/>
      <c r="BW165" s="989"/>
      <c r="BX165" s="977"/>
      <c r="BY165" s="977"/>
      <c r="BZ165" s="977"/>
      <c r="CA165" s="977"/>
      <c r="CB165" s="977"/>
      <c r="CC165" s="977"/>
      <c r="CD165" s="977"/>
      <c r="CE165" s="977"/>
      <c r="CF165" s="977"/>
      <c r="CG165" s="977"/>
      <c r="CH165" s="980"/>
      <c r="CI165" s="1018"/>
      <c r="CJ165" s="989"/>
      <c r="CK165" s="977"/>
      <c r="CL165" s="977"/>
      <c r="CM165" s="977"/>
      <c r="CN165" s="977"/>
      <c r="CO165" s="977"/>
      <c r="CP165" s="977"/>
      <c r="CQ165" s="977"/>
      <c r="CR165" s="977"/>
      <c r="CS165" s="977"/>
      <c r="CT165" s="977"/>
      <c r="CU165" s="980"/>
      <c r="CV165" s="1018"/>
      <c r="CW165" s="989"/>
      <c r="CX165" s="977"/>
      <c r="CY165" s="977"/>
      <c r="CZ165" s="977"/>
      <c r="DA165" s="977"/>
      <c r="DB165" s="977"/>
      <c r="DC165" s="977"/>
      <c r="DD165" s="977"/>
      <c r="DE165" s="977"/>
      <c r="DF165" s="977"/>
      <c r="DG165" s="977"/>
      <c r="DH165" s="980"/>
      <c r="DI165" s="1018"/>
      <c r="DJ165" s="972"/>
      <c r="DK165" s="214"/>
    </row>
    <row r="166" spans="1:117" ht="15" customHeight="1" x14ac:dyDescent="0.25">
      <c r="A166" s="1048"/>
      <c r="B166" s="1068"/>
      <c r="C166" s="1069"/>
      <c r="D166" s="1070"/>
      <c r="E166" s="246"/>
      <c r="F166" s="143"/>
      <c r="G166" s="1075"/>
      <c r="H166" s="198"/>
      <c r="I166" s="1038"/>
      <c r="J166" s="1043"/>
      <c r="K166" s="1043"/>
      <c r="L166" s="1043"/>
      <c r="M166" s="1043"/>
      <c r="N166" s="1043"/>
      <c r="O166" s="1043"/>
      <c r="P166" s="1043"/>
      <c r="Q166" s="1043"/>
      <c r="R166" s="1043"/>
      <c r="S166" s="1043"/>
      <c r="T166" s="1043"/>
      <c r="U166" s="1043"/>
      <c r="V166" s="1043"/>
      <c r="W166" s="1043"/>
      <c r="X166" s="1043"/>
      <c r="Y166" s="1043"/>
      <c r="Z166" s="1043"/>
      <c r="AA166" s="1043"/>
      <c r="AB166" s="1043"/>
      <c r="AC166" s="1043"/>
      <c r="AD166" s="1043"/>
      <c r="AE166" s="1043"/>
      <c r="AF166" s="1043"/>
      <c r="AG166" s="1043"/>
      <c r="AH166" s="1043"/>
      <c r="AI166" s="1043"/>
      <c r="AJ166" s="1043"/>
      <c r="AK166" s="1043"/>
      <c r="AL166" s="1043"/>
      <c r="AM166" s="1043"/>
      <c r="AN166" s="1043"/>
      <c r="AO166" s="1043"/>
      <c r="AP166" s="1043"/>
      <c r="AQ166" s="1043"/>
      <c r="AR166" s="1043"/>
      <c r="AS166" s="1043"/>
      <c r="AT166" s="1043"/>
      <c r="AU166" s="1043"/>
      <c r="AV166" s="1043"/>
      <c r="AW166" s="1043"/>
      <c r="AX166" s="1043"/>
      <c r="AY166" s="1043"/>
      <c r="AZ166" s="1043"/>
      <c r="BA166" s="1043"/>
      <c r="BB166" s="1043"/>
      <c r="BC166" s="1043"/>
      <c r="BD166" s="1043"/>
      <c r="BE166" s="1043"/>
      <c r="BF166" s="1043"/>
      <c r="BG166" s="1043"/>
      <c r="BH166" s="1043"/>
      <c r="BI166" s="1043"/>
      <c r="BJ166" s="1038"/>
      <c r="BK166" s="1038"/>
      <c r="BL166" s="1038"/>
      <c r="BM166" s="1038"/>
      <c r="BN166" s="1038"/>
      <c r="BO166" s="1038"/>
      <c r="BP166" s="1038"/>
      <c r="BQ166" s="1038"/>
      <c r="BR166" s="1038"/>
      <c r="BS166" s="1038"/>
      <c r="BT166" s="1038"/>
      <c r="BU166" s="1038"/>
      <c r="BV166" s="1043"/>
      <c r="BW166" s="989"/>
      <c r="BX166" s="977"/>
      <c r="BY166" s="977"/>
      <c r="BZ166" s="977"/>
      <c r="CA166" s="977"/>
      <c r="CB166" s="977"/>
      <c r="CC166" s="977"/>
      <c r="CD166" s="977"/>
      <c r="CE166" s="977"/>
      <c r="CF166" s="977"/>
      <c r="CG166" s="977"/>
      <c r="CH166" s="980"/>
      <c r="CI166" s="1018"/>
      <c r="CJ166" s="989"/>
      <c r="CK166" s="977"/>
      <c r="CL166" s="977"/>
      <c r="CM166" s="977"/>
      <c r="CN166" s="977"/>
      <c r="CO166" s="977"/>
      <c r="CP166" s="977"/>
      <c r="CQ166" s="977"/>
      <c r="CR166" s="977"/>
      <c r="CS166" s="977"/>
      <c r="CT166" s="977"/>
      <c r="CU166" s="980"/>
      <c r="CV166" s="1018"/>
      <c r="CW166" s="989"/>
      <c r="CX166" s="977"/>
      <c r="CY166" s="977"/>
      <c r="CZ166" s="977"/>
      <c r="DA166" s="977"/>
      <c r="DB166" s="977"/>
      <c r="DC166" s="977"/>
      <c r="DD166" s="977"/>
      <c r="DE166" s="977"/>
      <c r="DF166" s="977"/>
      <c r="DG166" s="977"/>
      <c r="DH166" s="980"/>
      <c r="DI166" s="1018"/>
      <c r="DJ166" s="972"/>
      <c r="DK166" s="214"/>
      <c r="DM166" s="128"/>
    </row>
    <row r="167" spans="1:117" ht="15" customHeight="1" x14ac:dyDescent="0.25">
      <c r="A167" s="1048"/>
      <c r="B167" s="1068"/>
      <c r="C167" s="1069"/>
      <c r="D167" s="1070"/>
      <c r="E167" s="182"/>
      <c r="F167" s="144"/>
      <c r="G167" s="1075"/>
      <c r="H167" s="228">
        <f>ROUNDDOWN(($H$2-D164)/365,0)*30</f>
        <v>0</v>
      </c>
      <c r="I167" s="1038"/>
      <c r="J167" s="1043"/>
      <c r="K167" s="1043"/>
      <c r="L167" s="1043"/>
      <c r="M167" s="1043"/>
      <c r="N167" s="1043"/>
      <c r="O167" s="1043"/>
      <c r="P167" s="1043"/>
      <c r="Q167" s="1043"/>
      <c r="R167" s="1043"/>
      <c r="S167" s="1043"/>
      <c r="T167" s="1043"/>
      <c r="U167" s="1043"/>
      <c r="V167" s="1043"/>
      <c r="W167" s="1043"/>
      <c r="X167" s="1043"/>
      <c r="Y167" s="1043"/>
      <c r="Z167" s="1043"/>
      <c r="AA167" s="1043"/>
      <c r="AB167" s="1043"/>
      <c r="AC167" s="1043"/>
      <c r="AD167" s="1043"/>
      <c r="AE167" s="1043"/>
      <c r="AF167" s="1043"/>
      <c r="AG167" s="1043"/>
      <c r="AH167" s="1043"/>
      <c r="AI167" s="1043"/>
      <c r="AJ167" s="1043"/>
      <c r="AK167" s="1043"/>
      <c r="AL167" s="1043"/>
      <c r="AM167" s="1043"/>
      <c r="AN167" s="1043"/>
      <c r="AO167" s="1043"/>
      <c r="AP167" s="1043"/>
      <c r="AQ167" s="1043"/>
      <c r="AR167" s="1043"/>
      <c r="AS167" s="1043"/>
      <c r="AT167" s="1043"/>
      <c r="AU167" s="1043"/>
      <c r="AV167" s="1043"/>
      <c r="AW167" s="1043"/>
      <c r="AX167" s="1043"/>
      <c r="AY167" s="1043"/>
      <c r="AZ167" s="1043"/>
      <c r="BA167" s="1043"/>
      <c r="BB167" s="1043"/>
      <c r="BC167" s="1043"/>
      <c r="BD167" s="1043"/>
      <c r="BE167" s="1043"/>
      <c r="BF167" s="1043"/>
      <c r="BG167" s="1043"/>
      <c r="BH167" s="1043"/>
      <c r="BI167" s="1043"/>
      <c r="BJ167" s="1038"/>
      <c r="BK167" s="1038"/>
      <c r="BL167" s="1038"/>
      <c r="BM167" s="1038"/>
      <c r="BN167" s="1038"/>
      <c r="BO167" s="1038"/>
      <c r="BP167" s="1038"/>
      <c r="BQ167" s="1038"/>
      <c r="BR167" s="1038"/>
      <c r="BS167" s="1038"/>
      <c r="BT167" s="1038"/>
      <c r="BU167" s="1038"/>
      <c r="BV167" s="1043"/>
      <c r="BW167" s="989"/>
      <c r="BX167" s="977"/>
      <c r="BY167" s="977"/>
      <c r="BZ167" s="977"/>
      <c r="CA167" s="977"/>
      <c r="CB167" s="977"/>
      <c r="CC167" s="977"/>
      <c r="CD167" s="977"/>
      <c r="CE167" s="977"/>
      <c r="CF167" s="977"/>
      <c r="CG167" s="977"/>
      <c r="CH167" s="980"/>
      <c r="CI167" s="1018"/>
      <c r="CJ167" s="989"/>
      <c r="CK167" s="977"/>
      <c r="CL167" s="977"/>
      <c r="CM167" s="977"/>
      <c r="CN167" s="977"/>
      <c r="CO167" s="977"/>
      <c r="CP167" s="977"/>
      <c r="CQ167" s="977"/>
      <c r="CR167" s="977"/>
      <c r="CS167" s="977"/>
      <c r="CT167" s="977"/>
      <c r="CU167" s="980"/>
      <c r="CV167" s="1018"/>
      <c r="CW167" s="989"/>
      <c r="CX167" s="977"/>
      <c r="CY167" s="977"/>
      <c r="CZ167" s="977"/>
      <c r="DA167" s="977"/>
      <c r="DB167" s="977"/>
      <c r="DC167" s="977"/>
      <c r="DD167" s="977"/>
      <c r="DE167" s="977"/>
      <c r="DF167" s="977"/>
      <c r="DG167" s="977"/>
      <c r="DH167" s="980"/>
      <c r="DI167" s="1018"/>
      <c r="DJ167" s="972"/>
      <c r="DK167" s="214"/>
    </row>
    <row r="168" spans="1:117" ht="15" customHeight="1" x14ac:dyDescent="0.25">
      <c r="A168" s="1048"/>
      <c r="B168" s="1068"/>
      <c r="C168" s="1069"/>
      <c r="D168" s="1070"/>
      <c r="E168" s="182"/>
      <c r="F168" s="144"/>
      <c r="G168" s="1075"/>
      <c r="H168" s="198"/>
      <c r="I168" s="1038"/>
      <c r="J168" s="1043"/>
      <c r="K168" s="1043"/>
      <c r="L168" s="1043"/>
      <c r="M168" s="1043"/>
      <c r="N168" s="1043"/>
      <c r="O168" s="1043"/>
      <c r="P168" s="1043"/>
      <c r="Q168" s="1043"/>
      <c r="R168" s="1043"/>
      <c r="S168" s="1043"/>
      <c r="T168" s="1043"/>
      <c r="U168" s="1043"/>
      <c r="V168" s="1043"/>
      <c r="W168" s="1043"/>
      <c r="X168" s="1043"/>
      <c r="Y168" s="1043"/>
      <c r="Z168" s="1043"/>
      <c r="AA168" s="1043"/>
      <c r="AB168" s="1043"/>
      <c r="AC168" s="1043"/>
      <c r="AD168" s="1043"/>
      <c r="AE168" s="1043"/>
      <c r="AF168" s="1043"/>
      <c r="AG168" s="1043"/>
      <c r="AH168" s="1043"/>
      <c r="AI168" s="1043"/>
      <c r="AJ168" s="1043"/>
      <c r="AK168" s="1043"/>
      <c r="AL168" s="1043"/>
      <c r="AM168" s="1043"/>
      <c r="AN168" s="1043"/>
      <c r="AO168" s="1043"/>
      <c r="AP168" s="1043"/>
      <c r="AQ168" s="1043"/>
      <c r="AR168" s="1043"/>
      <c r="AS168" s="1043"/>
      <c r="AT168" s="1043"/>
      <c r="AU168" s="1043"/>
      <c r="AV168" s="1043"/>
      <c r="AW168" s="1043"/>
      <c r="AX168" s="1043"/>
      <c r="AY168" s="1043"/>
      <c r="AZ168" s="1043"/>
      <c r="BA168" s="1043"/>
      <c r="BB168" s="1043"/>
      <c r="BC168" s="1043"/>
      <c r="BD168" s="1043"/>
      <c r="BE168" s="1043"/>
      <c r="BF168" s="1043"/>
      <c r="BG168" s="1043"/>
      <c r="BH168" s="1043"/>
      <c r="BI168" s="1043"/>
      <c r="BJ168" s="1038"/>
      <c r="BK168" s="1038"/>
      <c r="BL168" s="1038"/>
      <c r="BM168" s="1038"/>
      <c r="BN168" s="1038"/>
      <c r="BO168" s="1038"/>
      <c r="BP168" s="1038"/>
      <c r="BQ168" s="1038"/>
      <c r="BR168" s="1038"/>
      <c r="BS168" s="1038"/>
      <c r="BT168" s="1038"/>
      <c r="BU168" s="1038"/>
      <c r="BV168" s="1043"/>
      <c r="BW168" s="989"/>
      <c r="BX168" s="977"/>
      <c r="BY168" s="977"/>
      <c r="BZ168" s="977"/>
      <c r="CA168" s="977"/>
      <c r="CB168" s="977"/>
      <c r="CC168" s="977"/>
      <c r="CD168" s="977"/>
      <c r="CE168" s="977"/>
      <c r="CF168" s="977"/>
      <c r="CG168" s="977"/>
      <c r="CH168" s="980"/>
      <c r="CI168" s="1018"/>
      <c r="CJ168" s="989"/>
      <c r="CK168" s="977"/>
      <c r="CL168" s="977"/>
      <c r="CM168" s="977"/>
      <c r="CN168" s="977"/>
      <c r="CO168" s="977"/>
      <c r="CP168" s="977"/>
      <c r="CQ168" s="977"/>
      <c r="CR168" s="977"/>
      <c r="CS168" s="977"/>
      <c r="CT168" s="977"/>
      <c r="CU168" s="980"/>
      <c r="CV168" s="1018"/>
      <c r="CW168" s="989"/>
      <c r="CX168" s="977"/>
      <c r="CY168" s="977"/>
      <c r="CZ168" s="977"/>
      <c r="DA168" s="977"/>
      <c r="DB168" s="977"/>
      <c r="DC168" s="977"/>
      <c r="DD168" s="977"/>
      <c r="DE168" s="977"/>
      <c r="DF168" s="977"/>
      <c r="DG168" s="977"/>
      <c r="DH168" s="980"/>
      <c r="DI168" s="1018"/>
      <c r="DJ168" s="972"/>
      <c r="DK168" s="214"/>
    </row>
    <row r="169" spans="1:117" ht="15" customHeight="1" x14ac:dyDescent="0.25">
      <c r="A169" s="1048"/>
      <c r="B169" s="1068"/>
      <c r="C169" s="1069"/>
      <c r="D169" s="1070"/>
      <c r="E169" s="183"/>
      <c r="F169" s="145"/>
      <c r="G169" s="1076"/>
      <c r="H169" s="199"/>
      <c r="I169" s="1039"/>
      <c r="J169" s="1043"/>
      <c r="K169" s="1043"/>
      <c r="L169" s="1043"/>
      <c r="M169" s="1043"/>
      <c r="N169" s="1043"/>
      <c r="O169" s="1043"/>
      <c r="P169" s="1043"/>
      <c r="Q169" s="1043"/>
      <c r="R169" s="1043"/>
      <c r="S169" s="1043"/>
      <c r="T169" s="1043"/>
      <c r="U169" s="1043"/>
      <c r="V169" s="1043"/>
      <c r="W169" s="1043"/>
      <c r="X169" s="1043"/>
      <c r="Y169" s="1043"/>
      <c r="Z169" s="1043"/>
      <c r="AA169" s="1043"/>
      <c r="AB169" s="1043"/>
      <c r="AC169" s="1043"/>
      <c r="AD169" s="1043"/>
      <c r="AE169" s="1043"/>
      <c r="AF169" s="1043"/>
      <c r="AG169" s="1043"/>
      <c r="AH169" s="1043"/>
      <c r="AI169" s="1043"/>
      <c r="AJ169" s="1043"/>
      <c r="AK169" s="1043"/>
      <c r="AL169" s="1043"/>
      <c r="AM169" s="1043"/>
      <c r="AN169" s="1043"/>
      <c r="AO169" s="1043"/>
      <c r="AP169" s="1043"/>
      <c r="AQ169" s="1043"/>
      <c r="AR169" s="1043"/>
      <c r="AS169" s="1043"/>
      <c r="AT169" s="1043"/>
      <c r="AU169" s="1043"/>
      <c r="AV169" s="1043"/>
      <c r="AW169" s="1043"/>
      <c r="AX169" s="1043"/>
      <c r="AY169" s="1043"/>
      <c r="AZ169" s="1043"/>
      <c r="BA169" s="1043"/>
      <c r="BB169" s="1043"/>
      <c r="BC169" s="1043"/>
      <c r="BD169" s="1043"/>
      <c r="BE169" s="1043"/>
      <c r="BF169" s="1043"/>
      <c r="BG169" s="1043"/>
      <c r="BH169" s="1043"/>
      <c r="BI169" s="1043"/>
      <c r="BJ169" s="1039"/>
      <c r="BK169" s="1039"/>
      <c r="BL169" s="1039"/>
      <c r="BM169" s="1039"/>
      <c r="BN169" s="1039"/>
      <c r="BO169" s="1039"/>
      <c r="BP169" s="1039"/>
      <c r="BQ169" s="1039"/>
      <c r="BR169" s="1039"/>
      <c r="BS169" s="1039"/>
      <c r="BT169" s="1039"/>
      <c r="BU169" s="1039"/>
      <c r="BV169" s="1043"/>
      <c r="BW169" s="990"/>
      <c r="BX169" s="978"/>
      <c r="BY169" s="978"/>
      <c r="BZ169" s="978"/>
      <c r="CA169" s="978"/>
      <c r="CB169" s="978"/>
      <c r="CC169" s="978"/>
      <c r="CD169" s="978"/>
      <c r="CE169" s="978"/>
      <c r="CF169" s="978"/>
      <c r="CG169" s="978"/>
      <c r="CH169" s="981"/>
      <c r="CI169" s="1018"/>
      <c r="CJ169" s="990"/>
      <c r="CK169" s="978"/>
      <c r="CL169" s="978"/>
      <c r="CM169" s="978"/>
      <c r="CN169" s="978"/>
      <c r="CO169" s="978"/>
      <c r="CP169" s="978"/>
      <c r="CQ169" s="978"/>
      <c r="CR169" s="978"/>
      <c r="CS169" s="978"/>
      <c r="CT169" s="978"/>
      <c r="CU169" s="981"/>
      <c r="CV169" s="1018"/>
      <c r="CW169" s="990"/>
      <c r="CX169" s="978"/>
      <c r="CY169" s="978"/>
      <c r="CZ169" s="978"/>
      <c r="DA169" s="978"/>
      <c r="DB169" s="978"/>
      <c r="DC169" s="978"/>
      <c r="DD169" s="978"/>
      <c r="DE169" s="978"/>
      <c r="DF169" s="978"/>
      <c r="DG169" s="978"/>
      <c r="DH169" s="981"/>
      <c r="DI169" s="1018"/>
      <c r="DJ169" s="973"/>
      <c r="DK169" s="215"/>
    </row>
    <row r="170" spans="1:117" ht="15" customHeight="1" x14ac:dyDescent="0.25">
      <c r="A170" s="1048">
        <v>16</v>
      </c>
      <c r="B170" s="1068" t="s">
        <v>306</v>
      </c>
      <c r="C170" s="1069" t="s">
        <v>264</v>
      </c>
      <c r="D170" s="1070" t="s">
        <v>307</v>
      </c>
      <c r="E170" s="182" t="s">
        <v>308</v>
      </c>
      <c r="F170" s="164">
        <v>30</v>
      </c>
      <c r="G170" s="1074">
        <f>F170+F171+F175+F172+F173+F174</f>
        <v>60</v>
      </c>
      <c r="H170" s="197"/>
      <c r="I170" s="1037"/>
      <c r="J170" s="1043"/>
      <c r="K170" s="1043"/>
      <c r="L170" s="1043"/>
      <c r="M170" s="1043"/>
      <c r="N170" s="1043"/>
      <c r="O170" s="1043"/>
      <c r="P170" s="1043"/>
      <c r="Q170" s="1043"/>
      <c r="R170" s="1043"/>
      <c r="S170" s="1043"/>
      <c r="T170" s="1043"/>
      <c r="U170" s="1043"/>
      <c r="V170" s="1043"/>
      <c r="W170" s="1043"/>
      <c r="X170" s="1043"/>
      <c r="Y170" s="1043"/>
      <c r="Z170" s="1043"/>
      <c r="AA170" s="1043"/>
      <c r="AB170" s="1043"/>
      <c r="AC170" s="1043"/>
      <c r="AD170" s="1043"/>
      <c r="AE170" s="1043"/>
      <c r="AF170" s="1043"/>
      <c r="AG170" s="1043"/>
      <c r="AH170" s="1043"/>
      <c r="AI170" s="1043"/>
      <c r="AJ170" s="1043"/>
      <c r="AK170" s="1043"/>
      <c r="AL170" s="1043"/>
      <c r="AM170" s="1043"/>
      <c r="AN170" s="1043"/>
      <c r="AO170" s="1043"/>
      <c r="AP170" s="1043"/>
      <c r="AQ170" s="1043"/>
      <c r="AR170" s="1043"/>
      <c r="AS170" s="1043"/>
      <c r="AT170" s="1043"/>
      <c r="AU170" s="1043"/>
      <c r="AV170" s="1043"/>
      <c r="AW170" s="1043"/>
      <c r="AX170" s="1043"/>
      <c r="AY170" s="1043"/>
      <c r="AZ170" s="1043"/>
      <c r="BA170" s="1043"/>
      <c r="BB170" s="1043"/>
      <c r="BC170" s="1043"/>
      <c r="BD170" s="1043"/>
      <c r="BE170" s="1043"/>
      <c r="BF170" s="1043"/>
      <c r="BG170" s="1043"/>
      <c r="BH170" s="1043"/>
      <c r="BI170" s="1043"/>
      <c r="BJ170" s="1037"/>
      <c r="BK170" s="1037"/>
      <c r="BL170" s="1037"/>
      <c r="BM170" s="1037"/>
      <c r="BN170" s="1037"/>
      <c r="BO170" s="1037"/>
      <c r="BP170" s="1037"/>
      <c r="BQ170" s="1037"/>
      <c r="BR170" s="1037"/>
      <c r="BS170" s="1037"/>
      <c r="BT170" s="1037"/>
      <c r="BU170" s="1037"/>
      <c r="BV170" s="1043"/>
      <c r="BW170" s="988"/>
      <c r="BX170" s="976"/>
      <c r="BY170" s="976"/>
      <c r="BZ170" s="976"/>
      <c r="CA170" s="976"/>
      <c r="CB170" s="976"/>
      <c r="CC170" s="976"/>
      <c r="CD170" s="976"/>
      <c r="CE170" s="976"/>
      <c r="CF170" s="976"/>
      <c r="CG170" s="976"/>
      <c r="CH170" s="979"/>
      <c r="CI170" s="1018"/>
      <c r="CJ170" s="988"/>
      <c r="CK170" s="976"/>
      <c r="CL170" s="976"/>
      <c r="CM170" s="976"/>
      <c r="CN170" s="976"/>
      <c r="CO170" s="976"/>
      <c r="CP170" s="976"/>
      <c r="CQ170" s="976"/>
      <c r="CR170" s="976"/>
      <c r="CS170" s="976"/>
      <c r="CT170" s="976"/>
      <c r="CU170" s="979"/>
      <c r="CV170" s="1018"/>
      <c r="CW170" s="988">
        <v>7</v>
      </c>
      <c r="CX170" s="976"/>
      <c r="CY170" s="976"/>
      <c r="CZ170" s="976"/>
      <c r="DA170" s="976"/>
      <c r="DB170" s="976"/>
      <c r="DC170" s="976"/>
      <c r="DD170" s="976"/>
      <c r="DE170" s="976">
        <v>5</v>
      </c>
      <c r="DF170" s="976">
        <v>18</v>
      </c>
      <c r="DG170" s="976"/>
      <c r="DH170" s="979"/>
      <c r="DI170" s="1018">
        <f>SUM(CW170:DH175)</f>
        <v>30</v>
      </c>
      <c r="DJ170" s="971">
        <f>I170+V170+AI170+AV170+BI170+BV170+CI170+CV170+DI170</f>
        <v>30</v>
      </c>
      <c r="DK170" s="230">
        <f>H173-DJ170</f>
        <v>0</v>
      </c>
    </row>
    <row r="171" spans="1:117" ht="15" customHeight="1" x14ac:dyDescent="0.25">
      <c r="A171" s="1048"/>
      <c r="B171" s="1068"/>
      <c r="C171" s="1069"/>
      <c r="D171" s="1070"/>
      <c r="E171" s="182" t="s">
        <v>269</v>
      </c>
      <c r="F171" s="144">
        <v>30</v>
      </c>
      <c r="G171" s="1075"/>
      <c r="H171" s="198"/>
      <c r="I171" s="1038"/>
      <c r="J171" s="1043"/>
      <c r="K171" s="1043"/>
      <c r="L171" s="1043"/>
      <c r="M171" s="1043"/>
      <c r="N171" s="1043"/>
      <c r="O171" s="1043"/>
      <c r="P171" s="1043"/>
      <c r="Q171" s="1043"/>
      <c r="R171" s="1043"/>
      <c r="S171" s="1043"/>
      <c r="T171" s="1043"/>
      <c r="U171" s="1043"/>
      <c r="V171" s="1043"/>
      <c r="W171" s="1043"/>
      <c r="X171" s="1043"/>
      <c r="Y171" s="1043"/>
      <c r="Z171" s="1043"/>
      <c r="AA171" s="1043"/>
      <c r="AB171" s="1043"/>
      <c r="AC171" s="1043"/>
      <c r="AD171" s="1043"/>
      <c r="AE171" s="1043"/>
      <c r="AF171" s="1043"/>
      <c r="AG171" s="1043"/>
      <c r="AH171" s="1043"/>
      <c r="AI171" s="1043"/>
      <c r="AJ171" s="1043"/>
      <c r="AK171" s="1043"/>
      <c r="AL171" s="1043"/>
      <c r="AM171" s="1043"/>
      <c r="AN171" s="1043"/>
      <c r="AO171" s="1043"/>
      <c r="AP171" s="1043"/>
      <c r="AQ171" s="1043"/>
      <c r="AR171" s="1043"/>
      <c r="AS171" s="1043"/>
      <c r="AT171" s="1043"/>
      <c r="AU171" s="1043"/>
      <c r="AV171" s="1043"/>
      <c r="AW171" s="1043"/>
      <c r="AX171" s="1043"/>
      <c r="AY171" s="1043"/>
      <c r="AZ171" s="1043"/>
      <c r="BA171" s="1043"/>
      <c r="BB171" s="1043"/>
      <c r="BC171" s="1043"/>
      <c r="BD171" s="1043"/>
      <c r="BE171" s="1043"/>
      <c r="BF171" s="1043"/>
      <c r="BG171" s="1043"/>
      <c r="BH171" s="1043"/>
      <c r="BI171" s="1043"/>
      <c r="BJ171" s="1038"/>
      <c r="BK171" s="1038"/>
      <c r="BL171" s="1038"/>
      <c r="BM171" s="1038"/>
      <c r="BN171" s="1038"/>
      <c r="BO171" s="1038"/>
      <c r="BP171" s="1038"/>
      <c r="BQ171" s="1038"/>
      <c r="BR171" s="1038"/>
      <c r="BS171" s="1038"/>
      <c r="BT171" s="1038"/>
      <c r="BU171" s="1038"/>
      <c r="BV171" s="1043"/>
      <c r="BW171" s="989"/>
      <c r="BX171" s="977"/>
      <c r="BY171" s="977"/>
      <c r="BZ171" s="977"/>
      <c r="CA171" s="977"/>
      <c r="CB171" s="977"/>
      <c r="CC171" s="977"/>
      <c r="CD171" s="977"/>
      <c r="CE171" s="977"/>
      <c r="CF171" s="977"/>
      <c r="CG171" s="977"/>
      <c r="CH171" s="980"/>
      <c r="CI171" s="1018"/>
      <c r="CJ171" s="989"/>
      <c r="CK171" s="977"/>
      <c r="CL171" s="977"/>
      <c r="CM171" s="977"/>
      <c r="CN171" s="977"/>
      <c r="CO171" s="977"/>
      <c r="CP171" s="977"/>
      <c r="CQ171" s="977"/>
      <c r="CR171" s="977"/>
      <c r="CS171" s="977"/>
      <c r="CT171" s="977"/>
      <c r="CU171" s="980"/>
      <c r="CV171" s="1018"/>
      <c r="CW171" s="989"/>
      <c r="CX171" s="977"/>
      <c r="CY171" s="977"/>
      <c r="CZ171" s="977"/>
      <c r="DA171" s="977"/>
      <c r="DB171" s="977"/>
      <c r="DC171" s="977"/>
      <c r="DD171" s="977"/>
      <c r="DE171" s="977"/>
      <c r="DF171" s="977"/>
      <c r="DG171" s="977"/>
      <c r="DH171" s="980"/>
      <c r="DI171" s="1018"/>
      <c r="DJ171" s="972"/>
      <c r="DK171" s="214"/>
    </row>
    <row r="172" spans="1:117" ht="15" customHeight="1" x14ac:dyDescent="0.25">
      <c r="A172" s="1048"/>
      <c r="B172" s="1068"/>
      <c r="C172" s="1069"/>
      <c r="D172" s="1070"/>
      <c r="E172" s="246"/>
      <c r="F172" s="143"/>
      <c r="G172" s="1075"/>
      <c r="H172" s="198"/>
      <c r="I172" s="1038"/>
      <c r="J172" s="1043"/>
      <c r="K172" s="1043"/>
      <c r="L172" s="1043"/>
      <c r="M172" s="1043"/>
      <c r="N172" s="1043"/>
      <c r="O172" s="1043"/>
      <c r="P172" s="1043"/>
      <c r="Q172" s="1043"/>
      <c r="R172" s="1043"/>
      <c r="S172" s="1043"/>
      <c r="T172" s="1043"/>
      <c r="U172" s="1043"/>
      <c r="V172" s="1043"/>
      <c r="W172" s="1043"/>
      <c r="X172" s="1043"/>
      <c r="Y172" s="1043"/>
      <c r="Z172" s="1043"/>
      <c r="AA172" s="1043"/>
      <c r="AB172" s="1043"/>
      <c r="AC172" s="1043"/>
      <c r="AD172" s="1043"/>
      <c r="AE172" s="1043"/>
      <c r="AF172" s="1043"/>
      <c r="AG172" s="1043"/>
      <c r="AH172" s="1043"/>
      <c r="AI172" s="1043"/>
      <c r="AJ172" s="1043"/>
      <c r="AK172" s="1043"/>
      <c r="AL172" s="1043"/>
      <c r="AM172" s="1043"/>
      <c r="AN172" s="1043"/>
      <c r="AO172" s="1043"/>
      <c r="AP172" s="1043"/>
      <c r="AQ172" s="1043"/>
      <c r="AR172" s="1043"/>
      <c r="AS172" s="1043"/>
      <c r="AT172" s="1043"/>
      <c r="AU172" s="1043"/>
      <c r="AV172" s="1043"/>
      <c r="AW172" s="1043"/>
      <c r="AX172" s="1043"/>
      <c r="AY172" s="1043"/>
      <c r="AZ172" s="1043"/>
      <c r="BA172" s="1043"/>
      <c r="BB172" s="1043"/>
      <c r="BC172" s="1043"/>
      <c r="BD172" s="1043"/>
      <c r="BE172" s="1043"/>
      <c r="BF172" s="1043"/>
      <c r="BG172" s="1043"/>
      <c r="BH172" s="1043"/>
      <c r="BI172" s="1043"/>
      <c r="BJ172" s="1038"/>
      <c r="BK172" s="1038"/>
      <c r="BL172" s="1038"/>
      <c r="BM172" s="1038"/>
      <c r="BN172" s="1038"/>
      <c r="BO172" s="1038"/>
      <c r="BP172" s="1038"/>
      <c r="BQ172" s="1038"/>
      <c r="BR172" s="1038"/>
      <c r="BS172" s="1038"/>
      <c r="BT172" s="1038"/>
      <c r="BU172" s="1038"/>
      <c r="BV172" s="1043"/>
      <c r="BW172" s="989"/>
      <c r="BX172" s="977"/>
      <c r="BY172" s="977"/>
      <c r="BZ172" s="977"/>
      <c r="CA172" s="977"/>
      <c r="CB172" s="977"/>
      <c r="CC172" s="977"/>
      <c r="CD172" s="977"/>
      <c r="CE172" s="977"/>
      <c r="CF172" s="977"/>
      <c r="CG172" s="977"/>
      <c r="CH172" s="980"/>
      <c r="CI172" s="1018"/>
      <c r="CJ172" s="989"/>
      <c r="CK172" s="977"/>
      <c r="CL172" s="977"/>
      <c r="CM172" s="977"/>
      <c r="CN172" s="977"/>
      <c r="CO172" s="977"/>
      <c r="CP172" s="977"/>
      <c r="CQ172" s="977"/>
      <c r="CR172" s="977"/>
      <c r="CS172" s="977"/>
      <c r="CT172" s="977"/>
      <c r="CU172" s="980"/>
      <c r="CV172" s="1018"/>
      <c r="CW172" s="989"/>
      <c r="CX172" s="977"/>
      <c r="CY172" s="977"/>
      <c r="CZ172" s="977"/>
      <c r="DA172" s="977"/>
      <c r="DB172" s="977"/>
      <c r="DC172" s="977"/>
      <c r="DD172" s="977"/>
      <c r="DE172" s="977"/>
      <c r="DF172" s="977"/>
      <c r="DG172" s="977"/>
      <c r="DH172" s="980"/>
      <c r="DI172" s="1018"/>
      <c r="DJ172" s="972"/>
      <c r="DK172" s="214"/>
      <c r="DM172" s="128"/>
    </row>
    <row r="173" spans="1:117" ht="15" customHeight="1" x14ac:dyDescent="0.25">
      <c r="A173" s="1048"/>
      <c r="B173" s="1068"/>
      <c r="C173" s="1069"/>
      <c r="D173" s="1070"/>
      <c r="E173" s="182"/>
      <c r="F173" s="144"/>
      <c r="G173" s="1075"/>
      <c r="H173" s="228">
        <f>ROUNDDOWN(($H$2-D170)/365,0)*30</f>
        <v>30</v>
      </c>
      <c r="I173" s="1038"/>
      <c r="J173" s="1043"/>
      <c r="K173" s="1043"/>
      <c r="L173" s="1043"/>
      <c r="M173" s="1043"/>
      <c r="N173" s="1043"/>
      <c r="O173" s="1043"/>
      <c r="P173" s="1043"/>
      <c r="Q173" s="1043"/>
      <c r="R173" s="1043"/>
      <c r="S173" s="1043"/>
      <c r="T173" s="1043"/>
      <c r="U173" s="1043"/>
      <c r="V173" s="1043"/>
      <c r="W173" s="1043"/>
      <c r="X173" s="1043"/>
      <c r="Y173" s="1043"/>
      <c r="Z173" s="1043"/>
      <c r="AA173" s="1043"/>
      <c r="AB173" s="1043"/>
      <c r="AC173" s="1043"/>
      <c r="AD173" s="1043"/>
      <c r="AE173" s="1043"/>
      <c r="AF173" s="1043"/>
      <c r="AG173" s="1043"/>
      <c r="AH173" s="1043"/>
      <c r="AI173" s="1043"/>
      <c r="AJ173" s="1043"/>
      <c r="AK173" s="1043"/>
      <c r="AL173" s="1043"/>
      <c r="AM173" s="1043"/>
      <c r="AN173" s="1043"/>
      <c r="AO173" s="1043"/>
      <c r="AP173" s="1043"/>
      <c r="AQ173" s="1043"/>
      <c r="AR173" s="1043"/>
      <c r="AS173" s="1043"/>
      <c r="AT173" s="1043"/>
      <c r="AU173" s="1043"/>
      <c r="AV173" s="1043"/>
      <c r="AW173" s="1043"/>
      <c r="AX173" s="1043"/>
      <c r="AY173" s="1043"/>
      <c r="AZ173" s="1043"/>
      <c r="BA173" s="1043"/>
      <c r="BB173" s="1043"/>
      <c r="BC173" s="1043"/>
      <c r="BD173" s="1043"/>
      <c r="BE173" s="1043"/>
      <c r="BF173" s="1043"/>
      <c r="BG173" s="1043"/>
      <c r="BH173" s="1043"/>
      <c r="BI173" s="1043"/>
      <c r="BJ173" s="1038"/>
      <c r="BK173" s="1038"/>
      <c r="BL173" s="1038"/>
      <c r="BM173" s="1038"/>
      <c r="BN173" s="1038"/>
      <c r="BO173" s="1038"/>
      <c r="BP173" s="1038"/>
      <c r="BQ173" s="1038"/>
      <c r="BR173" s="1038"/>
      <c r="BS173" s="1038"/>
      <c r="BT173" s="1038"/>
      <c r="BU173" s="1038"/>
      <c r="BV173" s="1043"/>
      <c r="BW173" s="989"/>
      <c r="BX173" s="977"/>
      <c r="BY173" s="977"/>
      <c r="BZ173" s="977"/>
      <c r="CA173" s="977"/>
      <c r="CB173" s="977"/>
      <c r="CC173" s="977"/>
      <c r="CD173" s="977"/>
      <c r="CE173" s="977"/>
      <c r="CF173" s="977"/>
      <c r="CG173" s="977"/>
      <c r="CH173" s="980"/>
      <c r="CI173" s="1018"/>
      <c r="CJ173" s="989"/>
      <c r="CK173" s="977"/>
      <c r="CL173" s="977"/>
      <c r="CM173" s="977"/>
      <c r="CN173" s="977"/>
      <c r="CO173" s="977"/>
      <c r="CP173" s="977"/>
      <c r="CQ173" s="977"/>
      <c r="CR173" s="977"/>
      <c r="CS173" s="977"/>
      <c r="CT173" s="977"/>
      <c r="CU173" s="980"/>
      <c r="CV173" s="1018"/>
      <c r="CW173" s="989"/>
      <c r="CX173" s="977"/>
      <c r="CY173" s="977"/>
      <c r="CZ173" s="977"/>
      <c r="DA173" s="977"/>
      <c r="DB173" s="977"/>
      <c r="DC173" s="977"/>
      <c r="DD173" s="977"/>
      <c r="DE173" s="977"/>
      <c r="DF173" s="977"/>
      <c r="DG173" s="977"/>
      <c r="DH173" s="980"/>
      <c r="DI173" s="1018"/>
      <c r="DJ173" s="972"/>
      <c r="DK173" s="214"/>
    </row>
    <row r="174" spans="1:117" ht="15" customHeight="1" x14ac:dyDescent="0.25">
      <c r="A174" s="1048"/>
      <c r="B174" s="1068"/>
      <c r="C174" s="1069"/>
      <c r="D174" s="1070"/>
      <c r="E174" s="182"/>
      <c r="F174" s="144"/>
      <c r="G174" s="1075"/>
      <c r="H174" s="198"/>
      <c r="I174" s="1038"/>
      <c r="J174" s="1043"/>
      <c r="K174" s="1043"/>
      <c r="L174" s="1043"/>
      <c r="M174" s="1043"/>
      <c r="N174" s="1043"/>
      <c r="O174" s="1043"/>
      <c r="P174" s="1043"/>
      <c r="Q174" s="1043"/>
      <c r="R174" s="1043"/>
      <c r="S174" s="1043"/>
      <c r="T174" s="1043"/>
      <c r="U174" s="1043"/>
      <c r="V174" s="1043"/>
      <c r="W174" s="1043"/>
      <c r="X174" s="1043"/>
      <c r="Y174" s="1043"/>
      <c r="Z174" s="1043"/>
      <c r="AA174" s="1043"/>
      <c r="AB174" s="1043"/>
      <c r="AC174" s="1043"/>
      <c r="AD174" s="1043"/>
      <c r="AE174" s="1043"/>
      <c r="AF174" s="1043"/>
      <c r="AG174" s="1043"/>
      <c r="AH174" s="1043"/>
      <c r="AI174" s="1043"/>
      <c r="AJ174" s="1043"/>
      <c r="AK174" s="1043"/>
      <c r="AL174" s="1043"/>
      <c r="AM174" s="1043"/>
      <c r="AN174" s="1043"/>
      <c r="AO174" s="1043"/>
      <c r="AP174" s="1043"/>
      <c r="AQ174" s="1043"/>
      <c r="AR174" s="1043"/>
      <c r="AS174" s="1043"/>
      <c r="AT174" s="1043"/>
      <c r="AU174" s="1043"/>
      <c r="AV174" s="1043"/>
      <c r="AW174" s="1043"/>
      <c r="AX174" s="1043"/>
      <c r="AY174" s="1043"/>
      <c r="AZ174" s="1043"/>
      <c r="BA174" s="1043"/>
      <c r="BB174" s="1043"/>
      <c r="BC174" s="1043"/>
      <c r="BD174" s="1043"/>
      <c r="BE174" s="1043"/>
      <c r="BF174" s="1043"/>
      <c r="BG174" s="1043"/>
      <c r="BH174" s="1043"/>
      <c r="BI174" s="1043"/>
      <c r="BJ174" s="1038"/>
      <c r="BK174" s="1038"/>
      <c r="BL174" s="1038"/>
      <c r="BM174" s="1038"/>
      <c r="BN174" s="1038"/>
      <c r="BO174" s="1038"/>
      <c r="BP174" s="1038"/>
      <c r="BQ174" s="1038"/>
      <c r="BR174" s="1038"/>
      <c r="BS174" s="1038"/>
      <c r="BT174" s="1038"/>
      <c r="BU174" s="1038"/>
      <c r="BV174" s="1043"/>
      <c r="BW174" s="989"/>
      <c r="BX174" s="977"/>
      <c r="BY174" s="977"/>
      <c r="BZ174" s="977"/>
      <c r="CA174" s="977"/>
      <c r="CB174" s="977"/>
      <c r="CC174" s="977"/>
      <c r="CD174" s="977"/>
      <c r="CE174" s="977"/>
      <c r="CF174" s="977"/>
      <c r="CG174" s="977"/>
      <c r="CH174" s="980"/>
      <c r="CI174" s="1018"/>
      <c r="CJ174" s="989"/>
      <c r="CK174" s="977"/>
      <c r="CL174" s="977"/>
      <c r="CM174" s="977"/>
      <c r="CN174" s="977"/>
      <c r="CO174" s="977"/>
      <c r="CP174" s="977"/>
      <c r="CQ174" s="977"/>
      <c r="CR174" s="977"/>
      <c r="CS174" s="977"/>
      <c r="CT174" s="977"/>
      <c r="CU174" s="980"/>
      <c r="CV174" s="1018"/>
      <c r="CW174" s="989"/>
      <c r="CX174" s="977"/>
      <c r="CY174" s="977"/>
      <c r="CZ174" s="977"/>
      <c r="DA174" s="977"/>
      <c r="DB174" s="977"/>
      <c r="DC174" s="977"/>
      <c r="DD174" s="977"/>
      <c r="DE174" s="977"/>
      <c r="DF174" s="977"/>
      <c r="DG174" s="977"/>
      <c r="DH174" s="980"/>
      <c r="DI174" s="1018"/>
      <c r="DJ174" s="972"/>
      <c r="DK174" s="214"/>
    </row>
    <row r="175" spans="1:117" ht="15" customHeight="1" x14ac:dyDescent="0.25">
      <c r="A175" s="1048"/>
      <c r="B175" s="1068"/>
      <c r="C175" s="1069"/>
      <c r="D175" s="1070"/>
      <c r="E175" s="183"/>
      <c r="F175" s="145"/>
      <c r="G175" s="1076"/>
      <c r="H175" s="199"/>
      <c r="I175" s="1039"/>
      <c r="J175" s="1043"/>
      <c r="K175" s="1043"/>
      <c r="L175" s="1043"/>
      <c r="M175" s="1043"/>
      <c r="N175" s="1043"/>
      <c r="O175" s="1043"/>
      <c r="P175" s="1043"/>
      <c r="Q175" s="1043"/>
      <c r="R175" s="1043"/>
      <c r="S175" s="1043"/>
      <c r="T175" s="1043"/>
      <c r="U175" s="1043"/>
      <c r="V175" s="1043"/>
      <c r="W175" s="1043"/>
      <c r="X175" s="1043"/>
      <c r="Y175" s="1043"/>
      <c r="Z175" s="1043"/>
      <c r="AA175" s="1043"/>
      <c r="AB175" s="1043"/>
      <c r="AC175" s="1043"/>
      <c r="AD175" s="1043"/>
      <c r="AE175" s="1043"/>
      <c r="AF175" s="1043"/>
      <c r="AG175" s="1043"/>
      <c r="AH175" s="1043"/>
      <c r="AI175" s="1043"/>
      <c r="AJ175" s="1043"/>
      <c r="AK175" s="1043"/>
      <c r="AL175" s="1043"/>
      <c r="AM175" s="1043"/>
      <c r="AN175" s="1043"/>
      <c r="AO175" s="1043"/>
      <c r="AP175" s="1043"/>
      <c r="AQ175" s="1043"/>
      <c r="AR175" s="1043"/>
      <c r="AS175" s="1043"/>
      <c r="AT175" s="1043"/>
      <c r="AU175" s="1043"/>
      <c r="AV175" s="1043"/>
      <c r="AW175" s="1043"/>
      <c r="AX175" s="1043"/>
      <c r="AY175" s="1043"/>
      <c r="AZ175" s="1043"/>
      <c r="BA175" s="1043"/>
      <c r="BB175" s="1043"/>
      <c r="BC175" s="1043"/>
      <c r="BD175" s="1043"/>
      <c r="BE175" s="1043"/>
      <c r="BF175" s="1043"/>
      <c r="BG175" s="1043"/>
      <c r="BH175" s="1043"/>
      <c r="BI175" s="1043"/>
      <c r="BJ175" s="1039"/>
      <c r="BK175" s="1039"/>
      <c r="BL175" s="1039"/>
      <c r="BM175" s="1039"/>
      <c r="BN175" s="1039"/>
      <c r="BO175" s="1039"/>
      <c r="BP175" s="1039"/>
      <c r="BQ175" s="1039"/>
      <c r="BR175" s="1039"/>
      <c r="BS175" s="1039"/>
      <c r="BT175" s="1039"/>
      <c r="BU175" s="1039"/>
      <c r="BV175" s="1043"/>
      <c r="BW175" s="990"/>
      <c r="BX175" s="978"/>
      <c r="BY175" s="978"/>
      <c r="BZ175" s="978"/>
      <c r="CA175" s="978"/>
      <c r="CB175" s="978"/>
      <c r="CC175" s="978"/>
      <c r="CD175" s="978"/>
      <c r="CE175" s="978"/>
      <c r="CF175" s="978"/>
      <c r="CG175" s="978"/>
      <c r="CH175" s="981"/>
      <c r="CI175" s="1018"/>
      <c r="CJ175" s="990"/>
      <c r="CK175" s="978"/>
      <c r="CL175" s="978"/>
      <c r="CM175" s="978"/>
      <c r="CN175" s="978"/>
      <c r="CO175" s="978"/>
      <c r="CP175" s="978"/>
      <c r="CQ175" s="978"/>
      <c r="CR175" s="978"/>
      <c r="CS175" s="978"/>
      <c r="CT175" s="978"/>
      <c r="CU175" s="981"/>
      <c r="CV175" s="1018"/>
      <c r="CW175" s="990"/>
      <c r="CX175" s="978"/>
      <c r="CY175" s="978"/>
      <c r="CZ175" s="978"/>
      <c r="DA175" s="978"/>
      <c r="DB175" s="978"/>
      <c r="DC175" s="978"/>
      <c r="DD175" s="978"/>
      <c r="DE175" s="978"/>
      <c r="DF175" s="978"/>
      <c r="DG175" s="978"/>
      <c r="DH175" s="981"/>
      <c r="DI175" s="1018"/>
      <c r="DJ175" s="973"/>
      <c r="DK175" s="215"/>
    </row>
    <row r="176" spans="1:117" ht="15" customHeight="1" x14ac:dyDescent="0.25">
      <c r="A176" s="1048">
        <v>22</v>
      </c>
      <c r="B176" s="982" t="s">
        <v>59</v>
      </c>
      <c r="C176" s="1114" t="s">
        <v>292</v>
      </c>
      <c r="D176" s="1085" t="s">
        <v>309</v>
      </c>
      <c r="E176" s="153" t="s">
        <v>283</v>
      </c>
      <c r="F176" s="150">
        <v>30</v>
      </c>
      <c r="G176" s="1072">
        <f>F176+F177+F178+F179+F180+F181+F182</f>
        <v>210</v>
      </c>
      <c r="H176" s="195"/>
      <c r="I176" s="1038"/>
      <c r="J176" s="1039"/>
      <c r="K176" s="1039"/>
      <c r="L176" s="1039"/>
      <c r="M176" s="1039"/>
      <c r="N176" s="1039"/>
      <c r="O176" s="1039">
        <v>2</v>
      </c>
      <c r="P176" s="1039"/>
      <c r="Q176" s="1039"/>
      <c r="R176" s="1039"/>
      <c r="S176" s="1039"/>
      <c r="T176" s="1039"/>
      <c r="U176" s="1039">
        <v>24</v>
      </c>
      <c r="V176" s="1039">
        <f>SUM(J176:U183)</f>
        <v>26</v>
      </c>
      <c r="W176" s="1039"/>
      <c r="X176" s="1039"/>
      <c r="Y176" s="1039"/>
      <c r="Z176" s="1039"/>
      <c r="AA176" s="1039"/>
      <c r="AB176" s="1039"/>
      <c r="AC176" s="1039"/>
      <c r="AD176" s="1039"/>
      <c r="AE176" s="1039"/>
      <c r="AF176" s="1039"/>
      <c r="AG176" s="1039"/>
      <c r="AH176" s="1039"/>
      <c r="AI176" s="1039">
        <f>SUM(W176:AH183)</f>
        <v>0</v>
      </c>
      <c r="AJ176" s="1039"/>
      <c r="AK176" s="1039"/>
      <c r="AL176" s="1039">
        <v>1</v>
      </c>
      <c r="AM176" s="1039"/>
      <c r="AN176" s="1039">
        <v>1</v>
      </c>
      <c r="AO176" s="1039">
        <v>5</v>
      </c>
      <c r="AP176" s="1039">
        <v>1</v>
      </c>
      <c r="AQ176" s="1039">
        <v>1</v>
      </c>
      <c r="AR176" s="1039"/>
      <c r="AS176" s="1039">
        <v>1</v>
      </c>
      <c r="AT176" s="1039">
        <v>1</v>
      </c>
      <c r="AU176" s="1039">
        <v>29</v>
      </c>
      <c r="AV176" s="1039">
        <f>SUM(AJ176:AU183)</f>
        <v>40</v>
      </c>
      <c r="AW176" s="1039"/>
      <c r="AX176" s="1039"/>
      <c r="AY176" s="1039"/>
      <c r="AZ176" s="1039"/>
      <c r="BA176" s="1039"/>
      <c r="BB176" s="1039"/>
      <c r="BC176" s="1039"/>
      <c r="BD176" s="1039"/>
      <c r="BE176" s="1039"/>
      <c r="BF176" s="1039"/>
      <c r="BG176" s="1039">
        <v>1</v>
      </c>
      <c r="BH176" s="1039"/>
      <c r="BI176" s="1039">
        <f>SUM(AW176:BH183)</f>
        <v>1</v>
      </c>
      <c r="BJ176" s="139"/>
      <c r="BK176" s="139"/>
      <c r="BL176" s="139"/>
      <c r="BM176" s="139"/>
      <c r="BN176" s="139"/>
      <c r="BO176" s="139"/>
      <c r="BP176" s="139"/>
      <c r="BQ176" s="139"/>
      <c r="BR176" s="139"/>
      <c r="BS176" s="1038">
        <v>1</v>
      </c>
      <c r="BT176" s="1038">
        <v>3</v>
      </c>
      <c r="BU176" s="1038">
        <v>5</v>
      </c>
      <c r="BV176" s="1039">
        <f>SUM(BJ176:BU183)</f>
        <v>9</v>
      </c>
      <c r="BW176" s="989">
        <v>8</v>
      </c>
      <c r="BX176" s="977">
        <v>3</v>
      </c>
      <c r="BY176" s="977"/>
      <c r="BZ176" s="977"/>
      <c r="CA176" s="977">
        <v>1</v>
      </c>
      <c r="CB176" s="977"/>
      <c r="CC176" s="977"/>
      <c r="CD176" s="977"/>
      <c r="CE176" s="977"/>
      <c r="CF176" s="977"/>
      <c r="CG176" s="977"/>
      <c r="CH176" s="980">
        <v>2</v>
      </c>
      <c r="CI176" s="1111">
        <f>SUM(BW176:CH183)</f>
        <v>14</v>
      </c>
      <c r="CJ176" s="989"/>
      <c r="CK176" s="977"/>
      <c r="CL176" s="977"/>
      <c r="CM176" s="977"/>
      <c r="CN176" s="977">
        <v>2</v>
      </c>
      <c r="CO176" s="977"/>
      <c r="CP176" s="977"/>
      <c r="CQ176" s="977">
        <v>1</v>
      </c>
      <c r="CR176" s="977">
        <v>1</v>
      </c>
      <c r="CS176" s="977"/>
      <c r="CT176" s="977">
        <v>1</v>
      </c>
      <c r="CU176" s="980">
        <v>30</v>
      </c>
      <c r="CV176" s="1111">
        <f>SUM(CJ176:CU183)</f>
        <v>35</v>
      </c>
      <c r="CW176" s="989"/>
      <c r="CX176" s="977"/>
      <c r="CY176" s="977"/>
      <c r="CZ176" s="977"/>
      <c r="DA176" s="977"/>
      <c r="DB176" s="977"/>
      <c r="DC176" s="977"/>
      <c r="DD176" s="977"/>
      <c r="DE176" s="977">
        <v>14</v>
      </c>
      <c r="DF176" s="977">
        <v>15</v>
      </c>
      <c r="DG176" s="977"/>
      <c r="DH176" s="980"/>
      <c r="DI176" s="1111">
        <f>SUM(CW176:DH183)</f>
        <v>29</v>
      </c>
      <c r="DJ176" s="1112">
        <f>I176+V176+AI176+AV176+BI176+BV176+CI176+CV176+DI176</f>
        <v>154</v>
      </c>
      <c r="DK176" s="231">
        <f>H179-DJ176</f>
        <v>56</v>
      </c>
    </row>
    <row r="177" spans="1:116" ht="15" customHeight="1" x14ac:dyDescent="0.25">
      <c r="A177" s="1048"/>
      <c r="B177" s="983"/>
      <c r="C177" s="1069"/>
      <c r="D177" s="1070"/>
      <c r="E177" s="153" t="s">
        <v>310</v>
      </c>
      <c r="F177" s="150">
        <v>30</v>
      </c>
      <c r="G177" s="1072"/>
      <c r="H177" s="195"/>
      <c r="I177" s="1038"/>
      <c r="J177" s="1043"/>
      <c r="K177" s="1043"/>
      <c r="L177" s="1043"/>
      <c r="M177" s="1043"/>
      <c r="N177" s="1043"/>
      <c r="O177" s="1043"/>
      <c r="P177" s="1043"/>
      <c r="Q177" s="1043"/>
      <c r="R177" s="1043"/>
      <c r="S177" s="1043"/>
      <c r="T177" s="1043"/>
      <c r="U177" s="1043"/>
      <c r="V177" s="1043"/>
      <c r="W177" s="1043"/>
      <c r="X177" s="1043"/>
      <c r="Y177" s="1043"/>
      <c r="Z177" s="1043"/>
      <c r="AA177" s="1043"/>
      <c r="AB177" s="1043"/>
      <c r="AC177" s="1043"/>
      <c r="AD177" s="1043"/>
      <c r="AE177" s="1043"/>
      <c r="AF177" s="1043"/>
      <c r="AG177" s="1043"/>
      <c r="AH177" s="1043"/>
      <c r="AI177" s="1043"/>
      <c r="AJ177" s="1043"/>
      <c r="AK177" s="1043"/>
      <c r="AL177" s="1043"/>
      <c r="AM177" s="1043"/>
      <c r="AN177" s="1043"/>
      <c r="AO177" s="1043"/>
      <c r="AP177" s="1043"/>
      <c r="AQ177" s="1043"/>
      <c r="AR177" s="1043"/>
      <c r="AS177" s="1043"/>
      <c r="AT177" s="1043"/>
      <c r="AU177" s="1043"/>
      <c r="AV177" s="1043"/>
      <c r="AW177" s="1043"/>
      <c r="AX177" s="1043"/>
      <c r="AY177" s="1043"/>
      <c r="AZ177" s="1043"/>
      <c r="BA177" s="1043"/>
      <c r="BB177" s="1043"/>
      <c r="BC177" s="1043"/>
      <c r="BD177" s="1043"/>
      <c r="BE177" s="1043"/>
      <c r="BF177" s="1043"/>
      <c r="BG177" s="1043"/>
      <c r="BH177" s="1043"/>
      <c r="BI177" s="1043"/>
      <c r="BJ177" s="139"/>
      <c r="BK177" s="139"/>
      <c r="BL177" s="139"/>
      <c r="BM177" s="139"/>
      <c r="BN177" s="139"/>
      <c r="BO177" s="139"/>
      <c r="BP177" s="139"/>
      <c r="BQ177" s="139"/>
      <c r="BR177" s="139"/>
      <c r="BS177" s="1038"/>
      <c r="BT177" s="1038"/>
      <c r="BU177" s="1038"/>
      <c r="BV177" s="1043"/>
      <c r="BW177" s="989"/>
      <c r="BX177" s="977"/>
      <c r="BY177" s="977"/>
      <c r="BZ177" s="977"/>
      <c r="CA177" s="977"/>
      <c r="CB177" s="977"/>
      <c r="CC177" s="977"/>
      <c r="CD177" s="977"/>
      <c r="CE177" s="977"/>
      <c r="CF177" s="977"/>
      <c r="CG177" s="977"/>
      <c r="CH177" s="980"/>
      <c r="CI177" s="1018"/>
      <c r="CJ177" s="989"/>
      <c r="CK177" s="977"/>
      <c r="CL177" s="977"/>
      <c r="CM177" s="977"/>
      <c r="CN177" s="977"/>
      <c r="CO177" s="977"/>
      <c r="CP177" s="977"/>
      <c r="CQ177" s="977"/>
      <c r="CR177" s="977"/>
      <c r="CS177" s="977"/>
      <c r="CT177" s="977"/>
      <c r="CU177" s="980"/>
      <c r="CV177" s="1018"/>
      <c r="CW177" s="989"/>
      <c r="CX177" s="977"/>
      <c r="CY177" s="977"/>
      <c r="CZ177" s="977"/>
      <c r="DA177" s="977"/>
      <c r="DB177" s="977"/>
      <c r="DC177" s="977"/>
      <c r="DD177" s="977"/>
      <c r="DE177" s="977"/>
      <c r="DF177" s="977"/>
      <c r="DG177" s="977"/>
      <c r="DH177" s="980"/>
      <c r="DI177" s="1018"/>
      <c r="DJ177" s="972"/>
      <c r="DK177" s="214"/>
    </row>
    <row r="178" spans="1:116" ht="15" customHeight="1" x14ac:dyDescent="0.25">
      <c r="A178" s="1048"/>
      <c r="B178" s="983"/>
      <c r="C178" s="1069"/>
      <c r="D178" s="1070"/>
      <c r="E178" s="153" t="s">
        <v>311</v>
      </c>
      <c r="F178" s="150">
        <v>30</v>
      </c>
      <c r="G178" s="1072"/>
      <c r="H178" s="195"/>
      <c r="I178" s="1038"/>
      <c r="J178" s="1043"/>
      <c r="K178" s="1043"/>
      <c r="L178" s="1043"/>
      <c r="M178" s="1043"/>
      <c r="N178" s="1043"/>
      <c r="O178" s="1043"/>
      <c r="P178" s="1043"/>
      <c r="Q178" s="1043"/>
      <c r="R178" s="1043"/>
      <c r="S178" s="1043"/>
      <c r="T178" s="1043"/>
      <c r="U178" s="1043"/>
      <c r="V178" s="1043"/>
      <c r="W178" s="1043"/>
      <c r="X178" s="1043"/>
      <c r="Y178" s="1043"/>
      <c r="Z178" s="1043"/>
      <c r="AA178" s="1043"/>
      <c r="AB178" s="1043"/>
      <c r="AC178" s="1043"/>
      <c r="AD178" s="1043"/>
      <c r="AE178" s="1043"/>
      <c r="AF178" s="1043"/>
      <c r="AG178" s="1043"/>
      <c r="AH178" s="1043"/>
      <c r="AI178" s="1043"/>
      <c r="AJ178" s="1043"/>
      <c r="AK178" s="1043"/>
      <c r="AL178" s="1043"/>
      <c r="AM178" s="1043"/>
      <c r="AN178" s="1043"/>
      <c r="AO178" s="1043"/>
      <c r="AP178" s="1043"/>
      <c r="AQ178" s="1043"/>
      <c r="AR178" s="1043"/>
      <c r="AS178" s="1043"/>
      <c r="AT178" s="1043"/>
      <c r="AU178" s="1043"/>
      <c r="AV178" s="1043"/>
      <c r="AW178" s="1043"/>
      <c r="AX178" s="1043"/>
      <c r="AY178" s="1043"/>
      <c r="AZ178" s="1043"/>
      <c r="BA178" s="1043"/>
      <c r="BB178" s="1043"/>
      <c r="BC178" s="1043"/>
      <c r="BD178" s="1043"/>
      <c r="BE178" s="1043"/>
      <c r="BF178" s="1043"/>
      <c r="BG178" s="1043"/>
      <c r="BH178" s="1043"/>
      <c r="BI178" s="1043"/>
      <c r="BJ178" s="139"/>
      <c r="BK178" s="139"/>
      <c r="BL178" s="139"/>
      <c r="BM178" s="139"/>
      <c r="BN178" s="139"/>
      <c r="BO178" s="139"/>
      <c r="BP178" s="139"/>
      <c r="BQ178" s="139"/>
      <c r="BR178" s="139"/>
      <c r="BS178" s="1038"/>
      <c r="BT178" s="1038"/>
      <c r="BU178" s="1038"/>
      <c r="BV178" s="1043"/>
      <c r="BW178" s="989"/>
      <c r="BX178" s="977"/>
      <c r="BY178" s="977"/>
      <c r="BZ178" s="977"/>
      <c r="CA178" s="977"/>
      <c r="CB178" s="977"/>
      <c r="CC178" s="977"/>
      <c r="CD178" s="977"/>
      <c r="CE178" s="977"/>
      <c r="CF178" s="977"/>
      <c r="CG178" s="977"/>
      <c r="CH178" s="980"/>
      <c r="CI178" s="1018"/>
      <c r="CJ178" s="989"/>
      <c r="CK178" s="977"/>
      <c r="CL178" s="977"/>
      <c r="CM178" s="977"/>
      <c r="CN178" s="977"/>
      <c r="CO178" s="977"/>
      <c r="CP178" s="977"/>
      <c r="CQ178" s="977"/>
      <c r="CR178" s="977"/>
      <c r="CS178" s="977"/>
      <c r="CT178" s="977"/>
      <c r="CU178" s="980"/>
      <c r="CV178" s="1018"/>
      <c r="CW178" s="989"/>
      <c r="CX178" s="977"/>
      <c r="CY178" s="977"/>
      <c r="CZ178" s="977"/>
      <c r="DA178" s="977"/>
      <c r="DB178" s="977"/>
      <c r="DC178" s="977"/>
      <c r="DD178" s="977"/>
      <c r="DE178" s="977"/>
      <c r="DF178" s="977"/>
      <c r="DG178" s="977"/>
      <c r="DH178" s="980"/>
      <c r="DI178" s="1018"/>
      <c r="DJ178" s="972"/>
      <c r="DK178" s="214"/>
      <c r="DL178" s="128"/>
    </row>
    <row r="179" spans="1:116" ht="15" customHeight="1" x14ac:dyDescent="0.25">
      <c r="A179" s="1048"/>
      <c r="B179" s="983"/>
      <c r="C179" s="1069"/>
      <c r="D179" s="1070"/>
      <c r="E179" s="153" t="s">
        <v>312</v>
      </c>
      <c r="F179" s="150">
        <v>30</v>
      </c>
      <c r="G179" s="1072"/>
      <c r="H179" s="228">
        <f>ROUNDDOWN(($H$2-D176)/365,0)*30</f>
        <v>210</v>
      </c>
      <c r="I179" s="1038"/>
      <c r="J179" s="1043"/>
      <c r="K179" s="1043"/>
      <c r="L179" s="1043"/>
      <c r="M179" s="1043"/>
      <c r="N179" s="1043"/>
      <c r="O179" s="1043"/>
      <c r="P179" s="1043"/>
      <c r="Q179" s="1043"/>
      <c r="R179" s="1043"/>
      <c r="S179" s="1043"/>
      <c r="T179" s="1043"/>
      <c r="U179" s="1043"/>
      <c r="V179" s="1043"/>
      <c r="W179" s="1043"/>
      <c r="X179" s="1043"/>
      <c r="Y179" s="1043"/>
      <c r="Z179" s="1043"/>
      <c r="AA179" s="1043"/>
      <c r="AB179" s="1043"/>
      <c r="AC179" s="1043"/>
      <c r="AD179" s="1043"/>
      <c r="AE179" s="1043"/>
      <c r="AF179" s="1043"/>
      <c r="AG179" s="1043"/>
      <c r="AH179" s="1043"/>
      <c r="AI179" s="1043"/>
      <c r="AJ179" s="1043"/>
      <c r="AK179" s="1043"/>
      <c r="AL179" s="1043"/>
      <c r="AM179" s="1043"/>
      <c r="AN179" s="1043"/>
      <c r="AO179" s="1043"/>
      <c r="AP179" s="1043"/>
      <c r="AQ179" s="1043"/>
      <c r="AR179" s="1043"/>
      <c r="AS179" s="1043"/>
      <c r="AT179" s="1043"/>
      <c r="AU179" s="1043"/>
      <c r="AV179" s="1043"/>
      <c r="AW179" s="1043"/>
      <c r="AX179" s="1043"/>
      <c r="AY179" s="1043"/>
      <c r="AZ179" s="1043"/>
      <c r="BA179" s="1043"/>
      <c r="BB179" s="1043"/>
      <c r="BC179" s="1043"/>
      <c r="BD179" s="1043"/>
      <c r="BE179" s="1043"/>
      <c r="BF179" s="1043"/>
      <c r="BG179" s="1043"/>
      <c r="BH179" s="1043"/>
      <c r="BI179" s="1043"/>
      <c r="BJ179" s="139"/>
      <c r="BK179" s="139"/>
      <c r="BL179" s="139"/>
      <c r="BM179" s="139"/>
      <c r="BN179" s="139"/>
      <c r="BO179" s="139"/>
      <c r="BP179" s="139"/>
      <c r="BQ179" s="139"/>
      <c r="BR179" s="139"/>
      <c r="BS179" s="1038"/>
      <c r="BT179" s="1038"/>
      <c r="BU179" s="1038"/>
      <c r="BV179" s="1043"/>
      <c r="BW179" s="989"/>
      <c r="BX179" s="977"/>
      <c r="BY179" s="977"/>
      <c r="BZ179" s="977"/>
      <c r="CA179" s="977"/>
      <c r="CB179" s="977"/>
      <c r="CC179" s="977"/>
      <c r="CD179" s="977"/>
      <c r="CE179" s="977"/>
      <c r="CF179" s="977"/>
      <c r="CG179" s="977"/>
      <c r="CH179" s="980"/>
      <c r="CI179" s="1018"/>
      <c r="CJ179" s="989"/>
      <c r="CK179" s="977"/>
      <c r="CL179" s="977"/>
      <c r="CM179" s="977"/>
      <c r="CN179" s="977"/>
      <c r="CO179" s="977"/>
      <c r="CP179" s="977"/>
      <c r="CQ179" s="977"/>
      <c r="CR179" s="977"/>
      <c r="CS179" s="977"/>
      <c r="CT179" s="977"/>
      <c r="CU179" s="980"/>
      <c r="CV179" s="1018"/>
      <c r="CW179" s="989"/>
      <c r="CX179" s="977"/>
      <c r="CY179" s="977"/>
      <c r="CZ179" s="977"/>
      <c r="DA179" s="977"/>
      <c r="DB179" s="977"/>
      <c r="DC179" s="977"/>
      <c r="DD179" s="977"/>
      <c r="DE179" s="977"/>
      <c r="DF179" s="977"/>
      <c r="DG179" s="977"/>
      <c r="DH179" s="980"/>
      <c r="DI179" s="1018"/>
      <c r="DJ179" s="972"/>
      <c r="DK179" s="214"/>
    </row>
    <row r="180" spans="1:116" ht="15" customHeight="1" x14ac:dyDescent="0.25">
      <c r="A180" s="1048"/>
      <c r="B180" s="983"/>
      <c r="C180" s="1069"/>
      <c r="D180" s="1070"/>
      <c r="E180" s="238" t="s">
        <v>287</v>
      </c>
      <c r="F180" s="147">
        <v>30</v>
      </c>
      <c r="G180" s="1072"/>
      <c r="H180" s="195"/>
      <c r="I180" s="1038"/>
      <c r="J180" s="1043"/>
      <c r="K180" s="1043"/>
      <c r="L180" s="1043"/>
      <c r="M180" s="1043"/>
      <c r="N180" s="1043"/>
      <c r="O180" s="1043"/>
      <c r="P180" s="1043"/>
      <c r="Q180" s="1043"/>
      <c r="R180" s="1043"/>
      <c r="S180" s="1043"/>
      <c r="T180" s="1043"/>
      <c r="U180" s="1043"/>
      <c r="V180" s="1043"/>
      <c r="W180" s="1043"/>
      <c r="X180" s="1043"/>
      <c r="Y180" s="1043"/>
      <c r="Z180" s="1043"/>
      <c r="AA180" s="1043"/>
      <c r="AB180" s="1043"/>
      <c r="AC180" s="1043"/>
      <c r="AD180" s="1043"/>
      <c r="AE180" s="1043"/>
      <c r="AF180" s="1043"/>
      <c r="AG180" s="1043"/>
      <c r="AH180" s="1043"/>
      <c r="AI180" s="1043"/>
      <c r="AJ180" s="1043"/>
      <c r="AK180" s="1043"/>
      <c r="AL180" s="1043"/>
      <c r="AM180" s="1043"/>
      <c r="AN180" s="1043"/>
      <c r="AO180" s="1043"/>
      <c r="AP180" s="1043"/>
      <c r="AQ180" s="1043"/>
      <c r="AR180" s="1043"/>
      <c r="AS180" s="1043"/>
      <c r="AT180" s="1043"/>
      <c r="AU180" s="1043"/>
      <c r="AV180" s="1043"/>
      <c r="AW180" s="1043"/>
      <c r="AX180" s="1043"/>
      <c r="AY180" s="1043"/>
      <c r="AZ180" s="1043"/>
      <c r="BA180" s="1043"/>
      <c r="BB180" s="1043"/>
      <c r="BC180" s="1043"/>
      <c r="BD180" s="1043"/>
      <c r="BE180" s="1043"/>
      <c r="BF180" s="1043"/>
      <c r="BG180" s="1043"/>
      <c r="BH180" s="1043"/>
      <c r="BI180" s="1043"/>
      <c r="BJ180" s="139"/>
      <c r="BK180" s="139"/>
      <c r="BL180" s="139"/>
      <c r="BM180" s="139"/>
      <c r="BN180" s="139"/>
      <c r="BO180" s="139"/>
      <c r="BP180" s="139"/>
      <c r="BQ180" s="139"/>
      <c r="BR180" s="139"/>
      <c r="BS180" s="1038"/>
      <c r="BT180" s="1038"/>
      <c r="BU180" s="1038"/>
      <c r="BV180" s="1043"/>
      <c r="BW180" s="989"/>
      <c r="BX180" s="977"/>
      <c r="BY180" s="977"/>
      <c r="BZ180" s="977"/>
      <c r="CA180" s="977"/>
      <c r="CB180" s="977"/>
      <c r="CC180" s="977"/>
      <c r="CD180" s="977"/>
      <c r="CE180" s="977"/>
      <c r="CF180" s="977"/>
      <c r="CG180" s="977"/>
      <c r="CH180" s="980"/>
      <c r="CI180" s="1018"/>
      <c r="CJ180" s="989"/>
      <c r="CK180" s="977"/>
      <c r="CL180" s="977"/>
      <c r="CM180" s="977"/>
      <c r="CN180" s="977"/>
      <c r="CO180" s="977"/>
      <c r="CP180" s="977"/>
      <c r="CQ180" s="977"/>
      <c r="CR180" s="977"/>
      <c r="CS180" s="977"/>
      <c r="CT180" s="977"/>
      <c r="CU180" s="980"/>
      <c r="CV180" s="1018"/>
      <c r="CW180" s="989"/>
      <c r="CX180" s="977"/>
      <c r="CY180" s="977"/>
      <c r="CZ180" s="977"/>
      <c r="DA180" s="977"/>
      <c r="DB180" s="977"/>
      <c r="DC180" s="977"/>
      <c r="DD180" s="977"/>
      <c r="DE180" s="977"/>
      <c r="DF180" s="977"/>
      <c r="DG180" s="977"/>
      <c r="DH180" s="980"/>
      <c r="DI180" s="1018"/>
      <c r="DJ180" s="972"/>
      <c r="DK180" s="214"/>
    </row>
    <row r="181" spans="1:116" ht="15" customHeight="1" x14ac:dyDescent="0.25">
      <c r="A181" s="1048"/>
      <c r="B181" s="983"/>
      <c r="C181" s="1069"/>
      <c r="D181" s="1070"/>
      <c r="E181" s="238" t="s">
        <v>288</v>
      </c>
      <c r="F181" s="147">
        <v>30</v>
      </c>
      <c r="G181" s="1072"/>
      <c r="H181" s="195"/>
      <c r="I181" s="1038"/>
      <c r="J181" s="1043"/>
      <c r="K181" s="1043"/>
      <c r="L181" s="1043"/>
      <c r="M181" s="1043"/>
      <c r="N181" s="1043"/>
      <c r="O181" s="1043"/>
      <c r="P181" s="1043"/>
      <c r="Q181" s="1043"/>
      <c r="R181" s="1043"/>
      <c r="S181" s="1043"/>
      <c r="T181" s="1043"/>
      <c r="U181" s="1043"/>
      <c r="V181" s="1043"/>
      <c r="W181" s="1043"/>
      <c r="X181" s="1043"/>
      <c r="Y181" s="1043"/>
      <c r="Z181" s="1043"/>
      <c r="AA181" s="1043"/>
      <c r="AB181" s="1043"/>
      <c r="AC181" s="1043"/>
      <c r="AD181" s="1043"/>
      <c r="AE181" s="1043"/>
      <c r="AF181" s="1043"/>
      <c r="AG181" s="1043"/>
      <c r="AH181" s="1043"/>
      <c r="AI181" s="1043"/>
      <c r="AJ181" s="1043"/>
      <c r="AK181" s="1043"/>
      <c r="AL181" s="1043"/>
      <c r="AM181" s="1043"/>
      <c r="AN181" s="1043"/>
      <c r="AO181" s="1043"/>
      <c r="AP181" s="1043"/>
      <c r="AQ181" s="1043"/>
      <c r="AR181" s="1043"/>
      <c r="AS181" s="1043"/>
      <c r="AT181" s="1043"/>
      <c r="AU181" s="1043"/>
      <c r="AV181" s="1043"/>
      <c r="AW181" s="1043"/>
      <c r="AX181" s="1043"/>
      <c r="AY181" s="1043"/>
      <c r="AZ181" s="1043"/>
      <c r="BA181" s="1043"/>
      <c r="BB181" s="1043"/>
      <c r="BC181" s="1043"/>
      <c r="BD181" s="1043"/>
      <c r="BE181" s="1043"/>
      <c r="BF181" s="1043"/>
      <c r="BG181" s="1043"/>
      <c r="BH181" s="1043"/>
      <c r="BI181" s="1043"/>
      <c r="BJ181" s="139"/>
      <c r="BK181" s="139"/>
      <c r="BL181" s="139"/>
      <c r="BM181" s="139"/>
      <c r="BN181" s="139"/>
      <c r="BO181" s="139"/>
      <c r="BP181" s="139"/>
      <c r="BQ181" s="139"/>
      <c r="BR181" s="139"/>
      <c r="BS181" s="1038"/>
      <c r="BT181" s="1038"/>
      <c r="BU181" s="1038"/>
      <c r="BV181" s="1043"/>
      <c r="BW181" s="989"/>
      <c r="BX181" s="977"/>
      <c r="BY181" s="977"/>
      <c r="BZ181" s="977"/>
      <c r="CA181" s="977"/>
      <c r="CB181" s="977"/>
      <c r="CC181" s="977"/>
      <c r="CD181" s="977"/>
      <c r="CE181" s="977"/>
      <c r="CF181" s="977"/>
      <c r="CG181" s="977"/>
      <c r="CH181" s="980"/>
      <c r="CI181" s="1018"/>
      <c r="CJ181" s="989"/>
      <c r="CK181" s="977"/>
      <c r="CL181" s="977"/>
      <c r="CM181" s="977"/>
      <c r="CN181" s="977"/>
      <c r="CO181" s="977"/>
      <c r="CP181" s="977"/>
      <c r="CQ181" s="977"/>
      <c r="CR181" s="977"/>
      <c r="CS181" s="977"/>
      <c r="CT181" s="977"/>
      <c r="CU181" s="980"/>
      <c r="CV181" s="1018"/>
      <c r="CW181" s="989"/>
      <c r="CX181" s="977"/>
      <c r="CY181" s="977"/>
      <c r="CZ181" s="977"/>
      <c r="DA181" s="977"/>
      <c r="DB181" s="977"/>
      <c r="DC181" s="977"/>
      <c r="DD181" s="977"/>
      <c r="DE181" s="977"/>
      <c r="DF181" s="977"/>
      <c r="DG181" s="977"/>
      <c r="DH181" s="980"/>
      <c r="DI181" s="1018"/>
      <c r="DJ181" s="972"/>
      <c r="DK181" s="214"/>
    </row>
    <row r="182" spans="1:116" ht="15" customHeight="1" x14ac:dyDescent="0.25">
      <c r="A182" s="1048"/>
      <c r="B182" s="983"/>
      <c r="C182" s="1069"/>
      <c r="D182" s="1070"/>
      <c r="E182" s="238" t="s">
        <v>313</v>
      </c>
      <c r="F182" s="147">
        <v>30</v>
      </c>
      <c r="G182" s="1072"/>
      <c r="H182" s="195"/>
      <c r="I182" s="1038"/>
      <c r="J182" s="1043"/>
      <c r="K182" s="1043"/>
      <c r="L182" s="1043"/>
      <c r="M182" s="1043"/>
      <c r="N182" s="1043"/>
      <c r="O182" s="1043"/>
      <c r="P182" s="1043"/>
      <c r="Q182" s="1043"/>
      <c r="R182" s="1043"/>
      <c r="S182" s="1043"/>
      <c r="T182" s="1043"/>
      <c r="U182" s="1043"/>
      <c r="V182" s="1043"/>
      <c r="W182" s="1043"/>
      <c r="X182" s="1043"/>
      <c r="Y182" s="1043"/>
      <c r="Z182" s="1043"/>
      <c r="AA182" s="1043"/>
      <c r="AB182" s="1043"/>
      <c r="AC182" s="1043"/>
      <c r="AD182" s="1043"/>
      <c r="AE182" s="1043"/>
      <c r="AF182" s="1043"/>
      <c r="AG182" s="1043"/>
      <c r="AH182" s="1043"/>
      <c r="AI182" s="1043"/>
      <c r="AJ182" s="1043"/>
      <c r="AK182" s="1043"/>
      <c r="AL182" s="1043"/>
      <c r="AM182" s="1043"/>
      <c r="AN182" s="1043"/>
      <c r="AO182" s="1043"/>
      <c r="AP182" s="1043"/>
      <c r="AQ182" s="1043"/>
      <c r="AR182" s="1043"/>
      <c r="AS182" s="1043"/>
      <c r="AT182" s="1043"/>
      <c r="AU182" s="1043"/>
      <c r="AV182" s="1043"/>
      <c r="AW182" s="1043"/>
      <c r="AX182" s="1043"/>
      <c r="AY182" s="1043"/>
      <c r="AZ182" s="1043"/>
      <c r="BA182" s="1043"/>
      <c r="BB182" s="1043"/>
      <c r="BC182" s="1043"/>
      <c r="BD182" s="1043"/>
      <c r="BE182" s="1043"/>
      <c r="BF182" s="1043"/>
      <c r="BG182" s="1043"/>
      <c r="BH182" s="1043"/>
      <c r="BI182" s="1043"/>
      <c r="BJ182" s="139"/>
      <c r="BK182" s="139"/>
      <c r="BL182" s="139"/>
      <c r="BM182" s="139"/>
      <c r="BN182" s="139"/>
      <c r="BO182" s="139"/>
      <c r="BP182" s="139"/>
      <c r="BQ182" s="139"/>
      <c r="BR182" s="139"/>
      <c r="BS182" s="1038"/>
      <c r="BT182" s="1038"/>
      <c r="BU182" s="1038"/>
      <c r="BV182" s="1043"/>
      <c r="BW182" s="989"/>
      <c r="BX182" s="977"/>
      <c r="BY182" s="977"/>
      <c r="BZ182" s="977"/>
      <c r="CA182" s="977"/>
      <c r="CB182" s="977"/>
      <c r="CC182" s="977"/>
      <c r="CD182" s="977"/>
      <c r="CE182" s="977"/>
      <c r="CF182" s="977"/>
      <c r="CG182" s="977"/>
      <c r="CH182" s="980"/>
      <c r="CI182" s="1018"/>
      <c r="CJ182" s="989"/>
      <c r="CK182" s="977"/>
      <c r="CL182" s="977"/>
      <c r="CM182" s="977"/>
      <c r="CN182" s="977"/>
      <c r="CO182" s="977"/>
      <c r="CP182" s="977"/>
      <c r="CQ182" s="977"/>
      <c r="CR182" s="977"/>
      <c r="CS182" s="977"/>
      <c r="CT182" s="977"/>
      <c r="CU182" s="980"/>
      <c r="CV182" s="1018"/>
      <c r="CW182" s="989"/>
      <c r="CX182" s="977"/>
      <c r="CY182" s="977"/>
      <c r="CZ182" s="977"/>
      <c r="DA182" s="977"/>
      <c r="DB182" s="977"/>
      <c r="DC182" s="977"/>
      <c r="DD182" s="977"/>
      <c r="DE182" s="977"/>
      <c r="DF182" s="977"/>
      <c r="DG182" s="977"/>
      <c r="DH182" s="980"/>
      <c r="DI182" s="1018"/>
      <c r="DJ182" s="972"/>
      <c r="DK182" s="214"/>
    </row>
    <row r="183" spans="1:116" ht="15" customHeight="1" x14ac:dyDescent="0.25">
      <c r="A183" s="1048"/>
      <c r="B183" s="1084"/>
      <c r="C183" s="1069"/>
      <c r="D183" s="1070"/>
      <c r="E183" s="238" t="s">
        <v>314</v>
      </c>
      <c r="F183" s="147"/>
      <c r="G183" s="1072"/>
      <c r="H183" s="195"/>
      <c r="I183" s="1038"/>
      <c r="J183" s="1043"/>
      <c r="K183" s="1043"/>
      <c r="L183" s="1043"/>
      <c r="M183" s="1043"/>
      <c r="N183" s="1043"/>
      <c r="O183" s="1043"/>
      <c r="P183" s="1043"/>
      <c r="Q183" s="1043"/>
      <c r="R183" s="1043"/>
      <c r="S183" s="1043"/>
      <c r="T183" s="1043"/>
      <c r="U183" s="1043"/>
      <c r="V183" s="1043"/>
      <c r="W183" s="1043"/>
      <c r="X183" s="1043"/>
      <c r="Y183" s="1043"/>
      <c r="Z183" s="1043"/>
      <c r="AA183" s="1043"/>
      <c r="AB183" s="1043"/>
      <c r="AC183" s="1043"/>
      <c r="AD183" s="1043"/>
      <c r="AE183" s="1043"/>
      <c r="AF183" s="1043"/>
      <c r="AG183" s="1043"/>
      <c r="AH183" s="1043"/>
      <c r="AI183" s="1043"/>
      <c r="AJ183" s="1043"/>
      <c r="AK183" s="1043"/>
      <c r="AL183" s="1043"/>
      <c r="AM183" s="1043"/>
      <c r="AN183" s="1043"/>
      <c r="AO183" s="1043"/>
      <c r="AP183" s="1043"/>
      <c r="AQ183" s="1043"/>
      <c r="AR183" s="1043"/>
      <c r="AS183" s="1043"/>
      <c r="AT183" s="1043"/>
      <c r="AU183" s="1043"/>
      <c r="AV183" s="1043"/>
      <c r="AW183" s="1043"/>
      <c r="AX183" s="1043"/>
      <c r="AY183" s="1043"/>
      <c r="AZ183" s="1043"/>
      <c r="BA183" s="1043"/>
      <c r="BB183" s="1043"/>
      <c r="BC183" s="1043"/>
      <c r="BD183" s="1043"/>
      <c r="BE183" s="1043"/>
      <c r="BF183" s="1043"/>
      <c r="BG183" s="1043"/>
      <c r="BH183" s="1043"/>
      <c r="BI183" s="1043"/>
      <c r="BJ183" s="139"/>
      <c r="BK183" s="139"/>
      <c r="BL183" s="139"/>
      <c r="BM183" s="139"/>
      <c r="BN183" s="139"/>
      <c r="BO183" s="139"/>
      <c r="BP183" s="139"/>
      <c r="BQ183" s="139"/>
      <c r="BR183" s="139"/>
      <c r="BS183" s="1038"/>
      <c r="BT183" s="1038"/>
      <c r="BU183" s="1038"/>
      <c r="BV183" s="1043"/>
      <c r="BW183" s="989"/>
      <c r="BX183" s="977"/>
      <c r="BY183" s="977"/>
      <c r="BZ183" s="977"/>
      <c r="CA183" s="977"/>
      <c r="CB183" s="977"/>
      <c r="CC183" s="977"/>
      <c r="CD183" s="977"/>
      <c r="CE183" s="977"/>
      <c r="CF183" s="977"/>
      <c r="CG183" s="977"/>
      <c r="CH183" s="980"/>
      <c r="CI183" s="1018"/>
      <c r="CJ183" s="989"/>
      <c r="CK183" s="977"/>
      <c r="CL183" s="977"/>
      <c r="CM183" s="977"/>
      <c r="CN183" s="977"/>
      <c r="CO183" s="977"/>
      <c r="CP183" s="977"/>
      <c r="CQ183" s="977"/>
      <c r="CR183" s="977"/>
      <c r="CS183" s="977"/>
      <c r="CT183" s="977"/>
      <c r="CU183" s="980"/>
      <c r="CV183" s="1018"/>
      <c r="CW183" s="989"/>
      <c r="CX183" s="977"/>
      <c r="CY183" s="977"/>
      <c r="CZ183" s="977"/>
      <c r="DA183" s="977"/>
      <c r="DB183" s="977"/>
      <c r="DC183" s="977"/>
      <c r="DD183" s="977"/>
      <c r="DE183" s="977"/>
      <c r="DF183" s="977"/>
      <c r="DG183" s="977"/>
      <c r="DH183" s="980"/>
      <c r="DI183" s="1018"/>
      <c r="DJ183" s="972"/>
      <c r="DK183" s="214"/>
    </row>
    <row r="184" spans="1:116" ht="15" customHeight="1" x14ac:dyDescent="0.25">
      <c r="A184" s="1048">
        <v>24</v>
      </c>
      <c r="B184" s="1068" t="s">
        <v>97</v>
      </c>
      <c r="C184" s="1069"/>
      <c r="D184" s="1070" t="s">
        <v>300</v>
      </c>
      <c r="E184" s="250" t="s">
        <v>315</v>
      </c>
      <c r="F184" s="134">
        <v>30</v>
      </c>
      <c r="G184" s="1113">
        <f>F184+F185+F186</f>
        <v>90</v>
      </c>
      <c r="H184" s="201"/>
      <c r="I184" s="1040"/>
      <c r="J184" s="1043"/>
      <c r="K184" s="1043"/>
      <c r="L184" s="1043"/>
      <c r="M184" s="1043"/>
      <c r="N184" s="1043"/>
      <c r="O184" s="1043"/>
      <c r="P184" s="1043"/>
      <c r="Q184" s="1043"/>
      <c r="R184" s="1043"/>
      <c r="S184" s="1043"/>
      <c r="T184" s="1043"/>
      <c r="U184" s="1043"/>
      <c r="V184" s="1043"/>
      <c r="W184" s="1043"/>
      <c r="X184" s="1043"/>
      <c r="Y184" s="1043"/>
      <c r="Z184" s="1043"/>
      <c r="AA184" s="1043"/>
      <c r="AB184" s="1043"/>
      <c r="AC184" s="1043"/>
      <c r="AD184" s="1043"/>
      <c r="AE184" s="1043"/>
      <c r="AF184" s="1043"/>
      <c r="AG184" s="1043"/>
      <c r="AH184" s="1043"/>
      <c r="AI184" s="1043"/>
      <c r="AJ184" s="1043"/>
      <c r="AK184" s="1043"/>
      <c r="AL184" s="1043"/>
      <c r="AM184" s="1043"/>
      <c r="AN184" s="1043"/>
      <c r="AO184" s="1043"/>
      <c r="AP184" s="1043"/>
      <c r="AQ184" s="1043"/>
      <c r="AR184" s="1043"/>
      <c r="AS184" s="1043"/>
      <c r="AT184" s="1043"/>
      <c r="AU184" s="1043"/>
      <c r="AV184" s="1043"/>
      <c r="AW184" s="1043"/>
      <c r="AX184" s="1043"/>
      <c r="AY184" s="1043"/>
      <c r="AZ184" s="1043"/>
      <c r="BA184" s="1043"/>
      <c r="BB184" s="1043"/>
      <c r="BC184" s="1043"/>
      <c r="BD184" s="1043"/>
      <c r="BE184" s="1043"/>
      <c r="BF184" s="1043"/>
      <c r="BG184" s="1043"/>
      <c r="BH184" s="1043"/>
      <c r="BI184" s="1043"/>
      <c r="BJ184" s="1037"/>
      <c r="BK184" s="137"/>
      <c r="BL184" s="137"/>
      <c r="BM184" s="137"/>
      <c r="BN184" s="137"/>
      <c r="BO184" s="1037"/>
      <c r="BP184" s="1037"/>
      <c r="BQ184" s="137"/>
      <c r="BR184" s="137"/>
      <c r="BS184" s="137"/>
      <c r="BT184" s="137"/>
      <c r="BU184" s="1037"/>
      <c r="BV184" s="1043"/>
      <c r="BW184" s="178"/>
      <c r="BX184" s="976"/>
      <c r="BY184" s="976"/>
      <c r="BZ184" s="976"/>
      <c r="CA184" s="976">
        <v>5</v>
      </c>
      <c r="CB184" s="976"/>
      <c r="CC184" s="976"/>
      <c r="CD184" s="976"/>
      <c r="CE184" s="976"/>
      <c r="CF184" s="976">
        <v>7</v>
      </c>
      <c r="CG184" s="976"/>
      <c r="CH184" s="979"/>
      <c r="CI184" s="1018">
        <f>SUM(BW184:CH186)</f>
        <v>12</v>
      </c>
      <c r="CJ184" s="178"/>
      <c r="CK184" s="976"/>
      <c r="CL184" s="976"/>
      <c r="CM184" s="976">
        <v>1</v>
      </c>
      <c r="CN184" s="976"/>
      <c r="CO184" s="976"/>
      <c r="CP184" s="976"/>
      <c r="CQ184" s="976">
        <v>3</v>
      </c>
      <c r="CR184" s="976"/>
      <c r="CS184" s="976"/>
      <c r="CT184" s="976"/>
      <c r="CU184" s="979"/>
      <c r="CV184" s="1018">
        <f>SUM(CJ184:CU186)</f>
        <v>4</v>
      </c>
      <c r="CW184" s="988"/>
      <c r="CX184" s="976"/>
      <c r="CY184" s="976"/>
      <c r="CZ184" s="976"/>
      <c r="DA184" s="976"/>
      <c r="DB184" s="976"/>
      <c r="DC184" s="976"/>
      <c r="DD184" s="976"/>
      <c r="DE184" s="976"/>
      <c r="DF184" s="976"/>
      <c r="DG184" s="976"/>
      <c r="DH184" s="979"/>
      <c r="DI184" s="1018">
        <f>SUM(CW184:DH186)</f>
        <v>0</v>
      </c>
      <c r="DJ184" s="971">
        <f>I184+V184+AI184+AV184+BI184+BV184+CI184+CV184</f>
        <v>16</v>
      </c>
      <c r="DK184" s="216">
        <f>H185-DJ184</f>
        <v>74</v>
      </c>
    </row>
    <row r="185" spans="1:116" ht="15" customHeight="1" x14ac:dyDescent="0.25">
      <c r="A185" s="1048"/>
      <c r="B185" s="1068"/>
      <c r="C185" s="1069"/>
      <c r="D185" s="1070"/>
      <c r="E185" s="154" t="s">
        <v>250</v>
      </c>
      <c r="F185" s="157">
        <v>30</v>
      </c>
      <c r="G185" s="1097"/>
      <c r="H185" s="229">
        <f>ROUNDDOWN(($H$2-D184)/365,0)*30</f>
        <v>90</v>
      </c>
      <c r="I185" s="1041"/>
      <c r="J185" s="1043"/>
      <c r="K185" s="1043"/>
      <c r="L185" s="1043"/>
      <c r="M185" s="1043"/>
      <c r="N185" s="1043"/>
      <c r="O185" s="1043"/>
      <c r="P185" s="1043"/>
      <c r="Q185" s="1043"/>
      <c r="R185" s="1043"/>
      <c r="S185" s="1043"/>
      <c r="T185" s="1043"/>
      <c r="U185" s="1043"/>
      <c r="V185" s="1043"/>
      <c r="W185" s="1043"/>
      <c r="X185" s="1043"/>
      <c r="Y185" s="1043"/>
      <c r="Z185" s="1043"/>
      <c r="AA185" s="1043"/>
      <c r="AB185" s="1043"/>
      <c r="AC185" s="1043"/>
      <c r="AD185" s="1043"/>
      <c r="AE185" s="1043"/>
      <c r="AF185" s="1043"/>
      <c r="AG185" s="1043"/>
      <c r="AH185" s="1043"/>
      <c r="AI185" s="1043"/>
      <c r="AJ185" s="1043"/>
      <c r="AK185" s="1043"/>
      <c r="AL185" s="1043"/>
      <c r="AM185" s="1043"/>
      <c r="AN185" s="1043"/>
      <c r="AO185" s="1043"/>
      <c r="AP185" s="1043"/>
      <c r="AQ185" s="1043"/>
      <c r="AR185" s="1043"/>
      <c r="AS185" s="1043"/>
      <c r="AT185" s="1043"/>
      <c r="AU185" s="1043"/>
      <c r="AV185" s="1043"/>
      <c r="AW185" s="1043"/>
      <c r="AX185" s="1043"/>
      <c r="AY185" s="1043"/>
      <c r="AZ185" s="1043"/>
      <c r="BA185" s="1043"/>
      <c r="BB185" s="1043"/>
      <c r="BC185" s="1043"/>
      <c r="BD185" s="1043"/>
      <c r="BE185" s="1043"/>
      <c r="BF185" s="1043"/>
      <c r="BG185" s="1043"/>
      <c r="BH185" s="1043"/>
      <c r="BI185" s="1043"/>
      <c r="BJ185" s="1038"/>
      <c r="BK185" s="139"/>
      <c r="BL185" s="139"/>
      <c r="BM185" s="139"/>
      <c r="BN185" s="139"/>
      <c r="BO185" s="1038"/>
      <c r="BP185" s="1038"/>
      <c r="BQ185" s="139"/>
      <c r="BR185" s="139"/>
      <c r="BS185" s="139"/>
      <c r="BT185" s="139"/>
      <c r="BU185" s="1038"/>
      <c r="BV185" s="1043"/>
      <c r="BW185" s="179"/>
      <c r="BX185" s="977"/>
      <c r="BY185" s="977"/>
      <c r="BZ185" s="977"/>
      <c r="CA185" s="977"/>
      <c r="CB185" s="977"/>
      <c r="CC185" s="977"/>
      <c r="CD185" s="977"/>
      <c r="CE185" s="977"/>
      <c r="CF185" s="977"/>
      <c r="CG185" s="977"/>
      <c r="CH185" s="980"/>
      <c r="CI185" s="1018"/>
      <c r="CJ185" s="179"/>
      <c r="CK185" s="977"/>
      <c r="CL185" s="977"/>
      <c r="CM185" s="977"/>
      <c r="CN185" s="977"/>
      <c r="CO185" s="977"/>
      <c r="CP185" s="977"/>
      <c r="CQ185" s="977"/>
      <c r="CR185" s="977"/>
      <c r="CS185" s="977"/>
      <c r="CT185" s="977"/>
      <c r="CU185" s="980"/>
      <c r="CV185" s="1018"/>
      <c r="CW185" s="989"/>
      <c r="CX185" s="977"/>
      <c r="CY185" s="977"/>
      <c r="CZ185" s="977"/>
      <c r="DA185" s="977"/>
      <c r="DB185" s="977"/>
      <c r="DC185" s="977"/>
      <c r="DD185" s="977"/>
      <c r="DE185" s="977"/>
      <c r="DF185" s="977"/>
      <c r="DG185" s="977"/>
      <c r="DH185" s="980"/>
      <c r="DI185" s="1018"/>
      <c r="DJ185" s="972"/>
      <c r="DK185" s="214"/>
    </row>
    <row r="186" spans="1:116" ht="15" customHeight="1" x14ac:dyDescent="0.25">
      <c r="A186" s="1048"/>
      <c r="B186" s="1068"/>
      <c r="C186" s="1069"/>
      <c r="D186" s="975"/>
      <c r="E186" s="154" t="s">
        <v>316</v>
      </c>
      <c r="F186" s="147">
        <v>30</v>
      </c>
      <c r="G186" s="1097"/>
      <c r="H186" s="203"/>
      <c r="I186" s="1042"/>
      <c r="J186" s="1043"/>
      <c r="K186" s="1043"/>
      <c r="L186" s="1043"/>
      <c r="M186" s="1043"/>
      <c r="N186" s="1043"/>
      <c r="O186" s="1043"/>
      <c r="P186" s="1043"/>
      <c r="Q186" s="1043"/>
      <c r="R186" s="1043"/>
      <c r="S186" s="1043"/>
      <c r="T186" s="1043"/>
      <c r="U186" s="1043"/>
      <c r="V186" s="1043"/>
      <c r="W186" s="1043"/>
      <c r="X186" s="1043"/>
      <c r="Y186" s="1043"/>
      <c r="Z186" s="1043"/>
      <c r="AA186" s="1043"/>
      <c r="AB186" s="1043"/>
      <c r="AC186" s="1043"/>
      <c r="AD186" s="1043"/>
      <c r="AE186" s="1043"/>
      <c r="AF186" s="1043"/>
      <c r="AG186" s="1043"/>
      <c r="AH186" s="1043"/>
      <c r="AI186" s="1043"/>
      <c r="AJ186" s="1043"/>
      <c r="AK186" s="1043"/>
      <c r="AL186" s="1043"/>
      <c r="AM186" s="1043"/>
      <c r="AN186" s="1043"/>
      <c r="AO186" s="1043"/>
      <c r="AP186" s="1043"/>
      <c r="AQ186" s="1043"/>
      <c r="AR186" s="1043"/>
      <c r="AS186" s="1043"/>
      <c r="AT186" s="1043"/>
      <c r="AU186" s="1043"/>
      <c r="AV186" s="1043"/>
      <c r="AW186" s="1043"/>
      <c r="AX186" s="1043"/>
      <c r="AY186" s="1043"/>
      <c r="AZ186" s="1043"/>
      <c r="BA186" s="1043"/>
      <c r="BB186" s="1043"/>
      <c r="BC186" s="1043"/>
      <c r="BD186" s="1043"/>
      <c r="BE186" s="1043"/>
      <c r="BF186" s="1043"/>
      <c r="BG186" s="1043"/>
      <c r="BH186" s="1043"/>
      <c r="BI186" s="1043"/>
      <c r="BJ186" s="1039"/>
      <c r="BK186" s="139"/>
      <c r="BL186" s="139"/>
      <c r="BM186" s="139"/>
      <c r="BN186" s="139"/>
      <c r="BO186" s="1039"/>
      <c r="BP186" s="1039"/>
      <c r="BQ186" s="139"/>
      <c r="BR186" s="139"/>
      <c r="BS186" s="139"/>
      <c r="BT186" s="139"/>
      <c r="BU186" s="1039"/>
      <c r="BV186" s="1043"/>
      <c r="BW186" s="179"/>
      <c r="BX186" s="978"/>
      <c r="BY186" s="978"/>
      <c r="BZ186" s="978"/>
      <c r="CA186" s="978"/>
      <c r="CB186" s="978"/>
      <c r="CC186" s="978"/>
      <c r="CD186" s="978"/>
      <c r="CE186" s="978"/>
      <c r="CF186" s="978"/>
      <c r="CG186" s="978"/>
      <c r="CH186" s="981"/>
      <c r="CI186" s="1018"/>
      <c r="CJ186" s="179"/>
      <c r="CK186" s="978"/>
      <c r="CL186" s="978"/>
      <c r="CM186" s="978"/>
      <c r="CN186" s="978"/>
      <c r="CO186" s="978"/>
      <c r="CP186" s="978"/>
      <c r="CQ186" s="978"/>
      <c r="CR186" s="978"/>
      <c r="CS186" s="978"/>
      <c r="CT186" s="978"/>
      <c r="CU186" s="981"/>
      <c r="CV186" s="1018"/>
      <c r="CW186" s="990"/>
      <c r="CX186" s="978"/>
      <c r="CY186" s="978"/>
      <c r="CZ186" s="978"/>
      <c r="DA186" s="978"/>
      <c r="DB186" s="978"/>
      <c r="DC186" s="978"/>
      <c r="DD186" s="978"/>
      <c r="DE186" s="978"/>
      <c r="DF186" s="978"/>
      <c r="DG186" s="978"/>
      <c r="DH186" s="981"/>
      <c r="DI186" s="1018"/>
      <c r="DJ186" s="972"/>
      <c r="DK186" s="214"/>
    </row>
    <row r="187" spans="1:116" ht="15" customHeight="1" x14ac:dyDescent="0.25">
      <c r="A187" s="1048">
        <v>23</v>
      </c>
      <c r="B187" s="1105" t="s">
        <v>365</v>
      </c>
      <c r="C187" s="1069" t="s">
        <v>317</v>
      </c>
      <c r="D187" s="1106" t="s">
        <v>356</v>
      </c>
      <c r="E187" s="237" t="s">
        <v>234</v>
      </c>
      <c r="F187" s="158">
        <v>30</v>
      </c>
      <c r="G187" s="1108">
        <f>F187+F188+F189+F190+F191+F192+F193+F195</f>
        <v>240</v>
      </c>
      <c r="H187" s="226"/>
      <c r="I187" s="1037">
        <v>30</v>
      </c>
      <c r="J187" s="1043"/>
      <c r="K187" s="1043"/>
      <c r="L187" s="1043"/>
      <c r="M187" s="1043"/>
      <c r="N187" s="1043">
        <v>1</v>
      </c>
      <c r="O187" s="1043"/>
      <c r="P187" s="1043"/>
      <c r="Q187" s="1043"/>
      <c r="R187" s="1043">
        <v>3</v>
      </c>
      <c r="S187" s="1043"/>
      <c r="T187" s="1043"/>
      <c r="U187" s="1043">
        <v>15</v>
      </c>
      <c r="V187" s="1043">
        <f>SUM(J187:U195)</f>
        <v>19</v>
      </c>
      <c r="W187" s="1043"/>
      <c r="X187" s="1043"/>
      <c r="Y187" s="1043">
        <v>5</v>
      </c>
      <c r="Z187" s="1043">
        <v>8</v>
      </c>
      <c r="AA187" s="1043">
        <v>1</v>
      </c>
      <c r="AB187" s="1043"/>
      <c r="AC187" s="1043"/>
      <c r="AD187" s="1043"/>
      <c r="AE187" s="1043">
        <v>3</v>
      </c>
      <c r="AF187" s="1043"/>
      <c r="AG187" s="1043"/>
      <c r="AH187" s="1043">
        <v>9</v>
      </c>
      <c r="AI187" s="1043">
        <f>SUM(W187:AH195)</f>
        <v>26</v>
      </c>
      <c r="AJ187" s="1043"/>
      <c r="AK187" s="1043"/>
      <c r="AL187" s="1043"/>
      <c r="AM187" s="1043">
        <v>1</v>
      </c>
      <c r="AN187" s="1043">
        <v>7</v>
      </c>
      <c r="AO187" s="1043"/>
      <c r="AP187" s="1043">
        <v>1</v>
      </c>
      <c r="AQ187" s="1043">
        <v>4</v>
      </c>
      <c r="AR187" s="1043">
        <v>1</v>
      </c>
      <c r="AS187" s="1043"/>
      <c r="AT187" s="1043"/>
      <c r="AU187" s="1043"/>
      <c r="AV187" s="1043">
        <f>SUM(AJ187:AU195)</f>
        <v>14</v>
      </c>
      <c r="AW187" s="1043"/>
      <c r="AX187" s="1043"/>
      <c r="AY187" s="1043">
        <v>1</v>
      </c>
      <c r="AZ187" s="1043"/>
      <c r="BA187" s="1043"/>
      <c r="BB187" s="1043"/>
      <c r="BC187" s="1043"/>
      <c r="BD187" s="1043"/>
      <c r="BE187" s="1043"/>
      <c r="BF187" s="1043"/>
      <c r="BG187" s="1043">
        <v>1</v>
      </c>
      <c r="BH187" s="1043"/>
      <c r="BI187" s="1043">
        <f>SUM(AW187:BH195)</f>
        <v>2</v>
      </c>
      <c r="BJ187" s="1037"/>
      <c r="BK187" s="1037"/>
      <c r="BL187" s="1037"/>
      <c r="BM187" s="1037"/>
      <c r="BN187" s="1037"/>
      <c r="BO187" s="1037"/>
      <c r="BP187" s="1037">
        <v>15</v>
      </c>
      <c r="BQ187" s="1037"/>
      <c r="BR187" s="1037"/>
      <c r="BS187" s="1037"/>
      <c r="BT187" s="1037"/>
      <c r="BU187" s="1037"/>
      <c r="BV187" s="1043">
        <f>SUM(BJ187:BU195)</f>
        <v>15</v>
      </c>
      <c r="BW187" s="1102"/>
      <c r="BX187" s="1099"/>
      <c r="BY187" s="1099"/>
      <c r="BZ187" s="1099"/>
      <c r="CA187" s="1099"/>
      <c r="CB187" s="1099"/>
      <c r="CC187" s="1099"/>
      <c r="CD187" s="1099"/>
      <c r="CE187" s="1099"/>
      <c r="CF187" s="1099"/>
      <c r="CG187" s="1099"/>
      <c r="CH187" s="1019"/>
      <c r="CI187" s="1018">
        <f>SUM(BW187:CH195)</f>
        <v>0</v>
      </c>
      <c r="CJ187" s="1102"/>
      <c r="CK187" s="1099"/>
      <c r="CL187" s="1099"/>
      <c r="CM187" s="1099"/>
      <c r="CN187" s="1099">
        <v>7</v>
      </c>
      <c r="CO187" s="1099"/>
      <c r="CP187" s="1099"/>
      <c r="CQ187" s="1099"/>
      <c r="CR187" s="1099"/>
      <c r="CS187" s="1099"/>
      <c r="CT187" s="1099"/>
      <c r="CU187" s="1019"/>
      <c r="CV187" s="1018">
        <f>SUM(CJ187:CU195)</f>
        <v>7</v>
      </c>
      <c r="CW187" s="1102"/>
      <c r="CX187" s="976">
        <v>5</v>
      </c>
      <c r="CY187" s="1099"/>
      <c r="CZ187" s="1099"/>
      <c r="DA187" s="1099"/>
      <c r="DB187" s="1099"/>
      <c r="DC187" s="1099"/>
      <c r="DD187" s="1099"/>
      <c r="DE187" s="1099"/>
      <c r="DF187" s="1099"/>
      <c r="DG187" s="1099"/>
      <c r="DH187" s="1019"/>
      <c r="DI187" s="1018">
        <f>SUM(CW187:DH195)</f>
        <v>5</v>
      </c>
      <c r="DJ187" s="971">
        <f>I187+V187+AI187+AV187+BI187+BV187+CI187+CV187+DI187</f>
        <v>118</v>
      </c>
      <c r="DK187" s="230">
        <f>H191-DJ187</f>
        <v>152</v>
      </c>
    </row>
    <row r="188" spans="1:116" ht="15" customHeight="1" x14ac:dyDescent="0.25">
      <c r="A188" s="1048"/>
      <c r="B188" s="1105"/>
      <c r="C188" s="1069"/>
      <c r="D188" s="1070"/>
      <c r="E188" s="153" t="s">
        <v>235</v>
      </c>
      <c r="F188" s="159">
        <v>30</v>
      </c>
      <c r="G188" s="1109"/>
      <c r="H188" s="226"/>
      <c r="I188" s="1038"/>
      <c r="J188" s="1043"/>
      <c r="K188" s="1043"/>
      <c r="L188" s="1043"/>
      <c r="M188" s="1043"/>
      <c r="N188" s="1043"/>
      <c r="O188" s="1043"/>
      <c r="P188" s="1043"/>
      <c r="Q188" s="1043"/>
      <c r="R188" s="1043"/>
      <c r="S188" s="1043"/>
      <c r="T188" s="1043"/>
      <c r="U188" s="1043"/>
      <c r="V188" s="1043"/>
      <c r="W188" s="1043"/>
      <c r="X188" s="1043"/>
      <c r="Y188" s="1043"/>
      <c r="Z188" s="1043"/>
      <c r="AA188" s="1043"/>
      <c r="AB188" s="1043"/>
      <c r="AC188" s="1043"/>
      <c r="AD188" s="1043"/>
      <c r="AE188" s="1043"/>
      <c r="AF188" s="1043"/>
      <c r="AG188" s="1043"/>
      <c r="AH188" s="1043"/>
      <c r="AI188" s="1043"/>
      <c r="AJ188" s="1043"/>
      <c r="AK188" s="1043"/>
      <c r="AL188" s="1043"/>
      <c r="AM188" s="1043"/>
      <c r="AN188" s="1043"/>
      <c r="AO188" s="1043"/>
      <c r="AP188" s="1043"/>
      <c r="AQ188" s="1043"/>
      <c r="AR188" s="1043"/>
      <c r="AS188" s="1043"/>
      <c r="AT188" s="1043"/>
      <c r="AU188" s="1043"/>
      <c r="AV188" s="1043"/>
      <c r="AW188" s="1043"/>
      <c r="AX188" s="1043"/>
      <c r="AY188" s="1043"/>
      <c r="AZ188" s="1043"/>
      <c r="BA188" s="1043"/>
      <c r="BB188" s="1043"/>
      <c r="BC188" s="1043"/>
      <c r="BD188" s="1043"/>
      <c r="BE188" s="1043"/>
      <c r="BF188" s="1043"/>
      <c r="BG188" s="1043"/>
      <c r="BH188" s="1043"/>
      <c r="BI188" s="1043"/>
      <c r="BJ188" s="1038"/>
      <c r="BK188" s="1038"/>
      <c r="BL188" s="1038"/>
      <c r="BM188" s="1038"/>
      <c r="BN188" s="1038"/>
      <c r="BO188" s="1038"/>
      <c r="BP188" s="1038"/>
      <c r="BQ188" s="1038"/>
      <c r="BR188" s="1038"/>
      <c r="BS188" s="1038"/>
      <c r="BT188" s="1038"/>
      <c r="BU188" s="1038"/>
      <c r="BV188" s="1043"/>
      <c r="BW188" s="1103"/>
      <c r="BX188" s="1100"/>
      <c r="BY188" s="1100"/>
      <c r="BZ188" s="1100"/>
      <c r="CA188" s="1100"/>
      <c r="CB188" s="1100"/>
      <c r="CC188" s="1100"/>
      <c r="CD188" s="1100"/>
      <c r="CE188" s="1100"/>
      <c r="CF188" s="1100"/>
      <c r="CG188" s="1100"/>
      <c r="CH188" s="1020"/>
      <c r="CI188" s="1018"/>
      <c r="CJ188" s="1103"/>
      <c r="CK188" s="1100"/>
      <c r="CL188" s="1100"/>
      <c r="CM188" s="1100"/>
      <c r="CN188" s="1100"/>
      <c r="CO188" s="1100"/>
      <c r="CP188" s="1100"/>
      <c r="CQ188" s="1100"/>
      <c r="CR188" s="1100"/>
      <c r="CS188" s="1100"/>
      <c r="CT188" s="1100"/>
      <c r="CU188" s="1020"/>
      <c r="CV188" s="1018"/>
      <c r="CW188" s="1103"/>
      <c r="CX188" s="977"/>
      <c r="CY188" s="1100"/>
      <c r="CZ188" s="1100"/>
      <c r="DA188" s="1100"/>
      <c r="DB188" s="1100"/>
      <c r="DC188" s="1100"/>
      <c r="DD188" s="1100"/>
      <c r="DE188" s="1100"/>
      <c r="DF188" s="1100"/>
      <c r="DG188" s="1100"/>
      <c r="DH188" s="1020"/>
      <c r="DI188" s="1018"/>
      <c r="DJ188" s="972"/>
      <c r="DK188" s="214"/>
    </row>
    <row r="189" spans="1:116" ht="15" customHeight="1" x14ac:dyDescent="0.25">
      <c r="A189" s="1048"/>
      <c r="B189" s="1105"/>
      <c r="C189" s="1069"/>
      <c r="D189" s="1070"/>
      <c r="E189" s="153" t="s">
        <v>318</v>
      </c>
      <c r="F189" s="159">
        <v>30</v>
      </c>
      <c r="G189" s="1109"/>
      <c r="H189" s="226"/>
      <c r="I189" s="1038"/>
      <c r="J189" s="1043"/>
      <c r="K189" s="1043"/>
      <c r="L189" s="1043"/>
      <c r="M189" s="1043"/>
      <c r="N189" s="1043"/>
      <c r="O189" s="1043"/>
      <c r="P189" s="1043"/>
      <c r="Q189" s="1043"/>
      <c r="R189" s="1043"/>
      <c r="S189" s="1043"/>
      <c r="T189" s="1043"/>
      <c r="U189" s="1043"/>
      <c r="V189" s="1043"/>
      <c r="W189" s="1043"/>
      <c r="X189" s="1043"/>
      <c r="Y189" s="1043"/>
      <c r="Z189" s="1043"/>
      <c r="AA189" s="1043"/>
      <c r="AB189" s="1043"/>
      <c r="AC189" s="1043"/>
      <c r="AD189" s="1043"/>
      <c r="AE189" s="1043"/>
      <c r="AF189" s="1043"/>
      <c r="AG189" s="1043"/>
      <c r="AH189" s="1043"/>
      <c r="AI189" s="1043"/>
      <c r="AJ189" s="1043"/>
      <c r="AK189" s="1043"/>
      <c r="AL189" s="1043"/>
      <c r="AM189" s="1043"/>
      <c r="AN189" s="1043"/>
      <c r="AO189" s="1043"/>
      <c r="AP189" s="1043"/>
      <c r="AQ189" s="1043"/>
      <c r="AR189" s="1043"/>
      <c r="AS189" s="1043"/>
      <c r="AT189" s="1043"/>
      <c r="AU189" s="1043"/>
      <c r="AV189" s="1043"/>
      <c r="AW189" s="1043"/>
      <c r="AX189" s="1043"/>
      <c r="AY189" s="1043"/>
      <c r="AZ189" s="1043"/>
      <c r="BA189" s="1043"/>
      <c r="BB189" s="1043"/>
      <c r="BC189" s="1043"/>
      <c r="BD189" s="1043"/>
      <c r="BE189" s="1043"/>
      <c r="BF189" s="1043"/>
      <c r="BG189" s="1043"/>
      <c r="BH189" s="1043"/>
      <c r="BI189" s="1043"/>
      <c r="BJ189" s="1038"/>
      <c r="BK189" s="1038"/>
      <c r="BL189" s="1038"/>
      <c r="BM189" s="1038"/>
      <c r="BN189" s="1038"/>
      <c r="BO189" s="1038"/>
      <c r="BP189" s="1038"/>
      <c r="BQ189" s="1038"/>
      <c r="BR189" s="1038"/>
      <c r="BS189" s="1038"/>
      <c r="BT189" s="1038"/>
      <c r="BU189" s="1038"/>
      <c r="BV189" s="1043"/>
      <c r="BW189" s="1103"/>
      <c r="BX189" s="1100"/>
      <c r="BY189" s="1100"/>
      <c r="BZ189" s="1100"/>
      <c r="CA189" s="1100"/>
      <c r="CB189" s="1100"/>
      <c r="CC189" s="1100"/>
      <c r="CD189" s="1100"/>
      <c r="CE189" s="1100"/>
      <c r="CF189" s="1100"/>
      <c r="CG189" s="1100"/>
      <c r="CH189" s="1020"/>
      <c r="CI189" s="1018"/>
      <c r="CJ189" s="1103"/>
      <c r="CK189" s="1100"/>
      <c r="CL189" s="1100"/>
      <c r="CM189" s="1100"/>
      <c r="CN189" s="1100"/>
      <c r="CO189" s="1100"/>
      <c r="CP189" s="1100"/>
      <c r="CQ189" s="1100"/>
      <c r="CR189" s="1100"/>
      <c r="CS189" s="1100"/>
      <c r="CT189" s="1100"/>
      <c r="CU189" s="1020"/>
      <c r="CV189" s="1018"/>
      <c r="CW189" s="1103"/>
      <c r="CX189" s="977"/>
      <c r="CY189" s="1100"/>
      <c r="CZ189" s="1100"/>
      <c r="DA189" s="1100"/>
      <c r="DB189" s="1100"/>
      <c r="DC189" s="1100"/>
      <c r="DD189" s="1100"/>
      <c r="DE189" s="1100"/>
      <c r="DF189" s="1100"/>
      <c r="DG189" s="1100"/>
      <c r="DH189" s="1020"/>
      <c r="DI189" s="1018"/>
      <c r="DJ189" s="972"/>
      <c r="DK189" s="214"/>
    </row>
    <row r="190" spans="1:116" ht="15" customHeight="1" x14ac:dyDescent="0.25">
      <c r="A190" s="1048"/>
      <c r="B190" s="1105"/>
      <c r="C190" s="1069"/>
      <c r="D190" s="1070"/>
      <c r="E190" s="153" t="s">
        <v>271</v>
      </c>
      <c r="F190" s="159">
        <v>30</v>
      </c>
      <c r="G190" s="1109"/>
      <c r="H190" s="226"/>
      <c r="I190" s="1038"/>
      <c r="J190" s="1043"/>
      <c r="K190" s="1043"/>
      <c r="L190" s="1043"/>
      <c r="M190" s="1043"/>
      <c r="N190" s="1043"/>
      <c r="O190" s="1043"/>
      <c r="P190" s="1043"/>
      <c r="Q190" s="1043"/>
      <c r="R190" s="1043"/>
      <c r="S190" s="1043"/>
      <c r="T190" s="1043"/>
      <c r="U190" s="1043"/>
      <c r="V190" s="1043"/>
      <c r="W190" s="1043"/>
      <c r="X190" s="1043"/>
      <c r="Y190" s="1043"/>
      <c r="Z190" s="1043"/>
      <c r="AA190" s="1043"/>
      <c r="AB190" s="1043"/>
      <c r="AC190" s="1043"/>
      <c r="AD190" s="1043"/>
      <c r="AE190" s="1043"/>
      <c r="AF190" s="1043"/>
      <c r="AG190" s="1043"/>
      <c r="AH190" s="1043"/>
      <c r="AI190" s="1043"/>
      <c r="AJ190" s="1043"/>
      <c r="AK190" s="1043"/>
      <c r="AL190" s="1043"/>
      <c r="AM190" s="1043"/>
      <c r="AN190" s="1043"/>
      <c r="AO190" s="1043"/>
      <c r="AP190" s="1043"/>
      <c r="AQ190" s="1043"/>
      <c r="AR190" s="1043"/>
      <c r="AS190" s="1043"/>
      <c r="AT190" s="1043"/>
      <c r="AU190" s="1043"/>
      <c r="AV190" s="1043"/>
      <c r="AW190" s="1043"/>
      <c r="AX190" s="1043"/>
      <c r="AY190" s="1043"/>
      <c r="AZ190" s="1043"/>
      <c r="BA190" s="1043"/>
      <c r="BB190" s="1043"/>
      <c r="BC190" s="1043"/>
      <c r="BD190" s="1043"/>
      <c r="BE190" s="1043"/>
      <c r="BF190" s="1043"/>
      <c r="BG190" s="1043"/>
      <c r="BH190" s="1043"/>
      <c r="BI190" s="1043"/>
      <c r="BJ190" s="1038"/>
      <c r="BK190" s="1038"/>
      <c r="BL190" s="1038"/>
      <c r="BM190" s="1038"/>
      <c r="BN190" s="1038"/>
      <c r="BO190" s="1038"/>
      <c r="BP190" s="1038"/>
      <c r="BQ190" s="1038"/>
      <c r="BR190" s="1038"/>
      <c r="BS190" s="1038"/>
      <c r="BT190" s="1038"/>
      <c r="BU190" s="1038"/>
      <c r="BV190" s="1043"/>
      <c r="BW190" s="1103"/>
      <c r="BX190" s="1100"/>
      <c r="BY190" s="1100"/>
      <c r="BZ190" s="1100"/>
      <c r="CA190" s="1100"/>
      <c r="CB190" s="1100"/>
      <c r="CC190" s="1100"/>
      <c r="CD190" s="1100"/>
      <c r="CE190" s="1100"/>
      <c r="CF190" s="1100"/>
      <c r="CG190" s="1100"/>
      <c r="CH190" s="1020"/>
      <c r="CI190" s="1018"/>
      <c r="CJ190" s="1103"/>
      <c r="CK190" s="1100"/>
      <c r="CL190" s="1100"/>
      <c r="CM190" s="1100"/>
      <c r="CN190" s="1100"/>
      <c r="CO190" s="1100"/>
      <c r="CP190" s="1100"/>
      <c r="CQ190" s="1100"/>
      <c r="CR190" s="1100"/>
      <c r="CS190" s="1100"/>
      <c r="CT190" s="1100"/>
      <c r="CU190" s="1020"/>
      <c r="CV190" s="1018"/>
      <c r="CW190" s="1103"/>
      <c r="CX190" s="977"/>
      <c r="CY190" s="1100"/>
      <c r="CZ190" s="1100"/>
      <c r="DA190" s="1100"/>
      <c r="DB190" s="1100"/>
      <c r="DC190" s="1100"/>
      <c r="DD190" s="1100"/>
      <c r="DE190" s="1100"/>
      <c r="DF190" s="1100"/>
      <c r="DG190" s="1100"/>
      <c r="DH190" s="1020"/>
      <c r="DI190" s="1018"/>
      <c r="DJ190" s="972"/>
      <c r="DK190" s="214"/>
    </row>
    <row r="191" spans="1:116" ht="15" customHeight="1" x14ac:dyDescent="0.25">
      <c r="A191" s="1048"/>
      <c r="B191" s="1105"/>
      <c r="C191" s="1069"/>
      <c r="D191" s="1070"/>
      <c r="E191" s="153" t="s">
        <v>238</v>
      </c>
      <c r="F191" s="159">
        <v>30</v>
      </c>
      <c r="G191" s="1109"/>
      <c r="H191" s="228">
        <f>ROUNDDOWN(($H$2-D187)/365,0)*30</f>
        <v>270</v>
      </c>
      <c r="I191" s="1038"/>
      <c r="J191" s="1043"/>
      <c r="K191" s="1043"/>
      <c r="L191" s="1043"/>
      <c r="M191" s="1043"/>
      <c r="N191" s="1043"/>
      <c r="O191" s="1043"/>
      <c r="P191" s="1043"/>
      <c r="Q191" s="1043"/>
      <c r="R191" s="1043"/>
      <c r="S191" s="1043"/>
      <c r="T191" s="1043"/>
      <c r="U191" s="1043"/>
      <c r="V191" s="1043"/>
      <c r="W191" s="1043"/>
      <c r="X191" s="1043"/>
      <c r="Y191" s="1043"/>
      <c r="Z191" s="1043"/>
      <c r="AA191" s="1043"/>
      <c r="AB191" s="1043"/>
      <c r="AC191" s="1043"/>
      <c r="AD191" s="1043"/>
      <c r="AE191" s="1043"/>
      <c r="AF191" s="1043"/>
      <c r="AG191" s="1043"/>
      <c r="AH191" s="1043"/>
      <c r="AI191" s="1043"/>
      <c r="AJ191" s="1043"/>
      <c r="AK191" s="1043"/>
      <c r="AL191" s="1043"/>
      <c r="AM191" s="1043"/>
      <c r="AN191" s="1043"/>
      <c r="AO191" s="1043"/>
      <c r="AP191" s="1043"/>
      <c r="AQ191" s="1043"/>
      <c r="AR191" s="1043"/>
      <c r="AS191" s="1043"/>
      <c r="AT191" s="1043"/>
      <c r="AU191" s="1043"/>
      <c r="AV191" s="1043"/>
      <c r="AW191" s="1043"/>
      <c r="AX191" s="1043"/>
      <c r="AY191" s="1043"/>
      <c r="AZ191" s="1043"/>
      <c r="BA191" s="1043"/>
      <c r="BB191" s="1043"/>
      <c r="BC191" s="1043"/>
      <c r="BD191" s="1043"/>
      <c r="BE191" s="1043"/>
      <c r="BF191" s="1043"/>
      <c r="BG191" s="1043"/>
      <c r="BH191" s="1043"/>
      <c r="BI191" s="1043"/>
      <c r="BJ191" s="1038"/>
      <c r="BK191" s="1038"/>
      <c r="BL191" s="1038"/>
      <c r="BM191" s="1038"/>
      <c r="BN191" s="1038"/>
      <c r="BO191" s="1038"/>
      <c r="BP191" s="1038"/>
      <c r="BQ191" s="1038"/>
      <c r="BR191" s="1038"/>
      <c r="BS191" s="1038"/>
      <c r="BT191" s="1038"/>
      <c r="BU191" s="1038"/>
      <c r="BV191" s="1043"/>
      <c r="BW191" s="1103"/>
      <c r="BX191" s="1100"/>
      <c r="BY191" s="1100"/>
      <c r="BZ191" s="1100"/>
      <c r="CA191" s="1100"/>
      <c r="CB191" s="1100"/>
      <c r="CC191" s="1100"/>
      <c r="CD191" s="1100"/>
      <c r="CE191" s="1100"/>
      <c r="CF191" s="1100"/>
      <c r="CG191" s="1100"/>
      <c r="CH191" s="1020"/>
      <c r="CI191" s="1018"/>
      <c r="CJ191" s="1103"/>
      <c r="CK191" s="1100"/>
      <c r="CL191" s="1100"/>
      <c r="CM191" s="1100"/>
      <c r="CN191" s="1100"/>
      <c r="CO191" s="1100"/>
      <c r="CP191" s="1100"/>
      <c r="CQ191" s="1100"/>
      <c r="CR191" s="1100"/>
      <c r="CS191" s="1100"/>
      <c r="CT191" s="1100"/>
      <c r="CU191" s="1020"/>
      <c r="CV191" s="1018"/>
      <c r="CW191" s="1103"/>
      <c r="CX191" s="977"/>
      <c r="CY191" s="1100"/>
      <c r="CZ191" s="1100"/>
      <c r="DA191" s="1100"/>
      <c r="DB191" s="1100"/>
      <c r="DC191" s="1100"/>
      <c r="DD191" s="1100"/>
      <c r="DE191" s="1100"/>
      <c r="DF191" s="1100"/>
      <c r="DG191" s="1100"/>
      <c r="DH191" s="1020"/>
      <c r="DI191" s="1018"/>
      <c r="DJ191" s="972"/>
      <c r="DK191" s="214"/>
    </row>
    <row r="192" spans="1:116" ht="15" customHeight="1" x14ac:dyDescent="0.25">
      <c r="A192" s="1048"/>
      <c r="B192" s="1105"/>
      <c r="C192" s="1069"/>
      <c r="D192" s="1070"/>
      <c r="E192" s="238" t="s">
        <v>239</v>
      </c>
      <c r="F192" s="160">
        <v>30</v>
      </c>
      <c r="G192" s="1109"/>
      <c r="H192" s="226"/>
      <c r="I192" s="1038"/>
      <c r="J192" s="1043"/>
      <c r="K192" s="1043"/>
      <c r="L192" s="1043"/>
      <c r="M192" s="1043"/>
      <c r="N192" s="1043"/>
      <c r="O192" s="1043"/>
      <c r="P192" s="1043"/>
      <c r="Q192" s="1043"/>
      <c r="R192" s="1043"/>
      <c r="S192" s="1043"/>
      <c r="T192" s="1043"/>
      <c r="U192" s="1043"/>
      <c r="V192" s="1043"/>
      <c r="W192" s="1043"/>
      <c r="X192" s="1043"/>
      <c r="Y192" s="1043"/>
      <c r="Z192" s="1043"/>
      <c r="AA192" s="1043"/>
      <c r="AB192" s="1043"/>
      <c r="AC192" s="1043"/>
      <c r="AD192" s="1043"/>
      <c r="AE192" s="1043"/>
      <c r="AF192" s="1043"/>
      <c r="AG192" s="1043"/>
      <c r="AH192" s="1043"/>
      <c r="AI192" s="1043"/>
      <c r="AJ192" s="1043"/>
      <c r="AK192" s="1043"/>
      <c r="AL192" s="1043"/>
      <c r="AM192" s="1043"/>
      <c r="AN192" s="1043"/>
      <c r="AO192" s="1043"/>
      <c r="AP192" s="1043"/>
      <c r="AQ192" s="1043"/>
      <c r="AR192" s="1043"/>
      <c r="AS192" s="1043"/>
      <c r="AT192" s="1043"/>
      <c r="AU192" s="1043"/>
      <c r="AV192" s="1043"/>
      <c r="AW192" s="1043"/>
      <c r="AX192" s="1043"/>
      <c r="AY192" s="1043"/>
      <c r="AZ192" s="1043"/>
      <c r="BA192" s="1043"/>
      <c r="BB192" s="1043"/>
      <c r="BC192" s="1043"/>
      <c r="BD192" s="1043"/>
      <c r="BE192" s="1043"/>
      <c r="BF192" s="1043"/>
      <c r="BG192" s="1043"/>
      <c r="BH192" s="1043"/>
      <c r="BI192" s="1043"/>
      <c r="BJ192" s="1038"/>
      <c r="BK192" s="1038"/>
      <c r="BL192" s="1038"/>
      <c r="BM192" s="1038"/>
      <c r="BN192" s="1038"/>
      <c r="BO192" s="1038"/>
      <c r="BP192" s="1038"/>
      <c r="BQ192" s="1038"/>
      <c r="BR192" s="1038"/>
      <c r="BS192" s="1038"/>
      <c r="BT192" s="1038"/>
      <c r="BU192" s="1038"/>
      <c r="BV192" s="1043"/>
      <c r="BW192" s="1103"/>
      <c r="BX192" s="1100"/>
      <c r="BY192" s="1100"/>
      <c r="BZ192" s="1100"/>
      <c r="CA192" s="1100"/>
      <c r="CB192" s="1100"/>
      <c r="CC192" s="1100"/>
      <c r="CD192" s="1100"/>
      <c r="CE192" s="1100"/>
      <c r="CF192" s="1100"/>
      <c r="CG192" s="1100"/>
      <c r="CH192" s="1020"/>
      <c r="CI192" s="1018"/>
      <c r="CJ192" s="1103"/>
      <c r="CK192" s="1100"/>
      <c r="CL192" s="1100"/>
      <c r="CM192" s="1100"/>
      <c r="CN192" s="1100"/>
      <c r="CO192" s="1100"/>
      <c r="CP192" s="1100"/>
      <c r="CQ192" s="1100"/>
      <c r="CR192" s="1100"/>
      <c r="CS192" s="1100"/>
      <c r="CT192" s="1100"/>
      <c r="CU192" s="1020"/>
      <c r="CV192" s="1018"/>
      <c r="CW192" s="1103"/>
      <c r="CX192" s="977"/>
      <c r="CY192" s="1100"/>
      <c r="CZ192" s="1100"/>
      <c r="DA192" s="1100"/>
      <c r="DB192" s="1100"/>
      <c r="DC192" s="1100"/>
      <c r="DD192" s="1100"/>
      <c r="DE192" s="1100"/>
      <c r="DF192" s="1100"/>
      <c r="DG192" s="1100"/>
      <c r="DH192" s="1020"/>
      <c r="DI192" s="1018"/>
      <c r="DJ192" s="972"/>
      <c r="DK192" s="214"/>
    </row>
    <row r="193" spans="1:117" ht="15" customHeight="1" x14ac:dyDescent="0.25">
      <c r="A193" s="1048"/>
      <c r="B193" s="1105"/>
      <c r="C193" s="1069"/>
      <c r="D193" s="1070"/>
      <c r="E193" s="238" t="s">
        <v>240</v>
      </c>
      <c r="F193" s="160">
        <v>30</v>
      </c>
      <c r="G193" s="1109"/>
      <c r="H193" s="226"/>
      <c r="I193" s="1038"/>
      <c r="J193" s="1043"/>
      <c r="K193" s="1043"/>
      <c r="L193" s="1043"/>
      <c r="M193" s="1043"/>
      <c r="N193" s="1043"/>
      <c r="O193" s="1043"/>
      <c r="P193" s="1043"/>
      <c r="Q193" s="1043"/>
      <c r="R193" s="1043"/>
      <c r="S193" s="1043"/>
      <c r="T193" s="1043"/>
      <c r="U193" s="1043"/>
      <c r="V193" s="1043"/>
      <c r="W193" s="1043"/>
      <c r="X193" s="1043"/>
      <c r="Y193" s="1043"/>
      <c r="Z193" s="1043"/>
      <c r="AA193" s="1043"/>
      <c r="AB193" s="1043"/>
      <c r="AC193" s="1043"/>
      <c r="AD193" s="1043"/>
      <c r="AE193" s="1043"/>
      <c r="AF193" s="1043"/>
      <c r="AG193" s="1043"/>
      <c r="AH193" s="1043"/>
      <c r="AI193" s="1043"/>
      <c r="AJ193" s="1043"/>
      <c r="AK193" s="1043"/>
      <c r="AL193" s="1043"/>
      <c r="AM193" s="1043"/>
      <c r="AN193" s="1043"/>
      <c r="AO193" s="1043"/>
      <c r="AP193" s="1043"/>
      <c r="AQ193" s="1043"/>
      <c r="AR193" s="1043"/>
      <c r="AS193" s="1043"/>
      <c r="AT193" s="1043"/>
      <c r="AU193" s="1043"/>
      <c r="AV193" s="1043"/>
      <c r="AW193" s="1043"/>
      <c r="AX193" s="1043"/>
      <c r="AY193" s="1043"/>
      <c r="AZ193" s="1043"/>
      <c r="BA193" s="1043"/>
      <c r="BB193" s="1043"/>
      <c r="BC193" s="1043"/>
      <c r="BD193" s="1043"/>
      <c r="BE193" s="1043"/>
      <c r="BF193" s="1043"/>
      <c r="BG193" s="1043"/>
      <c r="BH193" s="1043"/>
      <c r="BI193" s="1043"/>
      <c r="BJ193" s="1038"/>
      <c r="BK193" s="1038"/>
      <c r="BL193" s="1038"/>
      <c r="BM193" s="1038"/>
      <c r="BN193" s="1038"/>
      <c r="BO193" s="1038"/>
      <c r="BP193" s="1038"/>
      <c r="BQ193" s="1038"/>
      <c r="BR193" s="1038"/>
      <c r="BS193" s="1038"/>
      <c r="BT193" s="1038"/>
      <c r="BU193" s="1038"/>
      <c r="BV193" s="1043"/>
      <c r="BW193" s="1103"/>
      <c r="BX193" s="1100"/>
      <c r="BY193" s="1100"/>
      <c r="BZ193" s="1100"/>
      <c r="CA193" s="1100"/>
      <c r="CB193" s="1100"/>
      <c r="CC193" s="1100"/>
      <c r="CD193" s="1100"/>
      <c r="CE193" s="1100"/>
      <c r="CF193" s="1100"/>
      <c r="CG193" s="1100"/>
      <c r="CH193" s="1020"/>
      <c r="CI193" s="1018"/>
      <c r="CJ193" s="1103"/>
      <c r="CK193" s="1100"/>
      <c r="CL193" s="1100"/>
      <c r="CM193" s="1100"/>
      <c r="CN193" s="1100"/>
      <c r="CO193" s="1100"/>
      <c r="CP193" s="1100"/>
      <c r="CQ193" s="1100"/>
      <c r="CR193" s="1100"/>
      <c r="CS193" s="1100"/>
      <c r="CT193" s="1100"/>
      <c r="CU193" s="1020"/>
      <c r="CV193" s="1018"/>
      <c r="CW193" s="1103"/>
      <c r="CX193" s="977"/>
      <c r="CY193" s="1100"/>
      <c r="CZ193" s="1100"/>
      <c r="DA193" s="1100"/>
      <c r="DB193" s="1100"/>
      <c r="DC193" s="1100"/>
      <c r="DD193" s="1100"/>
      <c r="DE193" s="1100"/>
      <c r="DF193" s="1100"/>
      <c r="DG193" s="1100"/>
      <c r="DH193" s="1020"/>
      <c r="DI193" s="1018"/>
      <c r="DJ193" s="972"/>
      <c r="DK193" s="214"/>
    </row>
    <row r="194" spans="1:117" ht="15" customHeight="1" x14ac:dyDescent="0.25">
      <c r="A194" s="1048"/>
      <c r="B194" s="1105"/>
      <c r="C194" s="1069"/>
      <c r="D194" s="1070"/>
      <c r="E194" s="238" t="s">
        <v>241</v>
      </c>
      <c r="F194" s="160">
        <v>30</v>
      </c>
      <c r="G194" s="1109"/>
      <c r="H194" s="226"/>
      <c r="I194" s="1038"/>
      <c r="J194" s="1043"/>
      <c r="K194" s="1043"/>
      <c r="L194" s="1043"/>
      <c r="M194" s="1043"/>
      <c r="N194" s="1043"/>
      <c r="O194" s="1043"/>
      <c r="P194" s="1043"/>
      <c r="Q194" s="1043"/>
      <c r="R194" s="1043"/>
      <c r="S194" s="1043"/>
      <c r="T194" s="1043"/>
      <c r="U194" s="1043"/>
      <c r="V194" s="1043"/>
      <c r="W194" s="1043"/>
      <c r="X194" s="1043"/>
      <c r="Y194" s="1043"/>
      <c r="Z194" s="1043"/>
      <c r="AA194" s="1043"/>
      <c r="AB194" s="1043"/>
      <c r="AC194" s="1043"/>
      <c r="AD194" s="1043"/>
      <c r="AE194" s="1043"/>
      <c r="AF194" s="1043"/>
      <c r="AG194" s="1043"/>
      <c r="AH194" s="1043"/>
      <c r="AI194" s="1043"/>
      <c r="AJ194" s="1043"/>
      <c r="AK194" s="1043"/>
      <c r="AL194" s="1043"/>
      <c r="AM194" s="1043"/>
      <c r="AN194" s="1043"/>
      <c r="AO194" s="1043"/>
      <c r="AP194" s="1043"/>
      <c r="AQ194" s="1043"/>
      <c r="AR194" s="1043"/>
      <c r="AS194" s="1043"/>
      <c r="AT194" s="1043"/>
      <c r="AU194" s="1043"/>
      <c r="AV194" s="1043"/>
      <c r="AW194" s="1043"/>
      <c r="AX194" s="1043"/>
      <c r="AY194" s="1043"/>
      <c r="AZ194" s="1043"/>
      <c r="BA194" s="1043"/>
      <c r="BB194" s="1043"/>
      <c r="BC194" s="1043"/>
      <c r="BD194" s="1043"/>
      <c r="BE194" s="1043"/>
      <c r="BF194" s="1043"/>
      <c r="BG194" s="1043"/>
      <c r="BH194" s="1043"/>
      <c r="BI194" s="1043"/>
      <c r="BJ194" s="1038"/>
      <c r="BK194" s="1038"/>
      <c r="BL194" s="1038"/>
      <c r="BM194" s="1038"/>
      <c r="BN194" s="1038"/>
      <c r="BO194" s="1038"/>
      <c r="BP194" s="1038"/>
      <c r="BQ194" s="1038"/>
      <c r="BR194" s="1038"/>
      <c r="BS194" s="1038"/>
      <c r="BT194" s="1038"/>
      <c r="BU194" s="1038"/>
      <c r="BV194" s="1043"/>
      <c r="BW194" s="1103"/>
      <c r="BX194" s="1100"/>
      <c r="BY194" s="1100"/>
      <c r="BZ194" s="1100"/>
      <c r="CA194" s="1100"/>
      <c r="CB194" s="1100"/>
      <c r="CC194" s="1100"/>
      <c r="CD194" s="1100"/>
      <c r="CE194" s="1100"/>
      <c r="CF194" s="1100"/>
      <c r="CG194" s="1100"/>
      <c r="CH194" s="1020"/>
      <c r="CI194" s="1018"/>
      <c r="CJ194" s="1103"/>
      <c r="CK194" s="1100"/>
      <c r="CL194" s="1100"/>
      <c r="CM194" s="1100"/>
      <c r="CN194" s="1100"/>
      <c r="CO194" s="1100"/>
      <c r="CP194" s="1100"/>
      <c r="CQ194" s="1100"/>
      <c r="CR194" s="1100"/>
      <c r="CS194" s="1100"/>
      <c r="CT194" s="1100"/>
      <c r="CU194" s="1020"/>
      <c r="CV194" s="1018"/>
      <c r="CW194" s="1103"/>
      <c r="CX194" s="977"/>
      <c r="CY194" s="1100"/>
      <c r="CZ194" s="1100"/>
      <c r="DA194" s="1100"/>
      <c r="DB194" s="1100"/>
      <c r="DC194" s="1100"/>
      <c r="DD194" s="1100"/>
      <c r="DE194" s="1100"/>
      <c r="DF194" s="1100"/>
      <c r="DG194" s="1100"/>
      <c r="DH194" s="1020"/>
      <c r="DI194" s="1018"/>
      <c r="DJ194" s="972"/>
      <c r="DK194" s="214"/>
    </row>
    <row r="195" spans="1:117" ht="15" customHeight="1" x14ac:dyDescent="0.25">
      <c r="A195" s="1048"/>
      <c r="B195" s="1105"/>
      <c r="C195" s="1069"/>
      <c r="D195" s="1107"/>
      <c r="E195" s="241" t="s">
        <v>242</v>
      </c>
      <c r="F195" s="161">
        <v>30</v>
      </c>
      <c r="G195" s="1110"/>
      <c r="H195" s="226"/>
      <c r="I195" s="1039"/>
      <c r="J195" s="1043"/>
      <c r="K195" s="1043"/>
      <c r="L195" s="1043"/>
      <c r="M195" s="1043"/>
      <c r="N195" s="1043"/>
      <c r="O195" s="1043"/>
      <c r="P195" s="1043"/>
      <c r="Q195" s="1043"/>
      <c r="R195" s="1043"/>
      <c r="S195" s="1043"/>
      <c r="T195" s="1043"/>
      <c r="U195" s="1043"/>
      <c r="V195" s="1043"/>
      <c r="W195" s="1043"/>
      <c r="X195" s="1043"/>
      <c r="Y195" s="1043"/>
      <c r="Z195" s="1043"/>
      <c r="AA195" s="1043"/>
      <c r="AB195" s="1043"/>
      <c r="AC195" s="1043"/>
      <c r="AD195" s="1043"/>
      <c r="AE195" s="1043"/>
      <c r="AF195" s="1043"/>
      <c r="AG195" s="1043"/>
      <c r="AH195" s="1043"/>
      <c r="AI195" s="1043"/>
      <c r="AJ195" s="1043"/>
      <c r="AK195" s="1043"/>
      <c r="AL195" s="1043"/>
      <c r="AM195" s="1043"/>
      <c r="AN195" s="1043"/>
      <c r="AO195" s="1043"/>
      <c r="AP195" s="1043"/>
      <c r="AQ195" s="1043"/>
      <c r="AR195" s="1043"/>
      <c r="AS195" s="1043"/>
      <c r="AT195" s="1043"/>
      <c r="AU195" s="1043"/>
      <c r="AV195" s="1043"/>
      <c r="AW195" s="1043"/>
      <c r="AX195" s="1043"/>
      <c r="AY195" s="1043"/>
      <c r="AZ195" s="1043"/>
      <c r="BA195" s="1043"/>
      <c r="BB195" s="1043"/>
      <c r="BC195" s="1043"/>
      <c r="BD195" s="1043"/>
      <c r="BE195" s="1043"/>
      <c r="BF195" s="1043"/>
      <c r="BG195" s="1043"/>
      <c r="BH195" s="1043"/>
      <c r="BI195" s="1043"/>
      <c r="BJ195" s="1039"/>
      <c r="BK195" s="1039"/>
      <c r="BL195" s="1039"/>
      <c r="BM195" s="1039"/>
      <c r="BN195" s="1039"/>
      <c r="BO195" s="1039"/>
      <c r="BP195" s="1039"/>
      <c r="BQ195" s="1039"/>
      <c r="BR195" s="1039"/>
      <c r="BS195" s="1039"/>
      <c r="BT195" s="1039"/>
      <c r="BU195" s="1039"/>
      <c r="BV195" s="1043"/>
      <c r="BW195" s="1104"/>
      <c r="BX195" s="1101"/>
      <c r="BY195" s="1101"/>
      <c r="BZ195" s="1101"/>
      <c r="CA195" s="1101"/>
      <c r="CB195" s="1101"/>
      <c r="CC195" s="1101"/>
      <c r="CD195" s="1101"/>
      <c r="CE195" s="1101"/>
      <c r="CF195" s="1101"/>
      <c r="CG195" s="1101"/>
      <c r="CH195" s="1021"/>
      <c r="CI195" s="1018"/>
      <c r="CJ195" s="1104"/>
      <c r="CK195" s="1101"/>
      <c r="CL195" s="1101"/>
      <c r="CM195" s="1101"/>
      <c r="CN195" s="1101"/>
      <c r="CO195" s="1101"/>
      <c r="CP195" s="1101"/>
      <c r="CQ195" s="1101"/>
      <c r="CR195" s="1101"/>
      <c r="CS195" s="1101"/>
      <c r="CT195" s="1101"/>
      <c r="CU195" s="1021"/>
      <c r="CV195" s="1018"/>
      <c r="CW195" s="1104"/>
      <c r="CX195" s="978"/>
      <c r="CY195" s="1101"/>
      <c r="CZ195" s="1101"/>
      <c r="DA195" s="1101"/>
      <c r="DB195" s="1101"/>
      <c r="DC195" s="1101"/>
      <c r="DD195" s="1101"/>
      <c r="DE195" s="1101"/>
      <c r="DF195" s="1101"/>
      <c r="DG195" s="1101"/>
      <c r="DH195" s="1021"/>
      <c r="DI195" s="1018"/>
      <c r="DJ195" s="973"/>
      <c r="DK195" s="215"/>
    </row>
    <row r="196" spans="1:117" ht="15" customHeight="1" x14ac:dyDescent="0.25">
      <c r="A196" s="1048">
        <v>24</v>
      </c>
      <c r="B196" s="1068" t="s">
        <v>96</v>
      </c>
      <c r="C196" s="1069"/>
      <c r="D196" s="1085" t="s">
        <v>319</v>
      </c>
      <c r="E196" s="237" t="s">
        <v>320</v>
      </c>
      <c r="F196" s="149">
        <v>30</v>
      </c>
      <c r="G196" s="1097">
        <f>F196+F197+F198</f>
        <v>60</v>
      </c>
      <c r="H196" s="201"/>
      <c r="I196" s="1040"/>
      <c r="J196" s="1043"/>
      <c r="K196" s="1043"/>
      <c r="L196" s="1043"/>
      <c r="M196" s="1043"/>
      <c r="N196" s="1043"/>
      <c r="O196" s="1043"/>
      <c r="P196" s="1043"/>
      <c r="Q196" s="1043"/>
      <c r="R196" s="1043"/>
      <c r="S196" s="1043"/>
      <c r="T196" s="1043"/>
      <c r="U196" s="1043"/>
      <c r="V196" s="1043">
        <f>SUM(J196:U198)</f>
        <v>0</v>
      </c>
      <c r="W196" s="1043"/>
      <c r="X196" s="1043"/>
      <c r="Y196" s="1043"/>
      <c r="Z196" s="1043"/>
      <c r="AA196" s="1043"/>
      <c r="AB196" s="1043">
        <v>1</v>
      </c>
      <c r="AC196" s="1043"/>
      <c r="AD196" s="1043"/>
      <c r="AE196" s="1043"/>
      <c r="AF196" s="1043">
        <v>1</v>
      </c>
      <c r="AG196" s="1043"/>
      <c r="AH196" s="1043"/>
      <c r="AI196" s="1043"/>
      <c r="AJ196" s="1043"/>
      <c r="AK196" s="1043"/>
      <c r="AL196" s="1043"/>
      <c r="AM196" s="1043">
        <v>2</v>
      </c>
      <c r="AN196" s="1043"/>
      <c r="AO196" s="1043">
        <v>1</v>
      </c>
      <c r="AP196" s="1043">
        <v>1</v>
      </c>
      <c r="AQ196" s="1043"/>
      <c r="AR196" s="1043">
        <v>1</v>
      </c>
      <c r="AS196" s="1043">
        <v>1</v>
      </c>
      <c r="AT196" s="1043">
        <v>1</v>
      </c>
      <c r="AU196" s="1043">
        <v>1</v>
      </c>
      <c r="AV196" s="1043"/>
      <c r="AW196" s="1043">
        <v>2</v>
      </c>
      <c r="AX196" s="1043">
        <v>1</v>
      </c>
      <c r="AY196" s="1043"/>
      <c r="AZ196" s="1043">
        <v>1</v>
      </c>
      <c r="BA196" s="1043"/>
      <c r="BB196" s="1043"/>
      <c r="BC196" s="1043">
        <v>1</v>
      </c>
      <c r="BD196" s="1043"/>
      <c r="BE196" s="1043"/>
      <c r="BF196" s="1043"/>
      <c r="BG196" s="1043">
        <v>1</v>
      </c>
      <c r="BH196" s="1043"/>
      <c r="BI196" s="1043"/>
      <c r="BJ196" s="1037"/>
      <c r="BK196" s="137"/>
      <c r="BL196" s="137"/>
      <c r="BM196" s="137"/>
      <c r="BN196" s="137"/>
      <c r="BO196" s="1037"/>
      <c r="BP196" s="1037"/>
      <c r="BQ196" s="137"/>
      <c r="BR196" s="137"/>
      <c r="BS196" s="137"/>
      <c r="BT196" s="137"/>
      <c r="BU196" s="1037"/>
      <c r="BV196" s="1043">
        <f>SUM(BJ196:BU198)</f>
        <v>0</v>
      </c>
      <c r="BW196" s="178"/>
      <c r="BX196" s="976"/>
      <c r="BY196" s="976"/>
      <c r="BZ196" s="976">
        <v>22</v>
      </c>
      <c r="CA196" s="976"/>
      <c r="CB196" s="976"/>
      <c r="CC196" s="976"/>
      <c r="CD196" s="976"/>
      <c r="CE196" s="976"/>
      <c r="CF196" s="976"/>
      <c r="CG196" s="976"/>
      <c r="CH196" s="979"/>
      <c r="CI196" s="1018">
        <f>SUM(BW196:CH198)</f>
        <v>22</v>
      </c>
      <c r="CJ196" s="178"/>
      <c r="CK196" s="976"/>
      <c r="CL196" s="976"/>
      <c r="CM196" s="976"/>
      <c r="CN196" s="976">
        <v>4</v>
      </c>
      <c r="CO196" s="976"/>
      <c r="CP196" s="976"/>
      <c r="CQ196" s="976"/>
      <c r="CR196" s="976"/>
      <c r="CS196" s="976"/>
      <c r="CT196" s="976"/>
      <c r="CU196" s="979"/>
      <c r="CV196" s="1018">
        <f>SUM(CJ196:CU198)</f>
        <v>4</v>
      </c>
      <c r="CW196" s="988"/>
      <c r="CX196" s="976"/>
      <c r="CY196" s="976"/>
      <c r="CZ196" s="976"/>
      <c r="DA196" s="976"/>
      <c r="DB196" s="976"/>
      <c r="DC196" s="976"/>
      <c r="DD196" s="976">
        <v>8</v>
      </c>
      <c r="DE196" s="976">
        <v>30</v>
      </c>
      <c r="DF196" s="976">
        <v>14</v>
      </c>
      <c r="DG196" s="976"/>
      <c r="DH196" s="979"/>
      <c r="DI196" s="1018">
        <f>SUM(CW196:DH198)</f>
        <v>52</v>
      </c>
      <c r="DJ196" s="971">
        <f>I196+V196+AI196+AV196+BI196+BV196+CI196+CV196+DI196</f>
        <v>78</v>
      </c>
      <c r="DK196" s="230">
        <f>H197-DJ196</f>
        <v>-18</v>
      </c>
    </row>
    <row r="197" spans="1:117" ht="15" customHeight="1" x14ac:dyDescent="0.25">
      <c r="A197" s="1048"/>
      <c r="B197" s="1068"/>
      <c r="C197" s="1069"/>
      <c r="D197" s="1070"/>
      <c r="E197" s="153" t="s">
        <v>321</v>
      </c>
      <c r="F197" s="150">
        <v>30</v>
      </c>
      <c r="G197" s="1097"/>
      <c r="H197" s="228">
        <f>ROUNDDOWN(($H$2-D196)/365,0)*30</f>
        <v>60</v>
      </c>
      <c r="I197" s="1041"/>
      <c r="J197" s="1043"/>
      <c r="K197" s="1043"/>
      <c r="L197" s="1043"/>
      <c r="M197" s="1043"/>
      <c r="N197" s="1043"/>
      <c r="O197" s="1043"/>
      <c r="P197" s="1043"/>
      <c r="Q197" s="1043"/>
      <c r="R197" s="1043"/>
      <c r="S197" s="1043"/>
      <c r="T197" s="1043"/>
      <c r="U197" s="1043"/>
      <c r="V197" s="1043"/>
      <c r="W197" s="1043"/>
      <c r="X197" s="1043"/>
      <c r="Y197" s="1043"/>
      <c r="Z197" s="1043"/>
      <c r="AA197" s="1043"/>
      <c r="AB197" s="1043"/>
      <c r="AC197" s="1043"/>
      <c r="AD197" s="1043"/>
      <c r="AE197" s="1043"/>
      <c r="AF197" s="1043"/>
      <c r="AG197" s="1043"/>
      <c r="AH197" s="1043"/>
      <c r="AI197" s="1043"/>
      <c r="AJ197" s="1043"/>
      <c r="AK197" s="1043"/>
      <c r="AL197" s="1043"/>
      <c r="AM197" s="1043"/>
      <c r="AN197" s="1043"/>
      <c r="AO197" s="1043"/>
      <c r="AP197" s="1043"/>
      <c r="AQ197" s="1043"/>
      <c r="AR197" s="1043"/>
      <c r="AS197" s="1043"/>
      <c r="AT197" s="1043"/>
      <c r="AU197" s="1043"/>
      <c r="AV197" s="1043"/>
      <c r="AW197" s="1043"/>
      <c r="AX197" s="1043"/>
      <c r="AY197" s="1043"/>
      <c r="AZ197" s="1043"/>
      <c r="BA197" s="1043"/>
      <c r="BB197" s="1043"/>
      <c r="BC197" s="1043"/>
      <c r="BD197" s="1043"/>
      <c r="BE197" s="1043"/>
      <c r="BF197" s="1043"/>
      <c r="BG197" s="1043"/>
      <c r="BH197" s="1043"/>
      <c r="BI197" s="1043"/>
      <c r="BJ197" s="1038"/>
      <c r="BK197" s="139"/>
      <c r="BL197" s="139"/>
      <c r="BM197" s="139"/>
      <c r="BN197" s="139"/>
      <c r="BO197" s="1038"/>
      <c r="BP197" s="1038"/>
      <c r="BQ197" s="139"/>
      <c r="BR197" s="139"/>
      <c r="BS197" s="139"/>
      <c r="BT197" s="139"/>
      <c r="BU197" s="1038"/>
      <c r="BV197" s="1043"/>
      <c r="BW197" s="179"/>
      <c r="BX197" s="977"/>
      <c r="BY197" s="977"/>
      <c r="BZ197" s="977"/>
      <c r="CA197" s="977"/>
      <c r="CB197" s="977"/>
      <c r="CC197" s="977"/>
      <c r="CD197" s="977"/>
      <c r="CE197" s="977"/>
      <c r="CF197" s="977"/>
      <c r="CG197" s="977"/>
      <c r="CH197" s="980"/>
      <c r="CI197" s="1018"/>
      <c r="CJ197" s="179"/>
      <c r="CK197" s="977"/>
      <c r="CL197" s="977"/>
      <c r="CM197" s="977"/>
      <c r="CN197" s="977"/>
      <c r="CO197" s="977"/>
      <c r="CP197" s="977"/>
      <c r="CQ197" s="977"/>
      <c r="CR197" s="977"/>
      <c r="CS197" s="977"/>
      <c r="CT197" s="977"/>
      <c r="CU197" s="980"/>
      <c r="CV197" s="1018"/>
      <c r="CW197" s="989"/>
      <c r="CX197" s="977"/>
      <c r="CY197" s="977"/>
      <c r="CZ197" s="977"/>
      <c r="DA197" s="977"/>
      <c r="DB197" s="977"/>
      <c r="DC197" s="977"/>
      <c r="DD197" s="977"/>
      <c r="DE197" s="977"/>
      <c r="DF197" s="977"/>
      <c r="DG197" s="977"/>
      <c r="DH197" s="980"/>
      <c r="DI197" s="1018"/>
      <c r="DJ197" s="972"/>
      <c r="DK197" s="214"/>
    </row>
    <row r="198" spans="1:117" ht="15" customHeight="1" x14ac:dyDescent="0.25">
      <c r="A198" s="1048"/>
      <c r="B198" s="982"/>
      <c r="C198" s="1069"/>
      <c r="D198" s="975"/>
      <c r="E198" s="241" t="s">
        <v>322</v>
      </c>
      <c r="F198" s="147"/>
      <c r="G198" s="1098"/>
      <c r="H198" s="203"/>
      <c r="I198" s="1042"/>
      <c r="J198" s="1043"/>
      <c r="K198" s="1043"/>
      <c r="L198" s="1043"/>
      <c r="M198" s="1043"/>
      <c r="N198" s="1043"/>
      <c r="O198" s="1043"/>
      <c r="P198" s="1043"/>
      <c r="Q198" s="1043"/>
      <c r="R198" s="1043"/>
      <c r="S198" s="1043"/>
      <c r="T198" s="1043"/>
      <c r="U198" s="1043"/>
      <c r="V198" s="1043"/>
      <c r="W198" s="1043"/>
      <c r="X198" s="1043"/>
      <c r="Y198" s="1043"/>
      <c r="Z198" s="1043"/>
      <c r="AA198" s="1043"/>
      <c r="AB198" s="1043"/>
      <c r="AC198" s="1043"/>
      <c r="AD198" s="1043"/>
      <c r="AE198" s="1043"/>
      <c r="AF198" s="1043"/>
      <c r="AG198" s="1043"/>
      <c r="AH198" s="1043"/>
      <c r="AI198" s="1043"/>
      <c r="AJ198" s="1043"/>
      <c r="AK198" s="1043"/>
      <c r="AL198" s="1043"/>
      <c r="AM198" s="1043"/>
      <c r="AN198" s="1043"/>
      <c r="AO198" s="1043"/>
      <c r="AP198" s="1043"/>
      <c r="AQ198" s="1043"/>
      <c r="AR198" s="1043"/>
      <c r="AS198" s="1043"/>
      <c r="AT198" s="1043"/>
      <c r="AU198" s="1043"/>
      <c r="AV198" s="1043"/>
      <c r="AW198" s="1043"/>
      <c r="AX198" s="1043"/>
      <c r="AY198" s="1043"/>
      <c r="AZ198" s="1043"/>
      <c r="BA198" s="1043"/>
      <c r="BB198" s="1043"/>
      <c r="BC198" s="1043"/>
      <c r="BD198" s="1043"/>
      <c r="BE198" s="1043"/>
      <c r="BF198" s="1043"/>
      <c r="BG198" s="1043"/>
      <c r="BH198" s="1043"/>
      <c r="BI198" s="1043"/>
      <c r="BJ198" s="1039"/>
      <c r="BK198" s="139"/>
      <c r="BL198" s="139"/>
      <c r="BM198" s="139"/>
      <c r="BN198" s="139"/>
      <c r="BO198" s="1039"/>
      <c r="BP198" s="1039"/>
      <c r="BQ198" s="139"/>
      <c r="BR198" s="139"/>
      <c r="BS198" s="139"/>
      <c r="BT198" s="139"/>
      <c r="BU198" s="1039"/>
      <c r="BV198" s="1043"/>
      <c r="BW198" s="179"/>
      <c r="BX198" s="978"/>
      <c r="BY198" s="978"/>
      <c r="BZ198" s="978"/>
      <c r="CA198" s="978"/>
      <c r="CB198" s="978"/>
      <c r="CC198" s="978"/>
      <c r="CD198" s="978"/>
      <c r="CE198" s="978"/>
      <c r="CF198" s="978"/>
      <c r="CG198" s="978"/>
      <c r="CH198" s="981"/>
      <c r="CI198" s="1065"/>
      <c r="CJ198" s="179"/>
      <c r="CK198" s="977"/>
      <c r="CL198" s="977"/>
      <c r="CM198" s="977"/>
      <c r="CN198" s="977"/>
      <c r="CO198" s="977"/>
      <c r="CP198" s="977"/>
      <c r="CQ198" s="977"/>
      <c r="CR198" s="977"/>
      <c r="CS198" s="977"/>
      <c r="CT198" s="977"/>
      <c r="CU198" s="980"/>
      <c r="CV198" s="1065"/>
      <c r="CW198" s="990"/>
      <c r="CX198" s="977"/>
      <c r="CY198" s="977"/>
      <c r="CZ198" s="977"/>
      <c r="DA198" s="977"/>
      <c r="DB198" s="977"/>
      <c r="DC198" s="977"/>
      <c r="DD198" s="977"/>
      <c r="DE198" s="977"/>
      <c r="DF198" s="977"/>
      <c r="DG198" s="977"/>
      <c r="DH198" s="980"/>
      <c r="DI198" s="1065"/>
      <c r="DJ198" s="972"/>
      <c r="DK198" s="214"/>
    </row>
    <row r="199" spans="1:117" ht="15" customHeight="1" x14ac:dyDescent="0.25">
      <c r="A199" s="1048">
        <v>16</v>
      </c>
      <c r="B199" s="982" t="s">
        <v>323</v>
      </c>
      <c r="C199" s="1069" t="s">
        <v>264</v>
      </c>
      <c r="D199" s="1070" t="s">
        <v>324</v>
      </c>
      <c r="E199" s="182"/>
      <c r="F199" s="142"/>
      <c r="G199" s="1074" t="e">
        <f>F199+F200+#REF!+F201+#REF!+#REF!</f>
        <v>#REF!</v>
      </c>
      <c r="H199" s="198"/>
      <c r="I199" s="1037"/>
      <c r="J199" s="1043"/>
      <c r="K199" s="1043"/>
      <c r="L199" s="1043"/>
      <c r="M199" s="1043"/>
      <c r="N199" s="1043"/>
      <c r="O199" s="1043"/>
      <c r="P199" s="1043"/>
      <c r="Q199" s="1043"/>
      <c r="R199" s="1043"/>
      <c r="S199" s="1043"/>
      <c r="T199" s="1043"/>
      <c r="U199" s="1043"/>
      <c r="V199" s="1043"/>
      <c r="W199" s="1043"/>
      <c r="X199" s="1043"/>
      <c r="Y199" s="1043"/>
      <c r="Z199" s="1043"/>
      <c r="AA199" s="1043"/>
      <c r="AB199" s="1043"/>
      <c r="AC199" s="1043"/>
      <c r="AD199" s="1043"/>
      <c r="AE199" s="1043"/>
      <c r="AF199" s="1043"/>
      <c r="AG199" s="1043"/>
      <c r="AH199" s="1043"/>
      <c r="AI199" s="1043"/>
      <c r="AJ199" s="1043"/>
      <c r="AK199" s="1043"/>
      <c r="AL199" s="1043"/>
      <c r="AM199" s="1043"/>
      <c r="AN199" s="1043"/>
      <c r="AO199" s="1043"/>
      <c r="AP199" s="1043"/>
      <c r="AQ199" s="1043"/>
      <c r="AR199" s="1043"/>
      <c r="AS199" s="1043"/>
      <c r="AT199" s="1043"/>
      <c r="AU199" s="1043"/>
      <c r="AV199" s="1043"/>
      <c r="AW199" s="1043"/>
      <c r="AX199" s="1043"/>
      <c r="AY199" s="1043"/>
      <c r="AZ199" s="1043"/>
      <c r="BA199" s="1043"/>
      <c r="BB199" s="1043"/>
      <c r="BC199" s="1043"/>
      <c r="BD199" s="1043"/>
      <c r="BE199" s="1043"/>
      <c r="BF199" s="1043"/>
      <c r="BG199" s="1043"/>
      <c r="BH199" s="1043"/>
      <c r="BI199" s="1043"/>
      <c r="BJ199" s="1037"/>
      <c r="BK199" s="1037"/>
      <c r="BL199" s="1037"/>
      <c r="BM199" s="1037"/>
      <c r="BN199" s="1037"/>
      <c r="BO199" s="1037"/>
      <c r="BP199" s="1037"/>
      <c r="BQ199" s="1037"/>
      <c r="BR199" s="1037"/>
      <c r="BS199" s="1037"/>
      <c r="BT199" s="1037"/>
      <c r="BU199" s="1037"/>
      <c r="BV199" s="1043"/>
      <c r="BW199" s="988"/>
      <c r="BX199" s="976"/>
      <c r="BY199" s="976"/>
      <c r="BZ199" s="976"/>
      <c r="CA199" s="976"/>
      <c r="CB199" s="976"/>
      <c r="CC199" s="976"/>
      <c r="CD199" s="976"/>
      <c r="CE199" s="976"/>
      <c r="CF199" s="976"/>
      <c r="CG199" s="976"/>
      <c r="CH199" s="979"/>
      <c r="CI199" s="1018"/>
      <c r="CJ199" s="988"/>
      <c r="CK199" s="976"/>
      <c r="CL199" s="976"/>
      <c r="CM199" s="976"/>
      <c r="CN199" s="976"/>
      <c r="CO199" s="976"/>
      <c r="CP199" s="976"/>
      <c r="CQ199" s="976"/>
      <c r="CR199" s="976"/>
      <c r="CS199" s="976"/>
      <c r="CT199" s="976"/>
      <c r="CU199" s="979"/>
      <c r="CV199" s="1018"/>
      <c r="CW199" s="988"/>
      <c r="CX199" s="976"/>
      <c r="CY199" s="976"/>
      <c r="CZ199" s="976"/>
      <c r="DA199" s="976"/>
      <c r="DB199" s="976"/>
      <c r="DC199" s="976"/>
      <c r="DD199" s="976"/>
      <c r="DE199" s="976"/>
      <c r="DF199" s="976"/>
      <c r="DG199" s="976"/>
      <c r="DH199" s="979"/>
      <c r="DI199" s="1018">
        <f>SUM(CW199:DH201)</f>
        <v>0</v>
      </c>
      <c r="DJ199" s="971">
        <f>I199+V199+AI199+AV199+BI199+BV199+CI199+CV199+DI199</f>
        <v>0</v>
      </c>
      <c r="DK199" s="230">
        <f>H199-DJ199</f>
        <v>0</v>
      </c>
    </row>
    <row r="200" spans="1:117" ht="15" customHeight="1" x14ac:dyDescent="0.25">
      <c r="A200" s="1048"/>
      <c r="B200" s="983"/>
      <c r="C200" s="1069"/>
      <c r="D200" s="1070"/>
      <c r="E200" s="246"/>
      <c r="F200" s="143"/>
      <c r="G200" s="1075"/>
      <c r="H200" s="228">
        <f>ROUNDDOWN(($H$2-D199)/365,0)*30</f>
        <v>0</v>
      </c>
      <c r="I200" s="1038"/>
      <c r="J200" s="1043"/>
      <c r="K200" s="1043"/>
      <c r="L200" s="1043"/>
      <c r="M200" s="1043"/>
      <c r="N200" s="1043"/>
      <c r="O200" s="1043"/>
      <c r="P200" s="1043"/>
      <c r="Q200" s="1043"/>
      <c r="R200" s="1043"/>
      <c r="S200" s="1043"/>
      <c r="T200" s="1043"/>
      <c r="U200" s="1043"/>
      <c r="V200" s="1043"/>
      <c r="W200" s="1043"/>
      <c r="X200" s="1043"/>
      <c r="Y200" s="1043"/>
      <c r="Z200" s="1043"/>
      <c r="AA200" s="1043"/>
      <c r="AB200" s="1043"/>
      <c r="AC200" s="1043"/>
      <c r="AD200" s="1043"/>
      <c r="AE200" s="1043"/>
      <c r="AF200" s="1043"/>
      <c r="AG200" s="1043"/>
      <c r="AH200" s="1043"/>
      <c r="AI200" s="1043"/>
      <c r="AJ200" s="1043"/>
      <c r="AK200" s="1043"/>
      <c r="AL200" s="1043"/>
      <c r="AM200" s="1043"/>
      <c r="AN200" s="1043"/>
      <c r="AO200" s="1043"/>
      <c r="AP200" s="1043"/>
      <c r="AQ200" s="1043"/>
      <c r="AR200" s="1043"/>
      <c r="AS200" s="1043"/>
      <c r="AT200" s="1043"/>
      <c r="AU200" s="1043"/>
      <c r="AV200" s="1043"/>
      <c r="AW200" s="1043"/>
      <c r="AX200" s="1043"/>
      <c r="AY200" s="1043"/>
      <c r="AZ200" s="1043"/>
      <c r="BA200" s="1043"/>
      <c r="BB200" s="1043"/>
      <c r="BC200" s="1043"/>
      <c r="BD200" s="1043"/>
      <c r="BE200" s="1043"/>
      <c r="BF200" s="1043"/>
      <c r="BG200" s="1043"/>
      <c r="BH200" s="1043"/>
      <c r="BI200" s="1043"/>
      <c r="BJ200" s="1038"/>
      <c r="BK200" s="1038"/>
      <c r="BL200" s="1038"/>
      <c r="BM200" s="1038"/>
      <c r="BN200" s="1038"/>
      <c r="BO200" s="1038"/>
      <c r="BP200" s="1038"/>
      <c r="BQ200" s="1038"/>
      <c r="BR200" s="1038"/>
      <c r="BS200" s="1038"/>
      <c r="BT200" s="1038"/>
      <c r="BU200" s="1038"/>
      <c r="BV200" s="1043"/>
      <c r="BW200" s="989"/>
      <c r="BX200" s="977"/>
      <c r="BY200" s="977"/>
      <c r="BZ200" s="977"/>
      <c r="CA200" s="977"/>
      <c r="CB200" s="977"/>
      <c r="CC200" s="977"/>
      <c r="CD200" s="977"/>
      <c r="CE200" s="977"/>
      <c r="CF200" s="977"/>
      <c r="CG200" s="977"/>
      <c r="CH200" s="980"/>
      <c r="CI200" s="1018"/>
      <c r="CJ200" s="989"/>
      <c r="CK200" s="977"/>
      <c r="CL200" s="977"/>
      <c r="CM200" s="977"/>
      <c r="CN200" s="977"/>
      <c r="CO200" s="977"/>
      <c r="CP200" s="977"/>
      <c r="CQ200" s="977"/>
      <c r="CR200" s="977"/>
      <c r="CS200" s="977"/>
      <c r="CT200" s="977"/>
      <c r="CU200" s="980"/>
      <c r="CV200" s="1018"/>
      <c r="CW200" s="989"/>
      <c r="CX200" s="977"/>
      <c r="CY200" s="977"/>
      <c r="CZ200" s="977"/>
      <c r="DA200" s="977"/>
      <c r="DB200" s="977"/>
      <c r="DC200" s="977"/>
      <c r="DD200" s="977"/>
      <c r="DE200" s="977"/>
      <c r="DF200" s="977"/>
      <c r="DG200" s="977"/>
      <c r="DH200" s="980"/>
      <c r="DI200" s="1018"/>
      <c r="DJ200" s="972"/>
      <c r="DK200" s="214"/>
    </row>
    <row r="201" spans="1:117" ht="15" customHeight="1" x14ac:dyDescent="0.25">
      <c r="A201" s="1048"/>
      <c r="B201" s="984"/>
      <c r="C201" s="1069"/>
      <c r="D201" s="1070"/>
      <c r="E201" s="246"/>
      <c r="F201" s="143"/>
      <c r="G201" s="1075"/>
      <c r="H201" s="198"/>
      <c r="I201" s="1038"/>
      <c r="J201" s="1043"/>
      <c r="K201" s="1043"/>
      <c r="L201" s="1043"/>
      <c r="M201" s="1043"/>
      <c r="N201" s="1043"/>
      <c r="O201" s="1043"/>
      <c r="P201" s="1043"/>
      <c r="Q201" s="1043"/>
      <c r="R201" s="1043"/>
      <c r="S201" s="1043"/>
      <c r="T201" s="1043"/>
      <c r="U201" s="1043"/>
      <c r="V201" s="1043"/>
      <c r="W201" s="1043"/>
      <c r="X201" s="1043"/>
      <c r="Y201" s="1043"/>
      <c r="Z201" s="1043"/>
      <c r="AA201" s="1043"/>
      <c r="AB201" s="1043"/>
      <c r="AC201" s="1043"/>
      <c r="AD201" s="1043"/>
      <c r="AE201" s="1043"/>
      <c r="AF201" s="1043"/>
      <c r="AG201" s="1043"/>
      <c r="AH201" s="1043"/>
      <c r="AI201" s="1043"/>
      <c r="AJ201" s="1043"/>
      <c r="AK201" s="1043"/>
      <c r="AL201" s="1043"/>
      <c r="AM201" s="1043"/>
      <c r="AN201" s="1043"/>
      <c r="AO201" s="1043"/>
      <c r="AP201" s="1043"/>
      <c r="AQ201" s="1043"/>
      <c r="AR201" s="1043"/>
      <c r="AS201" s="1043"/>
      <c r="AT201" s="1043"/>
      <c r="AU201" s="1043"/>
      <c r="AV201" s="1043"/>
      <c r="AW201" s="1043"/>
      <c r="AX201" s="1043"/>
      <c r="AY201" s="1043"/>
      <c r="AZ201" s="1043"/>
      <c r="BA201" s="1043"/>
      <c r="BB201" s="1043"/>
      <c r="BC201" s="1043"/>
      <c r="BD201" s="1043"/>
      <c r="BE201" s="1043"/>
      <c r="BF201" s="1043"/>
      <c r="BG201" s="1043"/>
      <c r="BH201" s="1043"/>
      <c r="BI201" s="1043"/>
      <c r="BJ201" s="1038"/>
      <c r="BK201" s="1038"/>
      <c r="BL201" s="1038"/>
      <c r="BM201" s="1038"/>
      <c r="BN201" s="1038"/>
      <c r="BO201" s="1038"/>
      <c r="BP201" s="1038"/>
      <c r="BQ201" s="1038"/>
      <c r="BR201" s="1038"/>
      <c r="BS201" s="1038"/>
      <c r="BT201" s="1038"/>
      <c r="BU201" s="1038"/>
      <c r="BV201" s="1043"/>
      <c r="BW201" s="989"/>
      <c r="BX201" s="977"/>
      <c r="BY201" s="977"/>
      <c r="BZ201" s="977"/>
      <c r="CA201" s="977"/>
      <c r="CB201" s="977"/>
      <c r="CC201" s="977"/>
      <c r="CD201" s="977"/>
      <c r="CE201" s="977"/>
      <c r="CF201" s="977"/>
      <c r="CG201" s="977"/>
      <c r="CH201" s="980"/>
      <c r="CI201" s="1018"/>
      <c r="CJ201" s="989"/>
      <c r="CK201" s="977"/>
      <c r="CL201" s="977"/>
      <c r="CM201" s="977"/>
      <c r="CN201" s="977"/>
      <c r="CO201" s="977"/>
      <c r="CP201" s="977"/>
      <c r="CQ201" s="977"/>
      <c r="CR201" s="977"/>
      <c r="CS201" s="977"/>
      <c r="CT201" s="977"/>
      <c r="CU201" s="980"/>
      <c r="CV201" s="1018"/>
      <c r="CW201" s="989"/>
      <c r="CX201" s="977"/>
      <c r="CY201" s="977"/>
      <c r="CZ201" s="977"/>
      <c r="DA201" s="977"/>
      <c r="DB201" s="977"/>
      <c r="DC201" s="977"/>
      <c r="DD201" s="977"/>
      <c r="DE201" s="977"/>
      <c r="DF201" s="977"/>
      <c r="DG201" s="977"/>
      <c r="DH201" s="980"/>
      <c r="DI201" s="1018"/>
      <c r="DJ201" s="972"/>
      <c r="DK201" s="214"/>
      <c r="DM201" s="128"/>
    </row>
    <row r="202" spans="1:117" ht="15" customHeight="1" x14ac:dyDescent="0.25">
      <c r="A202" s="1048">
        <v>27</v>
      </c>
      <c r="B202" s="1096" t="s">
        <v>366</v>
      </c>
      <c r="C202" s="1052"/>
      <c r="D202" s="1053" t="s">
        <v>356</v>
      </c>
      <c r="E202" s="163" t="s">
        <v>325</v>
      </c>
      <c r="F202" s="164">
        <v>30</v>
      </c>
      <c r="G202" s="1074">
        <f>F202+F203+F204+F205+F206+F207+F208+F209+F210</f>
        <v>270</v>
      </c>
      <c r="H202" s="197"/>
      <c r="I202" s="1037"/>
      <c r="J202" s="1043"/>
      <c r="K202" s="1043"/>
      <c r="L202" s="1043">
        <v>1</v>
      </c>
      <c r="M202" s="1043"/>
      <c r="N202" s="1043">
        <v>1</v>
      </c>
      <c r="O202" s="1043"/>
      <c r="P202" s="1043">
        <v>2</v>
      </c>
      <c r="Q202" s="1043"/>
      <c r="R202" s="1043"/>
      <c r="S202" s="1043">
        <v>1</v>
      </c>
      <c r="T202" s="1043"/>
      <c r="U202" s="1043"/>
      <c r="V202" s="1037">
        <f>SUM(J202:U209)</f>
        <v>5</v>
      </c>
      <c r="W202" s="1043">
        <v>7</v>
      </c>
      <c r="X202" s="1043"/>
      <c r="Y202" s="1043"/>
      <c r="Z202" s="1043"/>
      <c r="AA202" s="1043"/>
      <c r="AB202" s="1043">
        <v>1</v>
      </c>
      <c r="AC202" s="1043">
        <v>1</v>
      </c>
      <c r="AD202" s="1043"/>
      <c r="AE202" s="1043"/>
      <c r="AF202" s="1043"/>
      <c r="AG202" s="1043"/>
      <c r="AH202" s="1043"/>
      <c r="AI202" s="1037">
        <f>SUM(W202:AH209)</f>
        <v>9</v>
      </c>
      <c r="AJ202" s="1043"/>
      <c r="AK202" s="1043"/>
      <c r="AL202" s="1043">
        <v>4</v>
      </c>
      <c r="AM202" s="1043">
        <v>1</v>
      </c>
      <c r="AN202" s="1043"/>
      <c r="AO202" s="1043"/>
      <c r="AP202" s="1043">
        <v>6</v>
      </c>
      <c r="AQ202" s="1043">
        <v>1</v>
      </c>
      <c r="AR202" s="1043">
        <v>1</v>
      </c>
      <c r="AS202" s="1043">
        <v>1</v>
      </c>
      <c r="AT202" s="1043">
        <v>3</v>
      </c>
      <c r="AU202" s="1043"/>
      <c r="AV202" s="1037">
        <f>SUM(AJ202:AU209)</f>
        <v>17</v>
      </c>
      <c r="AW202" s="1043"/>
      <c r="AX202" s="1043"/>
      <c r="AY202" s="1043"/>
      <c r="AZ202" s="1043">
        <v>2</v>
      </c>
      <c r="BA202" s="1043">
        <v>10</v>
      </c>
      <c r="BB202" s="1043"/>
      <c r="BC202" s="1043">
        <v>1</v>
      </c>
      <c r="BD202" s="1043"/>
      <c r="BE202" s="1043">
        <v>2</v>
      </c>
      <c r="BF202" s="1043">
        <v>1</v>
      </c>
      <c r="BG202" s="1043">
        <v>3</v>
      </c>
      <c r="BH202" s="1043">
        <v>1</v>
      </c>
      <c r="BI202" s="1037">
        <f>SUM(AW202:BH209)</f>
        <v>20</v>
      </c>
      <c r="BJ202" s="1037">
        <v>1</v>
      </c>
      <c r="BK202" s="1037">
        <v>8</v>
      </c>
      <c r="BL202" s="1037"/>
      <c r="BM202" s="1037">
        <v>2</v>
      </c>
      <c r="BN202" s="1037">
        <v>2</v>
      </c>
      <c r="BO202" s="1037"/>
      <c r="BP202" s="1037">
        <v>3</v>
      </c>
      <c r="BQ202" s="1037">
        <v>7</v>
      </c>
      <c r="BR202" s="1037"/>
      <c r="BS202" s="1037">
        <v>2</v>
      </c>
      <c r="BT202" s="1037"/>
      <c r="BU202" s="1037">
        <v>6</v>
      </c>
      <c r="BV202" s="1037">
        <f>SUM(BJ202:BU209)</f>
        <v>31</v>
      </c>
      <c r="BW202" s="988">
        <v>2</v>
      </c>
      <c r="BX202" s="976">
        <v>2</v>
      </c>
      <c r="BY202" s="976">
        <v>6</v>
      </c>
      <c r="BZ202" s="976"/>
      <c r="CA202" s="976">
        <v>4</v>
      </c>
      <c r="CB202" s="976"/>
      <c r="CC202" s="976"/>
      <c r="CD202" s="976">
        <v>5</v>
      </c>
      <c r="CE202" s="976"/>
      <c r="CF202" s="976">
        <f>3+1</f>
        <v>4</v>
      </c>
      <c r="CG202" s="976"/>
      <c r="CH202" s="1011">
        <v>1</v>
      </c>
      <c r="CI202" s="1086">
        <f>SUM(BW202:CH209)</f>
        <v>24</v>
      </c>
      <c r="CJ202" s="1092">
        <v>1</v>
      </c>
      <c r="CK202" s="1092">
        <v>1</v>
      </c>
      <c r="CL202" s="1092">
        <v>5</v>
      </c>
      <c r="CM202" s="1092"/>
      <c r="CN202" s="1092">
        <v>3</v>
      </c>
      <c r="CO202" s="1092"/>
      <c r="CP202" s="1092">
        <v>8</v>
      </c>
      <c r="CQ202" s="1092"/>
      <c r="CR202" s="1092">
        <f>1+1</f>
        <v>2</v>
      </c>
      <c r="CS202" s="1092">
        <f>1+1+1</f>
        <v>3</v>
      </c>
      <c r="CT202" s="1092">
        <f>1+2</f>
        <v>3</v>
      </c>
      <c r="CU202" s="1092">
        <f>1+1</f>
        <v>2</v>
      </c>
      <c r="CV202" s="1086">
        <f>SUM(CJ202:CU209)</f>
        <v>28</v>
      </c>
      <c r="CW202" s="1093">
        <v>3</v>
      </c>
      <c r="CX202" s="994">
        <v>6</v>
      </c>
      <c r="CY202" s="1000"/>
      <c r="CZ202" s="1000"/>
      <c r="DA202" s="1000"/>
      <c r="DB202" s="1005"/>
      <c r="DC202" s="1091"/>
      <c r="DD202" s="1000"/>
      <c r="DE202" s="1000"/>
      <c r="DF202" s="1000"/>
      <c r="DG202" s="1000"/>
      <c r="DH202" s="1008"/>
      <c r="DI202" s="1086">
        <f>SUM(CW202:DH209)</f>
        <v>9</v>
      </c>
      <c r="DJ202" s="1087">
        <f>I202+V202+AI202+AV202+BI202+BV202+CI202+CV202+DI202</f>
        <v>143</v>
      </c>
      <c r="DK202" s="232">
        <f>H206-DJ202</f>
        <v>127</v>
      </c>
    </row>
    <row r="203" spans="1:117" ht="15" customHeight="1" x14ac:dyDescent="0.25">
      <c r="A203" s="1048"/>
      <c r="B203" s="1096"/>
      <c r="C203" s="1052"/>
      <c r="D203" s="1053"/>
      <c r="E203" s="166" t="s">
        <v>326</v>
      </c>
      <c r="F203" s="144">
        <v>30</v>
      </c>
      <c r="G203" s="1075"/>
      <c r="H203" s="198"/>
      <c r="I203" s="1038"/>
      <c r="J203" s="1043"/>
      <c r="K203" s="1043"/>
      <c r="L203" s="1043"/>
      <c r="M203" s="1043"/>
      <c r="N203" s="1043"/>
      <c r="O203" s="1043"/>
      <c r="P203" s="1043"/>
      <c r="Q203" s="1043"/>
      <c r="R203" s="1043"/>
      <c r="S203" s="1043"/>
      <c r="T203" s="1043"/>
      <c r="U203" s="1043"/>
      <c r="V203" s="1038"/>
      <c r="W203" s="1043"/>
      <c r="X203" s="1043"/>
      <c r="Y203" s="1043"/>
      <c r="Z203" s="1043"/>
      <c r="AA203" s="1043"/>
      <c r="AB203" s="1043"/>
      <c r="AC203" s="1043"/>
      <c r="AD203" s="1043"/>
      <c r="AE203" s="1043"/>
      <c r="AF203" s="1043"/>
      <c r="AG203" s="1043"/>
      <c r="AH203" s="1043"/>
      <c r="AI203" s="1038"/>
      <c r="AJ203" s="1043"/>
      <c r="AK203" s="1043"/>
      <c r="AL203" s="1043"/>
      <c r="AM203" s="1043"/>
      <c r="AN203" s="1043"/>
      <c r="AO203" s="1043"/>
      <c r="AP203" s="1043"/>
      <c r="AQ203" s="1043"/>
      <c r="AR203" s="1043"/>
      <c r="AS203" s="1043"/>
      <c r="AT203" s="1043"/>
      <c r="AU203" s="1043"/>
      <c r="AV203" s="1038"/>
      <c r="AW203" s="1043"/>
      <c r="AX203" s="1043"/>
      <c r="AY203" s="1043"/>
      <c r="AZ203" s="1043"/>
      <c r="BA203" s="1043"/>
      <c r="BB203" s="1043"/>
      <c r="BC203" s="1043"/>
      <c r="BD203" s="1043"/>
      <c r="BE203" s="1043"/>
      <c r="BF203" s="1043"/>
      <c r="BG203" s="1043"/>
      <c r="BH203" s="1043"/>
      <c r="BI203" s="1038"/>
      <c r="BJ203" s="1038"/>
      <c r="BK203" s="1038"/>
      <c r="BL203" s="1038"/>
      <c r="BM203" s="1038"/>
      <c r="BN203" s="1038"/>
      <c r="BO203" s="1038"/>
      <c r="BP203" s="1038"/>
      <c r="BQ203" s="1038"/>
      <c r="BR203" s="1038"/>
      <c r="BS203" s="1038"/>
      <c r="BT203" s="1038"/>
      <c r="BU203" s="1038"/>
      <c r="BV203" s="1038"/>
      <c r="BW203" s="989"/>
      <c r="BX203" s="977"/>
      <c r="BY203" s="977"/>
      <c r="BZ203" s="977"/>
      <c r="CA203" s="977"/>
      <c r="CB203" s="977"/>
      <c r="CC203" s="977"/>
      <c r="CD203" s="977"/>
      <c r="CE203" s="977"/>
      <c r="CF203" s="977"/>
      <c r="CG203" s="977"/>
      <c r="CH203" s="1012"/>
      <c r="CI203" s="1086"/>
      <c r="CJ203" s="1092"/>
      <c r="CK203" s="1092"/>
      <c r="CL203" s="1092"/>
      <c r="CM203" s="1092"/>
      <c r="CN203" s="1092"/>
      <c r="CO203" s="1092"/>
      <c r="CP203" s="1092"/>
      <c r="CQ203" s="1092"/>
      <c r="CR203" s="1092"/>
      <c r="CS203" s="1092"/>
      <c r="CT203" s="1092"/>
      <c r="CU203" s="1092"/>
      <c r="CV203" s="1086"/>
      <c r="CW203" s="1094"/>
      <c r="CX203" s="995"/>
      <c r="CY203" s="1001"/>
      <c r="CZ203" s="1001"/>
      <c r="DA203" s="1001"/>
      <c r="DB203" s="1006"/>
      <c r="DC203" s="995"/>
      <c r="DD203" s="1001"/>
      <c r="DE203" s="1001"/>
      <c r="DF203" s="1001"/>
      <c r="DG203" s="1001"/>
      <c r="DH203" s="1009"/>
      <c r="DI203" s="1086"/>
      <c r="DJ203" s="1087"/>
      <c r="DK203" s="218"/>
    </row>
    <row r="204" spans="1:117" ht="15" customHeight="1" x14ac:dyDescent="0.25">
      <c r="A204" s="1048"/>
      <c r="B204" s="1096"/>
      <c r="C204" s="1052"/>
      <c r="D204" s="1053"/>
      <c r="E204" s="166" t="s">
        <v>327</v>
      </c>
      <c r="F204" s="144">
        <v>30</v>
      </c>
      <c r="G204" s="1075"/>
      <c r="H204" s="198"/>
      <c r="I204" s="1038"/>
      <c r="J204" s="1043"/>
      <c r="K204" s="1043"/>
      <c r="L204" s="1043"/>
      <c r="M204" s="1043"/>
      <c r="N204" s="1043"/>
      <c r="O204" s="1043"/>
      <c r="P204" s="1043"/>
      <c r="Q204" s="1043"/>
      <c r="R204" s="1043"/>
      <c r="S204" s="1043"/>
      <c r="T204" s="1043"/>
      <c r="U204" s="1043"/>
      <c r="V204" s="1038"/>
      <c r="W204" s="1043"/>
      <c r="X204" s="1043"/>
      <c r="Y204" s="1043"/>
      <c r="Z204" s="1043"/>
      <c r="AA204" s="1043"/>
      <c r="AB204" s="1043"/>
      <c r="AC204" s="1043"/>
      <c r="AD204" s="1043"/>
      <c r="AE204" s="1043"/>
      <c r="AF204" s="1043"/>
      <c r="AG204" s="1043"/>
      <c r="AH204" s="1043"/>
      <c r="AI204" s="1038"/>
      <c r="AJ204" s="1043"/>
      <c r="AK204" s="1043"/>
      <c r="AL204" s="1043"/>
      <c r="AM204" s="1043"/>
      <c r="AN204" s="1043"/>
      <c r="AO204" s="1043"/>
      <c r="AP204" s="1043"/>
      <c r="AQ204" s="1043"/>
      <c r="AR204" s="1043"/>
      <c r="AS204" s="1043"/>
      <c r="AT204" s="1043"/>
      <c r="AU204" s="1043"/>
      <c r="AV204" s="1038"/>
      <c r="AW204" s="1043"/>
      <c r="AX204" s="1043"/>
      <c r="AY204" s="1043"/>
      <c r="AZ204" s="1043"/>
      <c r="BA204" s="1043"/>
      <c r="BB204" s="1043"/>
      <c r="BC204" s="1043"/>
      <c r="BD204" s="1043"/>
      <c r="BE204" s="1043"/>
      <c r="BF204" s="1043"/>
      <c r="BG204" s="1043"/>
      <c r="BH204" s="1043"/>
      <c r="BI204" s="1038"/>
      <c r="BJ204" s="1038"/>
      <c r="BK204" s="1038"/>
      <c r="BL204" s="1038"/>
      <c r="BM204" s="1038"/>
      <c r="BN204" s="1038"/>
      <c r="BO204" s="1038"/>
      <c r="BP204" s="1038"/>
      <c r="BQ204" s="1038"/>
      <c r="BR204" s="1038"/>
      <c r="BS204" s="1038"/>
      <c r="BT204" s="1038"/>
      <c r="BU204" s="1038"/>
      <c r="BV204" s="1038"/>
      <c r="BW204" s="989"/>
      <c r="BX204" s="977"/>
      <c r="BY204" s="977"/>
      <c r="BZ204" s="977"/>
      <c r="CA204" s="977"/>
      <c r="CB204" s="977"/>
      <c r="CC204" s="977"/>
      <c r="CD204" s="977"/>
      <c r="CE204" s="977"/>
      <c r="CF204" s="977"/>
      <c r="CG204" s="977"/>
      <c r="CH204" s="1012"/>
      <c r="CI204" s="1086"/>
      <c r="CJ204" s="1092"/>
      <c r="CK204" s="1092"/>
      <c r="CL204" s="1092"/>
      <c r="CM204" s="1092"/>
      <c r="CN204" s="1092"/>
      <c r="CO204" s="1092"/>
      <c r="CP204" s="1092"/>
      <c r="CQ204" s="1092"/>
      <c r="CR204" s="1092"/>
      <c r="CS204" s="1092"/>
      <c r="CT204" s="1092"/>
      <c r="CU204" s="1092"/>
      <c r="CV204" s="1086"/>
      <c r="CW204" s="1094"/>
      <c r="CX204" s="995"/>
      <c r="CY204" s="1001"/>
      <c r="CZ204" s="1001"/>
      <c r="DA204" s="1001"/>
      <c r="DB204" s="1006"/>
      <c r="DC204" s="995"/>
      <c r="DD204" s="1001"/>
      <c r="DE204" s="1001"/>
      <c r="DF204" s="1001"/>
      <c r="DG204" s="1001"/>
      <c r="DH204" s="1009"/>
      <c r="DI204" s="1086"/>
      <c r="DJ204" s="1087"/>
      <c r="DK204" s="218"/>
    </row>
    <row r="205" spans="1:117" ht="15" customHeight="1" x14ac:dyDescent="0.25">
      <c r="A205" s="1048"/>
      <c r="B205" s="1096"/>
      <c r="C205" s="1052"/>
      <c r="D205" s="1053"/>
      <c r="E205" s="166" t="s">
        <v>328</v>
      </c>
      <c r="F205" s="144">
        <v>30</v>
      </c>
      <c r="G205" s="1075"/>
      <c r="H205" s="198"/>
      <c r="I205" s="1038"/>
      <c r="J205" s="1043"/>
      <c r="K205" s="1043"/>
      <c r="L205" s="1043"/>
      <c r="M205" s="1043"/>
      <c r="N205" s="1043"/>
      <c r="O205" s="1043"/>
      <c r="P205" s="1043"/>
      <c r="Q205" s="1043"/>
      <c r="R205" s="1043"/>
      <c r="S205" s="1043"/>
      <c r="T205" s="1043"/>
      <c r="U205" s="1043"/>
      <c r="V205" s="1038"/>
      <c r="W205" s="1043"/>
      <c r="X205" s="1043"/>
      <c r="Y205" s="1043"/>
      <c r="Z205" s="1043"/>
      <c r="AA205" s="1043"/>
      <c r="AB205" s="1043"/>
      <c r="AC205" s="1043"/>
      <c r="AD205" s="1043"/>
      <c r="AE205" s="1043"/>
      <c r="AF205" s="1043"/>
      <c r="AG205" s="1043"/>
      <c r="AH205" s="1043"/>
      <c r="AI205" s="1038"/>
      <c r="AJ205" s="1043"/>
      <c r="AK205" s="1043"/>
      <c r="AL205" s="1043"/>
      <c r="AM205" s="1043"/>
      <c r="AN205" s="1043"/>
      <c r="AO205" s="1043"/>
      <c r="AP205" s="1043"/>
      <c r="AQ205" s="1043"/>
      <c r="AR205" s="1043"/>
      <c r="AS205" s="1043"/>
      <c r="AT205" s="1043"/>
      <c r="AU205" s="1043"/>
      <c r="AV205" s="1038"/>
      <c r="AW205" s="1043"/>
      <c r="AX205" s="1043"/>
      <c r="AY205" s="1043"/>
      <c r="AZ205" s="1043"/>
      <c r="BA205" s="1043"/>
      <c r="BB205" s="1043"/>
      <c r="BC205" s="1043"/>
      <c r="BD205" s="1043"/>
      <c r="BE205" s="1043"/>
      <c r="BF205" s="1043"/>
      <c r="BG205" s="1043"/>
      <c r="BH205" s="1043"/>
      <c r="BI205" s="1038"/>
      <c r="BJ205" s="1038"/>
      <c r="BK205" s="1038"/>
      <c r="BL205" s="1038"/>
      <c r="BM205" s="1038"/>
      <c r="BN205" s="1038"/>
      <c r="BO205" s="1038"/>
      <c r="BP205" s="1038"/>
      <c r="BQ205" s="1038"/>
      <c r="BR205" s="1038"/>
      <c r="BS205" s="1038"/>
      <c r="BT205" s="1038"/>
      <c r="BU205" s="1038"/>
      <c r="BV205" s="1038"/>
      <c r="BW205" s="989"/>
      <c r="BX205" s="977"/>
      <c r="BY205" s="977"/>
      <c r="BZ205" s="977"/>
      <c r="CA205" s="977"/>
      <c r="CB205" s="977"/>
      <c r="CC205" s="977"/>
      <c r="CD205" s="977"/>
      <c r="CE205" s="977"/>
      <c r="CF205" s="977"/>
      <c r="CG205" s="977"/>
      <c r="CH205" s="1012"/>
      <c r="CI205" s="1086"/>
      <c r="CJ205" s="1092"/>
      <c r="CK205" s="1092"/>
      <c r="CL205" s="1092"/>
      <c r="CM205" s="1092"/>
      <c r="CN205" s="1092"/>
      <c r="CO205" s="1092"/>
      <c r="CP205" s="1092"/>
      <c r="CQ205" s="1092"/>
      <c r="CR205" s="1092"/>
      <c r="CS205" s="1092"/>
      <c r="CT205" s="1092"/>
      <c r="CU205" s="1092"/>
      <c r="CV205" s="1086"/>
      <c r="CW205" s="1094"/>
      <c r="CX205" s="995"/>
      <c r="CY205" s="1001"/>
      <c r="CZ205" s="1001"/>
      <c r="DA205" s="1001"/>
      <c r="DB205" s="1006"/>
      <c r="DC205" s="995"/>
      <c r="DD205" s="1001"/>
      <c r="DE205" s="1001"/>
      <c r="DF205" s="1001"/>
      <c r="DG205" s="1001"/>
      <c r="DH205" s="1009"/>
      <c r="DI205" s="1086"/>
      <c r="DJ205" s="1087"/>
      <c r="DK205" s="218"/>
    </row>
    <row r="206" spans="1:117" ht="15" customHeight="1" x14ac:dyDescent="0.25">
      <c r="A206" s="1048"/>
      <c r="B206" s="1096"/>
      <c r="C206" s="1052"/>
      <c r="D206" s="1053"/>
      <c r="E206" s="166" t="s">
        <v>238</v>
      </c>
      <c r="F206" s="143">
        <v>30</v>
      </c>
      <c r="G206" s="1075"/>
      <c r="H206" s="228">
        <f>ROUNDDOWN(($H$2-D202)/365,0)*30</f>
        <v>270</v>
      </c>
      <c r="I206" s="1038"/>
      <c r="J206" s="1043"/>
      <c r="K206" s="1043"/>
      <c r="L206" s="1043"/>
      <c r="M206" s="1043"/>
      <c r="N206" s="1043"/>
      <c r="O206" s="1043"/>
      <c r="P206" s="1043"/>
      <c r="Q206" s="1043"/>
      <c r="R206" s="1043"/>
      <c r="S206" s="1043"/>
      <c r="T206" s="1043"/>
      <c r="U206" s="1043"/>
      <c r="V206" s="1038"/>
      <c r="W206" s="1043"/>
      <c r="X206" s="1043"/>
      <c r="Y206" s="1043"/>
      <c r="Z206" s="1043"/>
      <c r="AA206" s="1043"/>
      <c r="AB206" s="1043"/>
      <c r="AC206" s="1043"/>
      <c r="AD206" s="1043"/>
      <c r="AE206" s="1043"/>
      <c r="AF206" s="1043"/>
      <c r="AG206" s="1043"/>
      <c r="AH206" s="1043"/>
      <c r="AI206" s="1038"/>
      <c r="AJ206" s="1043"/>
      <c r="AK206" s="1043"/>
      <c r="AL206" s="1043"/>
      <c r="AM206" s="1043"/>
      <c r="AN206" s="1043"/>
      <c r="AO206" s="1043"/>
      <c r="AP206" s="1043"/>
      <c r="AQ206" s="1043"/>
      <c r="AR206" s="1043"/>
      <c r="AS206" s="1043"/>
      <c r="AT206" s="1043"/>
      <c r="AU206" s="1043"/>
      <c r="AV206" s="1038"/>
      <c r="AW206" s="1043"/>
      <c r="AX206" s="1043"/>
      <c r="AY206" s="1043"/>
      <c r="AZ206" s="1043"/>
      <c r="BA206" s="1043"/>
      <c r="BB206" s="1043"/>
      <c r="BC206" s="1043"/>
      <c r="BD206" s="1043"/>
      <c r="BE206" s="1043"/>
      <c r="BF206" s="1043"/>
      <c r="BG206" s="1043"/>
      <c r="BH206" s="1043"/>
      <c r="BI206" s="1038"/>
      <c r="BJ206" s="1038"/>
      <c r="BK206" s="1038"/>
      <c r="BL206" s="1038"/>
      <c r="BM206" s="1038"/>
      <c r="BN206" s="1038"/>
      <c r="BO206" s="1038"/>
      <c r="BP206" s="1038"/>
      <c r="BQ206" s="1038"/>
      <c r="BR206" s="1038"/>
      <c r="BS206" s="1038"/>
      <c r="BT206" s="1038"/>
      <c r="BU206" s="1038"/>
      <c r="BV206" s="1038"/>
      <c r="BW206" s="989"/>
      <c r="BX206" s="977"/>
      <c r="BY206" s="977"/>
      <c r="BZ206" s="977"/>
      <c r="CA206" s="977"/>
      <c r="CB206" s="977"/>
      <c r="CC206" s="977"/>
      <c r="CD206" s="977"/>
      <c r="CE206" s="977"/>
      <c r="CF206" s="977"/>
      <c r="CG206" s="977"/>
      <c r="CH206" s="1012"/>
      <c r="CI206" s="1086"/>
      <c r="CJ206" s="1092"/>
      <c r="CK206" s="1092"/>
      <c r="CL206" s="1092"/>
      <c r="CM206" s="1092"/>
      <c r="CN206" s="1092"/>
      <c r="CO206" s="1092"/>
      <c r="CP206" s="1092"/>
      <c r="CQ206" s="1092"/>
      <c r="CR206" s="1092"/>
      <c r="CS206" s="1092"/>
      <c r="CT206" s="1092"/>
      <c r="CU206" s="1092"/>
      <c r="CV206" s="1086"/>
      <c r="CW206" s="1094"/>
      <c r="CX206" s="995"/>
      <c r="CY206" s="1001"/>
      <c r="CZ206" s="1001"/>
      <c r="DA206" s="1001"/>
      <c r="DB206" s="1006"/>
      <c r="DC206" s="995"/>
      <c r="DD206" s="1001"/>
      <c r="DE206" s="1001"/>
      <c r="DF206" s="1001"/>
      <c r="DG206" s="1001"/>
      <c r="DH206" s="1009"/>
      <c r="DI206" s="1086"/>
      <c r="DJ206" s="1087"/>
      <c r="DK206" s="218"/>
    </row>
    <row r="207" spans="1:117" ht="15" customHeight="1" x14ac:dyDescent="0.25">
      <c r="A207" s="1048"/>
      <c r="B207" s="1096"/>
      <c r="C207" s="1052"/>
      <c r="D207" s="1053"/>
      <c r="E207" s="167" t="s">
        <v>239</v>
      </c>
      <c r="F207" s="144">
        <v>30</v>
      </c>
      <c r="G207" s="1075"/>
      <c r="H207" s="198"/>
      <c r="I207" s="1038"/>
      <c r="J207" s="1043"/>
      <c r="K207" s="1043"/>
      <c r="L207" s="1043"/>
      <c r="M207" s="1043"/>
      <c r="N207" s="1043"/>
      <c r="O207" s="1043"/>
      <c r="P207" s="1043"/>
      <c r="Q207" s="1043"/>
      <c r="R207" s="1043"/>
      <c r="S207" s="1043"/>
      <c r="T207" s="1043"/>
      <c r="U207" s="1043"/>
      <c r="V207" s="1038"/>
      <c r="W207" s="1043"/>
      <c r="X207" s="1043"/>
      <c r="Y207" s="1043"/>
      <c r="Z207" s="1043"/>
      <c r="AA207" s="1043"/>
      <c r="AB207" s="1043"/>
      <c r="AC207" s="1043"/>
      <c r="AD207" s="1043"/>
      <c r="AE207" s="1043"/>
      <c r="AF207" s="1043"/>
      <c r="AG207" s="1043"/>
      <c r="AH207" s="1043"/>
      <c r="AI207" s="1038"/>
      <c r="AJ207" s="1043"/>
      <c r="AK207" s="1043"/>
      <c r="AL207" s="1043"/>
      <c r="AM207" s="1043"/>
      <c r="AN207" s="1043"/>
      <c r="AO207" s="1043"/>
      <c r="AP207" s="1043"/>
      <c r="AQ207" s="1043"/>
      <c r="AR207" s="1043"/>
      <c r="AS207" s="1043"/>
      <c r="AT207" s="1043"/>
      <c r="AU207" s="1043"/>
      <c r="AV207" s="1038"/>
      <c r="AW207" s="1043"/>
      <c r="AX207" s="1043"/>
      <c r="AY207" s="1043"/>
      <c r="AZ207" s="1043"/>
      <c r="BA207" s="1043"/>
      <c r="BB207" s="1043"/>
      <c r="BC207" s="1043"/>
      <c r="BD207" s="1043"/>
      <c r="BE207" s="1043"/>
      <c r="BF207" s="1043"/>
      <c r="BG207" s="1043"/>
      <c r="BH207" s="1043"/>
      <c r="BI207" s="1038"/>
      <c r="BJ207" s="1038"/>
      <c r="BK207" s="1038"/>
      <c r="BL207" s="1038"/>
      <c r="BM207" s="1038"/>
      <c r="BN207" s="1038"/>
      <c r="BO207" s="1038"/>
      <c r="BP207" s="1038"/>
      <c r="BQ207" s="1038"/>
      <c r="BR207" s="1038"/>
      <c r="BS207" s="1038"/>
      <c r="BT207" s="1038"/>
      <c r="BU207" s="1038"/>
      <c r="BV207" s="1038"/>
      <c r="BW207" s="989"/>
      <c r="BX207" s="977"/>
      <c r="BY207" s="977"/>
      <c r="BZ207" s="977"/>
      <c r="CA207" s="977"/>
      <c r="CB207" s="977"/>
      <c r="CC207" s="977"/>
      <c r="CD207" s="977"/>
      <c r="CE207" s="977"/>
      <c r="CF207" s="977"/>
      <c r="CG207" s="977"/>
      <c r="CH207" s="1012"/>
      <c r="CI207" s="1086"/>
      <c r="CJ207" s="1092"/>
      <c r="CK207" s="1092"/>
      <c r="CL207" s="1092"/>
      <c r="CM207" s="1092"/>
      <c r="CN207" s="1092"/>
      <c r="CO207" s="1092"/>
      <c r="CP207" s="1092"/>
      <c r="CQ207" s="1092"/>
      <c r="CR207" s="1092"/>
      <c r="CS207" s="1092"/>
      <c r="CT207" s="1092"/>
      <c r="CU207" s="1092"/>
      <c r="CV207" s="1086"/>
      <c r="CW207" s="1094"/>
      <c r="CX207" s="995"/>
      <c r="CY207" s="1001"/>
      <c r="CZ207" s="1001"/>
      <c r="DA207" s="1001"/>
      <c r="DB207" s="1006"/>
      <c r="DC207" s="995"/>
      <c r="DD207" s="1001"/>
      <c r="DE207" s="1001"/>
      <c r="DF207" s="1001"/>
      <c r="DG207" s="1001"/>
      <c r="DH207" s="1009"/>
      <c r="DI207" s="1086"/>
      <c r="DJ207" s="1087"/>
      <c r="DK207" s="218"/>
    </row>
    <row r="208" spans="1:117" ht="15" customHeight="1" x14ac:dyDescent="0.25">
      <c r="A208" s="1048"/>
      <c r="B208" s="1096"/>
      <c r="C208" s="1052"/>
      <c r="D208" s="1053"/>
      <c r="E208" s="167" t="s">
        <v>240</v>
      </c>
      <c r="F208" s="144">
        <v>30</v>
      </c>
      <c r="G208" s="1075"/>
      <c r="H208" s="198"/>
      <c r="I208" s="1038"/>
      <c r="J208" s="1043"/>
      <c r="K208" s="1043"/>
      <c r="L208" s="1043"/>
      <c r="M208" s="1043"/>
      <c r="N208" s="1043"/>
      <c r="O208" s="1043"/>
      <c r="P208" s="1043"/>
      <c r="Q208" s="1043"/>
      <c r="R208" s="1043"/>
      <c r="S208" s="1043"/>
      <c r="T208" s="1043"/>
      <c r="U208" s="1043"/>
      <c r="V208" s="1038"/>
      <c r="W208" s="1043"/>
      <c r="X208" s="1043"/>
      <c r="Y208" s="1043"/>
      <c r="Z208" s="1043"/>
      <c r="AA208" s="1043"/>
      <c r="AB208" s="1043"/>
      <c r="AC208" s="1043"/>
      <c r="AD208" s="1043"/>
      <c r="AE208" s="1043"/>
      <c r="AF208" s="1043"/>
      <c r="AG208" s="1043"/>
      <c r="AH208" s="1043"/>
      <c r="AI208" s="1038"/>
      <c r="AJ208" s="1043"/>
      <c r="AK208" s="1043"/>
      <c r="AL208" s="1043"/>
      <c r="AM208" s="1043"/>
      <c r="AN208" s="1043"/>
      <c r="AO208" s="1043"/>
      <c r="AP208" s="1043"/>
      <c r="AQ208" s="1043"/>
      <c r="AR208" s="1043"/>
      <c r="AS208" s="1043"/>
      <c r="AT208" s="1043"/>
      <c r="AU208" s="1043"/>
      <c r="AV208" s="1038"/>
      <c r="AW208" s="1043"/>
      <c r="AX208" s="1043"/>
      <c r="AY208" s="1043"/>
      <c r="AZ208" s="1043"/>
      <c r="BA208" s="1043"/>
      <c r="BB208" s="1043"/>
      <c r="BC208" s="1043"/>
      <c r="BD208" s="1043"/>
      <c r="BE208" s="1043"/>
      <c r="BF208" s="1043"/>
      <c r="BG208" s="1043"/>
      <c r="BH208" s="1043"/>
      <c r="BI208" s="1038"/>
      <c r="BJ208" s="1038"/>
      <c r="BK208" s="1038"/>
      <c r="BL208" s="1038"/>
      <c r="BM208" s="1038"/>
      <c r="BN208" s="1038"/>
      <c r="BO208" s="1038"/>
      <c r="BP208" s="1038"/>
      <c r="BQ208" s="1038"/>
      <c r="BR208" s="1038"/>
      <c r="BS208" s="1038"/>
      <c r="BT208" s="1038"/>
      <c r="BU208" s="1038"/>
      <c r="BV208" s="1038"/>
      <c r="BW208" s="989"/>
      <c r="BX208" s="977"/>
      <c r="BY208" s="977"/>
      <c r="BZ208" s="977"/>
      <c r="CA208" s="977"/>
      <c r="CB208" s="977"/>
      <c r="CC208" s="977"/>
      <c r="CD208" s="977"/>
      <c r="CE208" s="977"/>
      <c r="CF208" s="977"/>
      <c r="CG208" s="977"/>
      <c r="CH208" s="1012"/>
      <c r="CI208" s="1086"/>
      <c r="CJ208" s="1092"/>
      <c r="CK208" s="1092"/>
      <c r="CL208" s="1092"/>
      <c r="CM208" s="1092"/>
      <c r="CN208" s="1092"/>
      <c r="CO208" s="1092"/>
      <c r="CP208" s="1092"/>
      <c r="CQ208" s="1092"/>
      <c r="CR208" s="1092"/>
      <c r="CS208" s="1092"/>
      <c r="CT208" s="1092"/>
      <c r="CU208" s="1092"/>
      <c r="CV208" s="1086"/>
      <c r="CW208" s="1094"/>
      <c r="CX208" s="995"/>
      <c r="CY208" s="1001"/>
      <c r="CZ208" s="1001"/>
      <c r="DA208" s="1001"/>
      <c r="DB208" s="1006"/>
      <c r="DC208" s="995"/>
      <c r="DD208" s="1001"/>
      <c r="DE208" s="1001"/>
      <c r="DF208" s="1001"/>
      <c r="DG208" s="1001"/>
      <c r="DH208" s="1009"/>
      <c r="DI208" s="1086"/>
      <c r="DJ208" s="1087"/>
      <c r="DK208" s="218"/>
    </row>
    <row r="209" spans="1:117" ht="15" customHeight="1" x14ac:dyDescent="0.25">
      <c r="A209" s="1048"/>
      <c r="B209" s="1096"/>
      <c r="C209" s="1052"/>
      <c r="D209" s="1053"/>
      <c r="E209" s="167" t="s">
        <v>241</v>
      </c>
      <c r="F209" s="144">
        <v>30</v>
      </c>
      <c r="G209" s="1075"/>
      <c r="H209" s="198"/>
      <c r="I209" s="1038"/>
      <c r="J209" s="1043"/>
      <c r="K209" s="1043"/>
      <c r="L209" s="1043"/>
      <c r="M209" s="1043"/>
      <c r="N209" s="1043"/>
      <c r="O209" s="1043"/>
      <c r="P209" s="1043"/>
      <c r="Q209" s="1043"/>
      <c r="R209" s="1043"/>
      <c r="S209" s="1043"/>
      <c r="T209" s="1043"/>
      <c r="U209" s="1043"/>
      <c r="V209" s="1038"/>
      <c r="W209" s="1043"/>
      <c r="X209" s="1043"/>
      <c r="Y209" s="1043"/>
      <c r="Z209" s="1043"/>
      <c r="AA209" s="1043"/>
      <c r="AB209" s="1043"/>
      <c r="AC209" s="1043"/>
      <c r="AD209" s="1043"/>
      <c r="AE209" s="1043"/>
      <c r="AF209" s="1043"/>
      <c r="AG209" s="1043"/>
      <c r="AH209" s="1043"/>
      <c r="AI209" s="1038"/>
      <c r="AJ209" s="1043"/>
      <c r="AK209" s="1043"/>
      <c r="AL209" s="1043"/>
      <c r="AM209" s="1043"/>
      <c r="AN209" s="1043"/>
      <c r="AO209" s="1043"/>
      <c r="AP209" s="1043"/>
      <c r="AQ209" s="1043"/>
      <c r="AR209" s="1043"/>
      <c r="AS209" s="1043"/>
      <c r="AT209" s="1043"/>
      <c r="AU209" s="1043"/>
      <c r="AV209" s="1038"/>
      <c r="AW209" s="1043"/>
      <c r="AX209" s="1043"/>
      <c r="AY209" s="1043"/>
      <c r="AZ209" s="1043"/>
      <c r="BA209" s="1043"/>
      <c r="BB209" s="1043"/>
      <c r="BC209" s="1043"/>
      <c r="BD209" s="1043"/>
      <c r="BE209" s="1043"/>
      <c r="BF209" s="1043"/>
      <c r="BG209" s="1043"/>
      <c r="BH209" s="1043"/>
      <c r="BI209" s="1038"/>
      <c r="BJ209" s="1039"/>
      <c r="BK209" s="1039"/>
      <c r="BL209" s="1039"/>
      <c r="BM209" s="1039"/>
      <c r="BN209" s="1039"/>
      <c r="BO209" s="1039"/>
      <c r="BP209" s="1039"/>
      <c r="BQ209" s="1039"/>
      <c r="BR209" s="1039"/>
      <c r="BS209" s="1039"/>
      <c r="BT209" s="1039"/>
      <c r="BU209" s="1039"/>
      <c r="BV209" s="1038"/>
      <c r="BW209" s="990"/>
      <c r="BX209" s="978"/>
      <c r="BY209" s="978"/>
      <c r="BZ209" s="978"/>
      <c r="CA209" s="978"/>
      <c r="CB209" s="978"/>
      <c r="CC209" s="978"/>
      <c r="CD209" s="978"/>
      <c r="CE209" s="978"/>
      <c r="CF209" s="978"/>
      <c r="CG209" s="978"/>
      <c r="CH209" s="1013"/>
      <c r="CI209" s="1086"/>
      <c r="CJ209" s="1092"/>
      <c r="CK209" s="1092"/>
      <c r="CL209" s="1092"/>
      <c r="CM209" s="1092"/>
      <c r="CN209" s="1092"/>
      <c r="CO209" s="1092"/>
      <c r="CP209" s="1092"/>
      <c r="CQ209" s="1092"/>
      <c r="CR209" s="1092"/>
      <c r="CS209" s="1092"/>
      <c r="CT209" s="1092"/>
      <c r="CU209" s="1092"/>
      <c r="CV209" s="1086"/>
      <c r="CW209" s="1094"/>
      <c r="CX209" s="995"/>
      <c r="CY209" s="1001"/>
      <c r="CZ209" s="1001"/>
      <c r="DA209" s="1001"/>
      <c r="DB209" s="1006"/>
      <c r="DC209" s="995"/>
      <c r="DD209" s="1001"/>
      <c r="DE209" s="1001"/>
      <c r="DF209" s="1001"/>
      <c r="DG209" s="1001"/>
      <c r="DH209" s="1009"/>
      <c r="DI209" s="1086"/>
      <c r="DJ209" s="1087"/>
      <c r="DK209" s="218"/>
    </row>
    <row r="210" spans="1:117" ht="15" customHeight="1" x14ac:dyDescent="0.25">
      <c r="A210" s="133"/>
      <c r="B210" s="1096"/>
      <c r="C210" s="162"/>
      <c r="D210" s="1053"/>
      <c r="E210" s="168" t="s">
        <v>242</v>
      </c>
      <c r="F210" s="145">
        <v>30</v>
      </c>
      <c r="G210" s="1076"/>
      <c r="H210" s="199"/>
      <c r="I210" s="1039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039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039"/>
      <c r="AJ210" s="141"/>
      <c r="AK210" s="141"/>
      <c r="AL210" s="141"/>
      <c r="AM210" s="141"/>
      <c r="AN210" s="141"/>
      <c r="AO210" s="141"/>
      <c r="AP210" s="141"/>
      <c r="AQ210" s="141"/>
      <c r="AR210" s="141"/>
      <c r="AS210" s="141"/>
      <c r="AT210" s="141"/>
      <c r="AU210" s="141"/>
      <c r="AV210" s="1039"/>
      <c r="AW210" s="141"/>
      <c r="AX210" s="141"/>
      <c r="AY210" s="141"/>
      <c r="AZ210" s="141"/>
      <c r="BA210" s="141"/>
      <c r="BB210" s="141"/>
      <c r="BC210" s="141"/>
      <c r="BD210" s="141"/>
      <c r="BE210" s="141"/>
      <c r="BF210" s="141"/>
      <c r="BG210" s="141"/>
      <c r="BH210" s="141"/>
      <c r="BI210" s="1039"/>
      <c r="BJ210" s="139"/>
      <c r="BK210" s="139"/>
      <c r="BL210" s="139"/>
      <c r="BM210" s="139"/>
      <c r="BN210" s="139"/>
      <c r="BO210" s="139"/>
      <c r="BP210" s="139"/>
      <c r="BQ210" s="139"/>
      <c r="BR210" s="139"/>
      <c r="BS210" s="139"/>
      <c r="BT210" s="139"/>
      <c r="BU210" s="139"/>
      <c r="BV210" s="1039"/>
      <c r="BW210" s="179"/>
      <c r="BX210" s="176"/>
      <c r="BY210" s="176"/>
      <c r="BZ210" s="176"/>
      <c r="CA210" s="176"/>
      <c r="CB210" s="176"/>
      <c r="CC210" s="176"/>
      <c r="CD210" s="176"/>
      <c r="CE210" s="176"/>
      <c r="CF210" s="176"/>
      <c r="CG210" s="176"/>
      <c r="CH210" s="188"/>
      <c r="CI210" s="1086"/>
      <c r="CJ210" s="165"/>
      <c r="CK210" s="165"/>
      <c r="CL210" s="165"/>
      <c r="CM210" s="165"/>
      <c r="CN210" s="165"/>
      <c r="CO210" s="165"/>
      <c r="CP210" s="165"/>
      <c r="CQ210" s="165"/>
      <c r="CR210" s="165"/>
      <c r="CS210" s="165"/>
      <c r="CT210" s="165"/>
      <c r="CU210" s="165"/>
      <c r="CV210" s="1086"/>
      <c r="CW210" s="1095"/>
      <c r="CX210" s="996"/>
      <c r="CY210" s="1002"/>
      <c r="CZ210" s="1002"/>
      <c r="DA210" s="1002"/>
      <c r="DB210" s="1007"/>
      <c r="DC210" s="996"/>
      <c r="DD210" s="1002"/>
      <c r="DE210" s="1002"/>
      <c r="DF210" s="1002"/>
      <c r="DG210" s="1002"/>
      <c r="DH210" s="1010"/>
      <c r="DI210" s="1086"/>
      <c r="DJ210" s="1087"/>
      <c r="DK210" s="219"/>
    </row>
    <row r="211" spans="1:117" ht="15" customHeight="1" x14ac:dyDescent="0.25">
      <c r="A211" s="1048">
        <v>29</v>
      </c>
      <c r="B211" s="1084" t="s">
        <v>56</v>
      </c>
      <c r="C211" s="1069"/>
      <c r="D211" s="1085" t="s">
        <v>329</v>
      </c>
      <c r="E211" s="237" t="s">
        <v>330</v>
      </c>
      <c r="F211" s="150">
        <v>30</v>
      </c>
      <c r="G211" s="1071">
        <f>F211+F212+F213+F214+F215+F216</f>
        <v>180</v>
      </c>
      <c r="H211" s="194"/>
      <c r="I211" s="1037"/>
      <c r="J211" s="1043"/>
      <c r="K211" s="1043"/>
      <c r="L211" s="1043"/>
      <c r="M211" s="1043"/>
      <c r="N211" s="1043"/>
      <c r="O211" s="1043"/>
      <c r="P211" s="1043"/>
      <c r="Q211" s="1043"/>
      <c r="R211" s="1043"/>
      <c r="S211" s="1043"/>
      <c r="T211" s="1043"/>
      <c r="U211" s="1043"/>
      <c r="V211" s="1043">
        <f>SUM(J211:U216)</f>
        <v>0</v>
      </c>
      <c r="W211" s="1043"/>
      <c r="X211" s="1043"/>
      <c r="Y211" s="1043"/>
      <c r="Z211" s="1043"/>
      <c r="AA211" s="1043"/>
      <c r="AB211" s="1043">
        <v>1</v>
      </c>
      <c r="AC211" s="1043"/>
      <c r="AD211" s="1043"/>
      <c r="AE211" s="1043"/>
      <c r="AF211" s="1043">
        <v>1</v>
      </c>
      <c r="AG211" s="1043"/>
      <c r="AH211" s="1043"/>
      <c r="AI211" s="1043">
        <f>SUM(W211:AH216)</f>
        <v>2</v>
      </c>
      <c r="AJ211" s="1043"/>
      <c r="AK211" s="1043"/>
      <c r="AL211" s="1043"/>
      <c r="AM211" s="1043">
        <v>2</v>
      </c>
      <c r="AN211" s="1043"/>
      <c r="AO211" s="1043">
        <v>1</v>
      </c>
      <c r="AP211" s="1043">
        <v>1</v>
      </c>
      <c r="AQ211" s="1043"/>
      <c r="AR211" s="1043">
        <v>1</v>
      </c>
      <c r="AS211" s="1043">
        <v>1</v>
      </c>
      <c r="AT211" s="1043">
        <v>1</v>
      </c>
      <c r="AU211" s="1043">
        <v>1</v>
      </c>
      <c r="AV211" s="1043">
        <f>SUM(AJ211:AU216)</f>
        <v>8</v>
      </c>
      <c r="AW211" s="1043">
        <v>2</v>
      </c>
      <c r="AX211" s="1043">
        <v>1</v>
      </c>
      <c r="AY211" s="1043"/>
      <c r="AZ211" s="1043">
        <v>1</v>
      </c>
      <c r="BA211" s="1043"/>
      <c r="BB211" s="1043"/>
      <c r="BC211" s="1043">
        <v>1</v>
      </c>
      <c r="BD211" s="1043"/>
      <c r="BE211" s="1043"/>
      <c r="BF211" s="1043"/>
      <c r="BG211" s="1043">
        <v>1</v>
      </c>
      <c r="BH211" s="1043"/>
      <c r="BI211" s="1043">
        <f>SUM(AW211:BH216)</f>
        <v>6</v>
      </c>
      <c r="BJ211" s="1037"/>
      <c r="BK211" s="137"/>
      <c r="BL211" s="137"/>
      <c r="BM211" s="137"/>
      <c r="BN211" s="137"/>
      <c r="BO211" s="1037"/>
      <c r="BP211" s="1037"/>
      <c r="BQ211" s="137"/>
      <c r="BR211" s="137"/>
      <c r="BS211" s="137"/>
      <c r="BT211" s="137"/>
      <c r="BU211" s="1037">
        <v>6</v>
      </c>
      <c r="BV211" s="1043">
        <f>SUM(BJ211:BU216)</f>
        <v>6</v>
      </c>
      <c r="BW211" s="178"/>
      <c r="BX211" s="976">
        <v>1</v>
      </c>
      <c r="BY211" s="175"/>
      <c r="BZ211" s="175"/>
      <c r="CA211" s="175"/>
      <c r="CB211" s="175"/>
      <c r="CC211" s="175"/>
      <c r="CD211" s="175"/>
      <c r="CE211" s="175"/>
      <c r="CF211" s="175"/>
      <c r="CG211" s="175"/>
      <c r="CH211" s="187"/>
      <c r="CI211" s="1077">
        <f>SUM(BW211:CH216)</f>
        <v>1</v>
      </c>
      <c r="CJ211" s="1029"/>
      <c r="CK211" s="977"/>
      <c r="CL211" s="977">
        <v>1</v>
      </c>
      <c r="CM211" s="977"/>
      <c r="CN211" s="977"/>
      <c r="CO211" s="977">
        <v>1</v>
      </c>
      <c r="CP211" s="977">
        <v>1</v>
      </c>
      <c r="CQ211" s="977">
        <v>1</v>
      </c>
      <c r="CR211" s="977">
        <v>1</v>
      </c>
      <c r="CS211" s="977">
        <v>2</v>
      </c>
      <c r="CT211" s="977"/>
      <c r="CU211" s="1012"/>
      <c r="CV211" s="1077">
        <f>SUM(CJ211:CU216)</f>
        <v>7</v>
      </c>
      <c r="CW211" s="1029"/>
      <c r="CX211" s="977">
        <v>1</v>
      </c>
      <c r="CY211" s="977"/>
      <c r="CZ211" s="977"/>
      <c r="DA211" s="977"/>
      <c r="DB211" s="977"/>
      <c r="DC211" s="977"/>
      <c r="DD211" s="977"/>
      <c r="DE211" s="977">
        <v>12</v>
      </c>
      <c r="DF211" s="977"/>
      <c r="DG211" s="977"/>
      <c r="DH211" s="1012"/>
      <c r="DI211" s="1077">
        <f>SUM(CW211:DH216)</f>
        <v>13</v>
      </c>
      <c r="DJ211" s="1080">
        <f>I211+V211+AI211+AV211+BI211+BV211+CI211+CV211+DI211</f>
        <v>43</v>
      </c>
      <c r="DK211" s="230">
        <f>H214-DJ211</f>
        <v>137</v>
      </c>
    </row>
    <row r="212" spans="1:117" ht="15" customHeight="1" x14ac:dyDescent="0.25">
      <c r="A212" s="1048"/>
      <c r="B212" s="1068"/>
      <c r="C212" s="1069"/>
      <c r="D212" s="1070"/>
      <c r="E212" s="238" t="s">
        <v>331</v>
      </c>
      <c r="F212" s="147">
        <v>30</v>
      </c>
      <c r="G212" s="1072"/>
      <c r="H212" s="195"/>
      <c r="I212" s="1038"/>
      <c r="J212" s="1043"/>
      <c r="K212" s="1043"/>
      <c r="L212" s="1043"/>
      <c r="M212" s="1043"/>
      <c r="N212" s="1043"/>
      <c r="O212" s="1043"/>
      <c r="P212" s="1043"/>
      <c r="Q212" s="1043"/>
      <c r="R212" s="1043"/>
      <c r="S212" s="1043"/>
      <c r="T212" s="1043"/>
      <c r="U212" s="1043"/>
      <c r="V212" s="1043"/>
      <c r="W212" s="1043"/>
      <c r="X212" s="1043"/>
      <c r="Y212" s="1043"/>
      <c r="Z212" s="1043"/>
      <c r="AA212" s="1043"/>
      <c r="AB212" s="1043"/>
      <c r="AC212" s="1043"/>
      <c r="AD212" s="1043"/>
      <c r="AE212" s="1043"/>
      <c r="AF212" s="1043"/>
      <c r="AG212" s="1043"/>
      <c r="AH212" s="1043"/>
      <c r="AI212" s="1043"/>
      <c r="AJ212" s="1043"/>
      <c r="AK212" s="1043"/>
      <c r="AL212" s="1043"/>
      <c r="AM212" s="1043"/>
      <c r="AN212" s="1043"/>
      <c r="AO212" s="1043"/>
      <c r="AP212" s="1043"/>
      <c r="AQ212" s="1043"/>
      <c r="AR212" s="1043"/>
      <c r="AS212" s="1043"/>
      <c r="AT212" s="1043"/>
      <c r="AU212" s="1043"/>
      <c r="AV212" s="1043"/>
      <c r="AW212" s="1043"/>
      <c r="AX212" s="1043"/>
      <c r="AY212" s="1043"/>
      <c r="AZ212" s="1043"/>
      <c r="BA212" s="1043"/>
      <c r="BB212" s="1043"/>
      <c r="BC212" s="1043"/>
      <c r="BD212" s="1043"/>
      <c r="BE212" s="1043"/>
      <c r="BF212" s="1043"/>
      <c r="BG212" s="1043"/>
      <c r="BH212" s="1043"/>
      <c r="BI212" s="1043"/>
      <c r="BJ212" s="1038"/>
      <c r="BK212" s="139"/>
      <c r="BL212" s="139"/>
      <c r="BM212" s="139"/>
      <c r="BN212" s="139"/>
      <c r="BO212" s="1038"/>
      <c r="BP212" s="1038"/>
      <c r="BQ212" s="139"/>
      <c r="BR212" s="139"/>
      <c r="BS212" s="139"/>
      <c r="BT212" s="139"/>
      <c r="BU212" s="1038"/>
      <c r="BV212" s="1043"/>
      <c r="BW212" s="179"/>
      <c r="BX212" s="977"/>
      <c r="BY212" s="176"/>
      <c r="BZ212" s="176"/>
      <c r="CA212" s="176"/>
      <c r="CB212" s="176"/>
      <c r="CC212" s="176"/>
      <c r="CD212" s="176"/>
      <c r="CE212" s="176"/>
      <c r="CF212" s="176"/>
      <c r="CG212" s="176"/>
      <c r="CH212" s="188"/>
      <c r="CI212" s="1078"/>
      <c r="CJ212" s="1029"/>
      <c r="CK212" s="977"/>
      <c r="CL212" s="977"/>
      <c r="CM212" s="977"/>
      <c r="CN212" s="977"/>
      <c r="CO212" s="977"/>
      <c r="CP212" s="977"/>
      <c r="CQ212" s="977"/>
      <c r="CR212" s="977"/>
      <c r="CS212" s="977"/>
      <c r="CT212" s="977"/>
      <c r="CU212" s="1012"/>
      <c r="CV212" s="1078"/>
      <c r="CW212" s="1029"/>
      <c r="CX212" s="977"/>
      <c r="CY212" s="977"/>
      <c r="CZ212" s="977"/>
      <c r="DA212" s="977"/>
      <c r="DB212" s="977"/>
      <c r="DC212" s="977"/>
      <c r="DD212" s="977"/>
      <c r="DE212" s="977"/>
      <c r="DF212" s="977"/>
      <c r="DG212" s="977"/>
      <c r="DH212" s="1012"/>
      <c r="DI212" s="1078"/>
      <c r="DJ212" s="1081"/>
      <c r="DK212" s="214"/>
    </row>
    <row r="213" spans="1:117" ht="15" customHeight="1" x14ac:dyDescent="0.25">
      <c r="A213" s="1048"/>
      <c r="B213" s="1068"/>
      <c r="C213" s="1069"/>
      <c r="D213" s="1070"/>
      <c r="E213" s="238" t="s">
        <v>332</v>
      </c>
      <c r="F213" s="147">
        <v>30</v>
      </c>
      <c r="G213" s="1072"/>
      <c r="H213" s="195"/>
      <c r="I213" s="1038"/>
      <c r="J213" s="1043"/>
      <c r="K213" s="1043"/>
      <c r="L213" s="1043"/>
      <c r="M213" s="1043"/>
      <c r="N213" s="1043"/>
      <c r="O213" s="1043"/>
      <c r="P213" s="1043"/>
      <c r="Q213" s="1043"/>
      <c r="R213" s="1043"/>
      <c r="S213" s="1043"/>
      <c r="T213" s="1043"/>
      <c r="U213" s="1043"/>
      <c r="V213" s="1043"/>
      <c r="W213" s="1043"/>
      <c r="X213" s="1043"/>
      <c r="Y213" s="1043"/>
      <c r="Z213" s="1043"/>
      <c r="AA213" s="1043"/>
      <c r="AB213" s="1043"/>
      <c r="AC213" s="1043"/>
      <c r="AD213" s="1043"/>
      <c r="AE213" s="1043"/>
      <c r="AF213" s="1043"/>
      <c r="AG213" s="1043"/>
      <c r="AH213" s="1043"/>
      <c r="AI213" s="1043"/>
      <c r="AJ213" s="1043"/>
      <c r="AK213" s="1043"/>
      <c r="AL213" s="1043"/>
      <c r="AM213" s="1043"/>
      <c r="AN213" s="1043"/>
      <c r="AO213" s="1043"/>
      <c r="AP213" s="1043"/>
      <c r="AQ213" s="1043"/>
      <c r="AR213" s="1043"/>
      <c r="AS213" s="1043"/>
      <c r="AT213" s="1043"/>
      <c r="AU213" s="1043"/>
      <c r="AV213" s="1043"/>
      <c r="AW213" s="1043"/>
      <c r="AX213" s="1043"/>
      <c r="AY213" s="1043"/>
      <c r="AZ213" s="1043"/>
      <c r="BA213" s="1043"/>
      <c r="BB213" s="1043"/>
      <c r="BC213" s="1043"/>
      <c r="BD213" s="1043"/>
      <c r="BE213" s="1043"/>
      <c r="BF213" s="1043"/>
      <c r="BG213" s="1043"/>
      <c r="BH213" s="1043"/>
      <c r="BI213" s="1043"/>
      <c r="BJ213" s="1038"/>
      <c r="BK213" s="139"/>
      <c r="BL213" s="139"/>
      <c r="BM213" s="139"/>
      <c r="BN213" s="139"/>
      <c r="BO213" s="1038"/>
      <c r="BP213" s="1038"/>
      <c r="BQ213" s="139"/>
      <c r="BR213" s="139"/>
      <c r="BS213" s="139"/>
      <c r="BT213" s="139"/>
      <c r="BU213" s="1038"/>
      <c r="BV213" s="1037"/>
      <c r="BW213" s="179"/>
      <c r="BX213" s="977"/>
      <c r="BY213" s="176"/>
      <c r="BZ213" s="176"/>
      <c r="CA213" s="176"/>
      <c r="CB213" s="176"/>
      <c r="CC213" s="176"/>
      <c r="CD213" s="176"/>
      <c r="CE213" s="176"/>
      <c r="CF213" s="176"/>
      <c r="CG213" s="176"/>
      <c r="CH213" s="188"/>
      <c r="CI213" s="1078"/>
      <c r="CJ213" s="1029"/>
      <c r="CK213" s="977"/>
      <c r="CL213" s="977"/>
      <c r="CM213" s="977"/>
      <c r="CN213" s="977"/>
      <c r="CO213" s="977"/>
      <c r="CP213" s="977"/>
      <c r="CQ213" s="977"/>
      <c r="CR213" s="977"/>
      <c r="CS213" s="977"/>
      <c r="CT213" s="977"/>
      <c r="CU213" s="1012"/>
      <c r="CV213" s="1078"/>
      <c r="CW213" s="1029"/>
      <c r="CX213" s="977"/>
      <c r="CY213" s="977"/>
      <c r="CZ213" s="977"/>
      <c r="DA213" s="977"/>
      <c r="DB213" s="977"/>
      <c r="DC213" s="977"/>
      <c r="DD213" s="977"/>
      <c r="DE213" s="977"/>
      <c r="DF213" s="977"/>
      <c r="DG213" s="977"/>
      <c r="DH213" s="1012"/>
      <c r="DI213" s="1078"/>
      <c r="DJ213" s="1081"/>
      <c r="DK213" s="214"/>
    </row>
    <row r="214" spans="1:117" ht="15" customHeight="1" x14ac:dyDescent="0.25">
      <c r="A214" s="1048"/>
      <c r="B214" s="1068"/>
      <c r="C214" s="1069"/>
      <c r="D214" s="1070"/>
      <c r="E214" s="238" t="s">
        <v>333</v>
      </c>
      <c r="F214" s="147">
        <v>30</v>
      </c>
      <c r="G214" s="1072"/>
      <c r="H214" s="228">
        <f>ROUNDDOWN(($H$2-D211)/365,0)*30</f>
        <v>180</v>
      </c>
      <c r="I214" s="1038"/>
      <c r="J214" s="1043"/>
      <c r="K214" s="1043"/>
      <c r="L214" s="1043"/>
      <c r="M214" s="1043"/>
      <c r="N214" s="1043"/>
      <c r="O214" s="1043"/>
      <c r="P214" s="1043"/>
      <c r="Q214" s="1043"/>
      <c r="R214" s="1043"/>
      <c r="S214" s="1043"/>
      <c r="T214" s="1043"/>
      <c r="U214" s="1043"/>
      <c r="V214" s="1043"/>
      <c r="W214" s="1043"/>
      <c r="X214" s="1043"/>
      <c r="Y214" s="1043"/>
      <c r="Z214" s="1043"/>
      <c r="AA214" s="1043"/>
      <c r="AB214" s="1043"/>
      <c r="AC214" s="1043"/>
      <c r="AD214" s="1043"/>
      <c r="AE214" s="1043"/>
      <c r="AF214" s="1043"/>
      <c r="AG214" s="1043"/>
      <c r="AH214" s="1043"/>
      <c r="AI214" s="1043"/>
      <c r="AJ214" s="1043"/>
      <c r="AK214" s="1043"/>
      <c r="AL214" s="1043"/>
      <c r="AM214" s="1043"/>
      <c r="AN214" s="1043"/>
      <c r="AO214" s="1043"/>
      <c r="AP214" s="1043"/>
      <c r="AQ214" s="1043"/>
      <c r="AR214" s="1043"/>
      <c r="AS214" s="1043"/>
      <c r="AT214" s="1043"/>
      <c r="AU214" s="1043"/>
      <c r="AV214" s="1043"/>
      <c r="AW214" s="1043"/>
      <c r="AX214" s="1043"/>
      <c r="AY214" s="1043"/>
      <c r="AZ214" s="1043"/>
      <c r="BA214" s="1043"/>
      <c r="BB214" s="1043"/>
      <c r="BC214" s="1043"/>
      <c r="BD214" s="1043"/>
      <c r="BE214" s="1043"/>
      <c r="BF214" s="1043"/>
      <c r="BG214" s="1043"/>
      <c r="BH214" s="1043"/>
      <c r="BI214" s="1043"/>
      <c r="BJ214" s="1038"/>
      <c r="BK214" s="139"/>
      <c r="BL214" s="139"/>
      <c r="BM214" s="139"/>
      <c r="BN214" s="139"/>
      <c r="BO214" s="1038"/>
      <c r="BP214" s="1038"/>
      <c r="BQ214" s="139"/>
      <c r="BR214" s="139"/>
      <c r="BS214" s="139"/>
      <c r="BT214" s="139"/>
      <c r="BU214" s="1038"/>
      <c r="BV214" s="1037"/>
      <c r="BW214" s="179"/>
      <c r="BX214" s="977"/>
      <c r="BY214" s="176"/>
      <c r="BZ214" s="176"/>
      <c r="CA214" s="176"/>
      <c r="CB214" s="176"/>
      <c r="CC214" s="176"/>
      <c r="CD214" s="176"/>
      <c r="CE214" s="176"/>
      <c r="CF214" s="176"/>
      <c r="CG214" s="176"/>
      <c r="CH214" s="188"/>
      <c r="CI214" s="1078"/>
      <c r="CJ214" s="1029"/>
      <c r="CK214" s="977"/>
      <c r="CL214" s="977"/>
      <c r="CM214" s="977"/>
      <c r="CN214" s="977"/>
      <c r="CO214" s="977"/>
      <c r="CP214" s="977"/>
      <c r="CQ214" s="977"/>
      <c r="CR214" s="977"/>
      <c r="CS214" s="977"/>
      <c r="CT214" s="977"/>
      <c r="CU214" s="1012"/>
      <c r="CV214" s="1078"/>
      <c r="CW214" s="1029"/>
      <c r="CX214" s="977"/>
      <c r="CY214" s="977"/>
      <c r="CZ214" s="977"/>
      <c r="DA214" s="977"/>
      <c r="DB214" s="977"/>
      <c r="DC214" s="977"/>
      <c r="DD214" s="977"/>
      <c r="DE214" s="977"/>
      <c r="DF214" s="977"/>
      <c r="DG214" s="977"/>
      <c r="DH214" s="1012"/>
      <c r="DI214" s="1078"/>
      <c r="DJ214" s="1081"/>
      <c r="DK214" s="214"/>
    </row>
    <row r="215" spans="1:117" ht="15" customHeight="1" x14ac:dyDescent="0.25">
      <c r="A215" s="1048"/>
      <c r="B215" s="1068"/>
      <c r="C215" s="1069"/>
      <c r="D215" s="1070"/>
      <c r="E215" s="238" t="s">
        <v>334</v>
      </c>
      <c r="F215" s="147">
        <v>30</v>
      </c>
      <c r="G215" s="1072"/>
      <c r="H215" s="195"/>
      <c r="I215" s="1038"/>
      <c r="J215" s="1043"/>
      <c r="K215" s="1043"/>
      <c r="L215" s="1043"/>
      <c r="M215" s="1043"/>
      <c r="N215" s="1043"/>
      <c r="O215" s="1043"/>
      <c r="P215" s="1043"/>
      <c r="Q215" s="1043"/>
      <c r="R215" s="1043"/>
      <c r="S215" s="1043"/>
      <c r="T215" s="1043"/>
      <c r="U215" s="1043"/>
      <c r="V215" s="1043"/>
      <c r="W215" s="1043"/>
      <c r="X215" s="1043"/>
      <c r="Y215" s="1043"/>
      <c r="Z215" s="1043"/>
      <c r="AA215" s="1043"/>
      <c r="AB215" s="1043"/>
      <c r="AC215" s="1043"/>
      <c r="AD215" s="1043"/>
      <c r="AE215" s="1043"/>
      <c r="AF215" s="1043"/>
      <c r="AG215" s="1043"/>
      <c r="AH215" s="1043"/>
      <c r="AI215" s="1043"/>
      <c r="AJ215" s="1043"/>
      <c r="AK215" s="1043"/>
      <c r="AL215" s="1043"/>
      <c r="AM215" s="1043"/>
      <c r="AN215" s="1043"/>
      <c r="AO215" s="1043"/>
      <c r="AP215" s="1043"/>
      <c r="AQ215" s="1043"/>
      <c r="AR215" s="1043"/>
      <c r="AS215" s="1043"/>
      <c r="AT215" s="1043"/>
      <c r="AU215" s="1043"/>
      <c r="AV215" s="1043"/>
      <c r="AW215" s="1043"/>
      <c r="AX215" s="1043"/>
      <c r="AY215" s="1043"/>
      <c r="AZ215" s="1043"/>
      <c r="BA215" s="1043"/>
      <c r="BB215" s="1043"/>
      <c r="BC215" s="1043"/>
      <c r="BD215" s="1043"/>
      <c r="BE215" s="1043"/>
      <c r="BF215" s="1043"/>
      <c r="BG215" s="1043"/>
      <c r="BH215" s="1043"/>
      <c r="BI215" s="1043"/>
      <c r="BJ215" s="1038"/>
      <c r="BK215" s="139"/>
      <c r="BL215" s="139"/>
      <c r="BM215" s="139"/>
      <c r="BN215" s="139"/>
      <c r="BO215" s="1038"/>
      <c r="BP215" s="1038"/>
      <c r="BQ215" s="139"/>
      <c r="BR215" s="139"/>
      <c r="BS215" s="139"/>
      <c r="BT215" s="139"/>
      <c r="BU215" s="1038"/>
      <c r="BV215" s="1037"/>
      <c r="BW215" s="169"/>
      <c r="BX215" s="977"/>
      <c r="BY215" s="193"/>
      <c r="BZ215" s="193"/>
      <c r="CA215" s="193"/>
      <c r="CB215" s="193"/>
      <c r="CC215" s="193"/>
      <c r="CD215" s="193"/>
      <c r="CE215" s="193"/>
      <c r="CF215" s="193"/>
      <c r="CG215" s="193"/>
      <c r="CH215" s="200"/>
      <c r="CI215" s="1078"/>
      <c r="CJ215" s="1029"/>
      <c r="CK215" s="977"/>
      <c r="CL215" s="977"/>
      <c r="CM215" s="977"/>
      <c r="CN215" s="977"/>
      <c r="CO215" s="977"/>
      <c r="CP215" s="977"/>
      <c r="CQ215" s="977"/>
      <c r="CR215" s="977"/>
      <c r="CS215" s="977"/>
      <c r="CT215" s="977"/>
      <c r="CU215" s="1012"/>
      <c r="CV215" s="1078"/>
      <c r="CW215" s="1029"/>
      <c r="CX215" s="977"/>
      <c r="CY215" s="977"/>
      <c r="CZ215" s="977"/>
      <c r="DA215" s="977"/>
      <c r="DB215" s="977"/>
      <c r="DC215" s="977"/>
      <c r="DD215" s="977"/>
      <c r="DE215" s="977"/>
      <c r="DF215" s="977"/>
      <c r="DG215" s="977"/>
      <c r="DH215" s="1012"/>
      <c r="DI215" s="1078"/>
      <c r="DJ215" s="1081"/>
      <c r="DK215" s="214"/>
    </row>
    <row r="216" spans="1:117" ht="15" customHeight="1" x14ac:dyDescent="0.25">
      <c r="A216" s="1048"/>
      <c r="B216" s="1068"/>
      <c r="C216" s="1069"/>
      <c r="D216" s="1070"/>
      <c r="E216" s="241" t="s">
        <v>335</v>
      </c>
      <c r="F216" s="147">
        <v>30</v>
      </c>
      <c r="G216" s="1073"/>
      <c r="H216" s="196"/>
      <c r="I216" s="1039"/>
      <c r="J216" s="1043"/>
      <c r="K216" s="1043"/>
      <c r="L216" s="1043"/>
      <c r="M216" s="1043"/>
      <c r="N216" s="1043"/>
      <c r="O216" s="1043"/>
      <c r="P216" s="1043"/>
      <c r="Q216" s="1043"/>
      <c r="R216" s="1043"/>
      <c r="S216" s="1043"/>
      <c r="T216" s="1043"/>
      <c r="U216" s="1043"/>
      <c r="V216" s="1043"/>
      <c r="W216" s="1043"/>
      <c r="X216" s="1043"/>
      <c r="Y216" s="1043"/>
      <c r="Z216" s="1043"/>
      <c r="AA216" s="1043"/>
      <c r="AB216" s="1043"/>
      <c r="AC216" s="1043"/>
      <c r="AD216" s="1043"/>
      <c r="AE216" s="1043"/>
      <c r="AF216" s="1043"/>
      <c r="AG216" s="1043"/>
      <c r="AH216" s="1043"/>
      <c r="AI216" s="1043"/>
      <c r="AJ216" s="1043"/>
      <c r="AK216" s="1043"/>
      <c r="AL216" s="1043"/>
      <c r="AM216" s="1043"/>
      <c r="AN216" s="1043"/>
      <c r="AO216" s="1043"/>
      <c r="AP216" s="1043"/>
      <c r="AQ216" s="1043"/>
      <c r="AR216" s="1043"/>
      <c r="AS216" s="1043"/>
      <c r="AT216" s="1043"/>
      <c r="AU216" s="1043"/>
      <c r="AV216" s="1043"/>
      <c r="AW216" s="1043"/>
      <c r="AX216" s="1043"/>
      <c r="AY216" s="1043"/>
      <c r="AZ216" s="1043"/>
      <c r="BA216" s="1043"/>
      <c r="BB216" s="1043"/>
      <c r="BC216" s="1043"/>
      <c r="BD216" s="1043"/>
      <c r="BE216" s="1043"/>
      <c r="BF216" s="1043"/>
      <c r="BG216" s="1043"/>
      <c r="BH216" s="1043"/>
      <c r="BI216" s="1043"/>
      <c r="BJ216" s="1038"/>
      <c r="BK216" s="139"/>
      <c r="BL216" s="139"/>
      <c r="BM216" s="139"/>
      <c r="BN216" s="139"/>
      <c r="BO216" s="1038"/>
      <c r="BP216" s="1038"/>
      <c r="BQ216" s="139"/>
      <c r="BR216" s="139"/>
      <c r="BS216" s="139"/>
      <c r="BT216" s="139"/>
      <c r="BU216" s="1039"/>
      <c r="BV216" s="1082"/>
      <c r="BW216" s="169"/>
      <c r="BX216" s="1004"/>
      <c r="BY216" s="193"/>
      <c r="BZ216" s="193"/>
      <c r="CA216" s="193"/>
      <c r="CB216" s="193"/>
      <c r="CC216" s="193"/>
      <c r="CD216" s="193"/>
      <c r="CE216" s="193"/>
      <c r="CF216" s="193"/>
      <c r="CG216" s="193"/>
      <c r="CH216" s="200"/>
      <c r="CI216" s="1079"/>
      <c r="CJ216" s="1083"/>
      <c r="CK216" s="1004"/>
      <c r="CL216" s="1004"/>
      <c r="CM216" s="1004"/>
      <c r="CN216" s="1004"/>
      <c r="CO216" s="1004"/>
      <c r="CP216" s="1004"/>
      <c r="CQ216" s="1004"/>
      <c r="CR216" s="1004"/>
      <c r="CS216" s="1004"/>
      <c r="CT216" s="1004"/>
      <c r="CU216" s="1017"/>
      <c r="CV216" s="1079"/>
      <c r="CW216" s="1083"/>
      <c r="CX216" s="1004"/>
      <c r="CY216" s="1004"/>
      <c r="CZ216" s="1004"/>
      <c r="DA216" s="1004"/>
      <c r="DB216" s="1004"/>
      <c r="DC216" s="1004"/>
      <c r="DD216" s="1004"/>
      <c r="DE216" s="1004"/>
      <c r="DF216" s="1004"/>
      <c r="DG216" s="1004"/>
      <c r="DH216" s="1017"/>
      <c r="DI216" s="1079"/>
      <c r="DJ216" s="1081"/>
      <c r="DK216" s="214"/>
    </row>
    <row r="217" spans="1:117" ht="15" customHeight="1" x14ac:dyDescent="0.25">
      <c r="A217" s="1048">
        <v>16</v>
      </c>
      <c r="B217" s="1068" t="s">
        <v>336</v>
      </c>
      <c r="C217" s="1069" t="s">
        <v>264</v>
      </c>
      <c r="D217" s="1070" t="s">
        <v>265</v>
      </c>
      <c r="E217" s="238" t="s">
        <v>190</v>
      </c>
      <c r="F217" s="142">
        <v>30</v>
      </c>
      <c r="G217" s="1074">
        <f>F217+F218+F222+F219+F220+F221</f>
        <v>30</v>
      </c>
      <c r="H217" s="197"/>
      <c r="I217" s="1037"/>
      <c r="J217" s="1043"/>
      <c r="K217" s="1043"/>
      <c r="L217" s="1043"/>
      <c r="M217" s="1043"/>
      <c r="N217" s="1043"/>
      <c r="O217" s="1043"/>
      <c r="P217" s="1043"/>
      <c r="Q217" s="1043"/>
      <c r="R217" s="1043"/>
      <c r="S217" s="1043"/>
      <c r="T217" s="1043"/>
      <c r="U217" s="1043"/>
      <c r="V217" s="1043"/>
      <c r="W217" s="1043"/>
      <c r="X217" s="1043"/>
      <c r="Y217" s="1043"/>
      <c r="Z217" s="1043"/>
      <c r="AA217" s="1043"/>
      <c r="AB217" s="1043"/>
      <c r="AC217" s="1043"/>
      <c r="AD217" s="1043"/>
      <c r="AE217" s="1043"/>
      <c r="AF217" s="1043"/>
      <c r="AG217" s="1043"/>
      <c r="AH217" s="1043"/>
      <c r="AI217" s="1043"/>
      <c r="AJ217" s="1043"/>
      <c r="AK217" s="1043"/>
      <c r="AL217" s="1043"/>
      <c r="AM217" s="1043"/>
      <c r="AN217" s="1043"/>
      <c r="AO217" s="1043"/>
      <c r="AP217" s="1043"/>
      <c r="AQ217" s="1043"/>
      <c r="AR217" s="1043"/>
      <c r="AS217" s="1043"/>
      <c r="AT217" s="1043"/>
      <c r="AU217" s="1043"/>
      <c r="AV217" s="1043"/>
      <c r="AW217" s="1043"/>
      <c r="AX217" s="1043"/>
      <c r="AY217" s="1043"/>
      <c r="AZ217" s="1043"/>
      <c r="BA217" s="1043"/>
      <c r="BB217" s="1043"/>
      <c r="BC217" s="1043"/>
      <c r="BD217" s="1043"/>
      <c r="BE217" s="1043"/>
      <c r="BF217" s="1043"/>
      <c r="BG217" s="1043"/>
      <c r="BH217" s="1043"/>
      <c r="BI217" s="1043"/>
      <c r="BJ217" s="1037"/>
      <c r="BK217" s="1037"/>
      <c r="BL217" s="1037"/>
      <c r="BM217" s="1037"/>
      <c r="BN217" s="1037"/>
      <c r="BO217" s="1037"/>
      <c r="BP217" s="1037"/>
      <c r="BQ217" s="1037"/>
      <c r="BR217" s="1037"/>
      <c r="BS217" s="1037"/>
      <c r="BT217" s="1037"/>
      <c r="BU217" s="1037"/>
      <c r="BV217" s="1043"/>
      <c r="BW217" s="988"/>
      <c r="BX217" s="976"/>
      <c r="BY217" s="976"/>
      <c r="BZ217" s="976"/>
      <c r="CA217" s="976"/>
      <c r="CB217" s="976"/>
      <c r="CC217" s="976"/>
      <c r="CD217" s="976"/>
      <c r="CE217" s="976"/>
      <c r="CF217" s="976"/>
      <c r="CG217" s="976"/>
      <c r="CH217" s="979"/>
      <c r="CI217" s="1018"/>
      <c r="CJ217" s="988"/>
      <c r="CK217" s="976"/>
      <c r="CL217" s="976"/>
      <c r="CM217" s="976"/>
      <c r="CN217" s="976"/>
      <c r="CO217" s="976"/>
      <c r="CP217" s="976"/>
      <c r="CQ217" s="976"/>
      <c r="CR217" s="976"/>
      <c r="CS217" s="976"/>
      <c r="CT217" s="976"/>
      <c r="CU217" s="979"/>
      <c r="CV217" s="1018"/>
      <c r="CW217" s="988"/>
      <c r="CX217" s="976"/>
      <c r="CY217" s="976"/>
      <c r="CZ217" s="976"/>
      <c r="DA217" s="976"/>
      <c r="DB217" s="976"/>
      <c r="DC217" s="976"/>
      <c r="DD217" s="976"/>
      <c r="DE217" s="976"/>
      <c r="DF217" s="976"/>
      <c r="DG217" s="976"/>
      <c r="DH217" s="979"/>
      <c r="DI217" s="1018">
        <f>SUM(CW217:DH222)</f>
        <v>0</v>
      </c>
      <c r="DJ217" s="971">
        <f>I217+V217+AI217+AV217+BI217+BV217+CI217+CV217+DI217</f>
        <v>0</v>
      </c>
      <c r="DK217" s="230">
        <f>H220-DJ217</f>
        <v>30</v>
      </c>
    </row>
    <row r="218" spans="1:117" ht="15" customHeight="1" x14ac:dyDescent="0.25">
      <c r="A218" s="1048"/>
      <c r="B218" s="1068"/>
      <c r="C218" s="1069"/>
      <c r="D218" s="1070"/>
      <c r="E218" s="238" t="s">
        <v>191</v>
      </c>
      <c r="F218" s="143"/>
      <c r="G218" s="1075"/>
      <c r="H218" s="198"/>
      <c r="I218" s="1038"/>
      <c r="J218" s="1043"/>
      <c r="K218" s="1043"/>
      <c r="L218" s="1043"/>
      <c r="M218" s="1043"/>
      <c r="N218" s="1043"/>
      <c r="O218" s="1043"/>
      <c r="P218" s="1043"/>
      <c r="Q218" s="1043"/>
      <c r="R218" s="1043"/>
      <c r="S218" s="1043"/>
      <c r="T218" s="1043"/>
      <c r="U218" s="1043"/>
      <c r="V218" s="1043"/>
      <c r="W218" s="1043"/>
      <c r="X218" s="1043"/>
      <c r="Y218" s="1043"/>
      <c r="Z218" s="1043"/>
      <c r="AA218" s="1043"/>
      <c r="AB218" s="1043"/>
      <c r="AC218" s="1043"/>
      <c r="AD218" s="1043"/>
      <c r="AE218" s="1043"/>
      <c r="AF218" s="1043"/>
      <c r="AG218" s="1043"/>
      <c r="AH218" s="1043"/>
      <c r="AI218" s="1043"/>
      <c r="AJ218" s="1043"/>
      <c r="AK218" s="1043"/>
      <c r="AL218" s="1043"/>
      <c r="AM218" s="1043"/>
      <c r="AN218" s="1043"/>
      <c r="AO218" s="1043"/>
      <c r="AP218" s="1043"/>
      <c r="AQ218" s="1043"/>
      <c r="AR218" s="1043"/>
      <c r="AS218" s="1043"/>
      <c r="AT218" s="1043"/>
      <c r="AU218" s="1043"/>
      <c r="AV218" s="1043"/>
      <c r="AW218" s="1043"/>
      <c r="AX218" s="1043"/>
      <c r="AY218" s="1043"/>
      <c r="AZ218" s="1043"/>
      <c r="BA218" s="1043"/>
      <c r="BB218" s="1043"/>
      <c r="BC218" s="1043"/>
      <c r="BD218" s="1043"/>
      <c r="BE218" s="1043"/>
      <c r="BF218" s="1043"/>
      <c r="BG218" s="1043"/>
      <c r="BH218" s="1043"/>
      <c r="BI218" s="1043"/>
      <c r="BJ218" s="1038"/>
      <c r="BK218" s="1038"/>
      <c r="BL218" s="1038"/>
      <c r="BM218" s="1038"/>
      <c r="BN218" s="1038"/>
      <c r="BO218" s="1038"/>
      <c r="BP218" s="1038"/>
      <c r="BQ218" s="1038"/>
      <c r="BR218" s="1038"/>
      <c r="BS218" s="1038"/>
      <c r="BT218" s="1038"/>
      <c r="BU218" s="1038"/>
      <c r="BV218" s="1043"/>
      <c r="BW218" s="989"/>
      <c r="BX218" s="977"/>
      <c r="BY218" s="977"/>
      <c r="BZ218" s="977"/>
      <c r="CA218" s="977"/>
      <c r="CB218" s="977"/>
      <c r="CC218" s="977"/>
      <c r="CD218" s="977"/>
      <c r="CE218" s="977"/>
      <c r="CF218" s="977"/>
      <c r="CG218" s="977"/>
      <c r="CH218" s="980"/>
      <c r="CI218" s="1018"/>
      <c r="CJ218" s="989"/>
      <c r="CK218" s="977"/>
      <c r="CL218" s="977"/>
      <c r="CM218" s="977"/>
      <c r="CN218" s="977"/>
      <c r="CO218" s="977"/>
      <c r="CP218" s="977"/>
      <c r="CQ218" s="977"/>
      <c r="CR218" s="977"/>
      <c r="CS218" s="977"/>
      <c r="CT218" s="977"/>
      <c r="CU218" s="980"/>
      <c r="CV218" s="1018"/>
      <c r="CW218" s="989"/>
      <c r="CX218" s="977"/>
      <c r="CY218" s="977"/>
      <c r="CZ218" s="977"/>
      <c r="DA218" s="977"/>
      <c r="DB218" s="977"/>
      <c r="DC218" s="977"/>
      <c r="DD218" s="977"/>
      <c r="DE218" s="977"/>
      <c r="DF218" s="977"/>
      <c r="DG218" s="977"/>
      <c r="DH218" s="980"/>
      <c r="DI218" s="1018"/>
      <c r="DJ218" s="972"/>
      <c r="DK218" s="214"/>
    </row>
    <row r="219" spans="1:117" ht="15" customHeight="1" x14ac:dyDescent="0.25">
      <c r="A219" s="1048"/>
      <c r="B219" s="1068"/>
      <c r="C219" s="1069"/>
      <c r="D219" s="1070"/>
      <c r="E219" s="246"/>
      <c r="F219" s="143"/>
      <c r="G219" s="1075"/>
      <c r="H219" s="198"/>
      <c r="I219" s="1038"/>
      <c r="J219" s="1043"/>
      <c r="K219" s="1043"/>
      <c r="L219" s="1043"/>
      <c r="M219" s="1043"/>
      <c r="N219" s="1043"/>
      <c r="O219" s="1043"/>
      <c r="P219" s="1043"/>
      <c r="Q219" s="1043"/>
      <c r="R219" s="1043"/>
      <c r="S219" s="1043"/>
      <c r="T219" s="1043"/>
      <c r="U219" s="1043"/>
      <c r="V219" s="1043"/>
      <c r="W219" s="1043"/>
      <c r="X219" s="1043"/>
      <c r="Y219" s="1043"/>
      <c r="Z219" s="1043"/>
      <c r="AA219" s="1043"/>
      <c r="AB219" s="1043"/>
      <c r="AC219" s="1043"/>
      <c r="AD219" s="1043"/>
      <c r="AE219" s="1043"/>
      <c r="AF219" s="1043"/>
      <c r="AG219" s="1043"/>
      <c r="AH219" s="1043"/>
      <c r="AI219" s="1043"/>
      <c r="AJ219" s="1043"/>
      <c r="AK219" s="1043"/>
      <c r="AL219" s="1043"/>
      <c r="AM219" s="1043"/>
      <c r="AN219" s="1043"/>
      <c r="AO219" s="1043"/>
      <c r="AP219" s="1043"/>
      <c r="AQ219" s="1043"/>
      <c r="AR219" s="1043"/>
      <c r="AS219" s="1043"/>
      <c r="AT219" s="1043"/>
      <c r="AU219" s="1043"/>
      <c r="AV219" s="1043"/>
      <c r="AW219" s="1043"/>
      <c r="AX219" s="1043"/>
      <c r="AY219" s="1043"/>
      <c r="AZ219" s="1043"/>
      <c r="BA219" s="1043"/>
      <c r="BB219" s="1043"/>
      <c r="BC219" s="1043"/>
      <c r="BD219" s="1043"/>
      <c r="BE219" s="1043"/>
      <c r="BF219" s="1043"/>
      <c r="BG219" s="1043"/>
      <c r="BH219" s="1043"/>
      <c r="BI219" s="1043"/>
      <c r="BJ219" s="1038"/>
      <c r="BK219" s="1038"/>
      <c r="BL219" s="1038"/>
      <c r="BM219" s="1038"/>
      <c r="BN219" s="1038"/>
      <c r="BO219" s="1038"/>
      <c r="BP219" s="1038"/>
      <c r="BQ219" s="1038"/>
      <c r="BR219" s="1038"/>
      <c r="BS219" s="1038"/>
      <c r="BT219" s="1038"/>
      <c r="BU219" s="1038"/>
      <c r="BV219" s="1043"/>
      <c r="BW219" s="989"/>
      <c r="BX219" s="977"/>
      <c r="BY219" s="977"/>
      <c r="BZ219" s="977"/>
      <c r="CA219" s="977"/>
      <c r="CB219" s="977"/>
      <c r="CC219" s="977"/>
      <c r="CD219" s="977"/>
      <c r="CE219" s="977"/>
      <c r="CF219" s="977"/>
      <c r="CG219" s="977"/>
      <c r="CH219" s="980"/>
      <c r="CI219" s="1018"/>
      <c r="CJ219" s="989"/>
      <c r="CK219" s="977"/>
      <c r="CL219" s="977"/>
      <c r="CM219" s="977"/>
      <c r="CN219" s="977"/>
      <c r="CO219" s="977"/>
      <c r="CP219" s="977"/>
      <c r="CQ219" s="977"/>
      <c r="CR219" s="977"/>
      <c r="CS219" s="977"/>
      <c r="CT219" s="977"/>
      <c r="CU219" s="980"/>
      <c r="CV219" s="1018"/>
      <c r="CW219" s="989"/>
      <c r="CX219" s="977"/>
      <c r="CY219" s="977"/>
      <c r="CZ219" s="977"/>
      <c r="DA219" s="977"/>
      <c r="DB219" s="977"/>
      <c r="DC219" s="977"/>
      <c r="DD219" s="977"/>
      <c r="DE219" s="977"/>
      <c r="DF219" s="977"/>
      <c r="DG219" s="977"/>
      <c r="DH219" s="980"/>
      <c r="DI219" s="1018"/>
      <c r="DJ219" s="972"/>
      <c r="DK219" s="214"/>
      <c r="DM219" s="128"/>
    </row>
    <row r="220" spans="1:117" ht="15" customHeight="1" x14ac:dyDescent="0.25">
      <c r="A220" s="1048"/>
      <c r="B220" s="1068"/>
      <c r="C220" s="1069"/>
      <c r="D220" s="1070"/>
      <c r="E220" s="182"/>
      <c r="F220" s="144"/>
      <c r="G220" s="1075"/>
      <c r="H220" s="228">
        <f>ROUNDDOWN(($H$2-D217)/365,0)*30</f>
        <v>30</v>
      </c>
      <c r="I220" s="1038"/>
      <c r="J220" s="1043"/>
      <c r="K220" s="1043"/>
      <c r="L220" s="1043"/>
      <c r="M220" s="1043"/>
      <c r="N220" s="1043"/>
      <c r="O220" s="1043"/>
      <c r="P220" s="1043"/>
      <c r="Q220" s="1043"/>
      <c r="R220" s="1043"/>
      <c r="S220" s="1043"/>
      <c r="T220" s="1043"/>
      <c r="U220" s="1043"/>
      <c r="V220" s="1043"/>
      <c r="W220" s="1043"/>
      <c r="X220" s="1043"/>
      <c r="Y220" s="1043"/>
      <c r="Z220" s="1043"/>
      <c r="AA220" s="1043"/>
      <c r="AB220" s="1043"/>
      <c r="AC220" s="1043"/>
      <c r="AD220" s="1043"/>
      <c r="AE220" s="1043"/>
      <c r="AF220" s="1043"/>
      <c r="AG220" s="1043"/>
      <c r="AH220" s="1043"/>
      <c r="AI220" s="1043"/>
      <c r="AJ220" s="1043"/>
      <c r="AK220" s="1043"/>
      <c r="AL220" s="1043"/>
      <c r="AM220" s="1043"/>
      <c r="AN220" s="1043"/>
      <c r="AO220" s="1043"/>
      <c r="AP220" s="1043"/>
      <c r="AQ220" s="1043"/>
      <c r="AR220" s="1043"/>
      <c r="AS220" s="1043"/>
      <c r="AT220" s="1043"/>
      <c r="AU220" s="1043"/>
      <c r="AV220" s="1043"/>
      <c r="AW220" s="1043"/>
      <c r="AX220" s="1043"/>
      <c r="AY220" s="1043"/>
      <c r="AZ220" s="1043"/>
      <c r="BA220" s="1043"/>
      <c r="BB220" s="1043"/>
      <c r="BC220" s="1043"/>
      <c r="BD220" s="1043"/>
      <c r="BE220" s="1043"/>
      <c r="BF220" s="1043"/>
      <c r="BG220" s="1043"/>
      <c r="BH220" s="1043"/>
      <c r="BI220" s="1043"/>
      <c r="BJ220" s="1038"/>
      <c r="BK220" s="1038"/>
      <c r="BL220" s="1038"/>
      <c r="BM220" s="1038"/>
      <c r="BN220" s="1038"/>
      <c r="BO220" s="1038"/>
      <c r="BP220" s="1038"/>
      <c r="BQ220" s="1038"/>
      <c r="BR220" s="1038"/>
      <c r="BS220" s="1038"/>
      <c r="BT220" s="1038"/>
      <c r="BU220" s="1038"/>
      <c r="BV220" s="1043"/>
      <c r="BW220" s="989"/>
      <c r="BX220" s="977"/>
      <c r="BY220" s="977"/>
      <c r="BZ220" s="977"/>
      <c r="CA220" s="977"/>
      <c r="CB220" s="977"/>
      <c r="CC220" s="977"/>
      <c r="CD220" s="977"/>
      <c r="CE220" s="977"/>
      <c r="CF220" s="977"/>
      <c r="CG220" s="977"/>
      <c r="CH220" s="980"/>
      <c r="CI220" s="1018"/>
      <c r="CJ220" s="989"/>
      <c r="CK220" s="977"/>
      <c r="CL220" s="977"/>
      <c r="CM220" s="977"/>
      <c r="CN220" s="977"/>
      <c r="CO220" s="977"/>
      <c r="CP220" s="977"/>
      <c r="CQ220" s="977"/>
      <c r="CR220" s="977"/>
      <c r="CS220" s="977"/>
      <c r="CT220" s="977"/>
      <c r="CU220" s="980"/>
      <c r="CV220" s="1018"/>
      <c r="CW220" s="989"/>
      <c r="CX220" s="977"/>
      <c r="CY220" s="977"/>
      <c r="CZ220" s="977"/>
      <c r="DA220" s="977"/>
      <c r="DB220" s="977"/>
      <c r="DC220" s="977"/>
      <c r="DD220" s="977"/>
      <c r="DE220" s="977"/>
      <c r="DF220" s="977"/>
      <c r="DG220" s="977"/>
      <c r="DH220" s="980"/>
      <c r="DI220" s="1018"/>
      <c r="DJ220" s="972"/>
      <c r="DK220" s="214"/>
    </row>
    <row r="221" spans="1:117" ht="15" customHeight="1" x14ac:dyDescent="0.25">
      <c r="A221" s="1048"/>
      <c r="B221" s="1068"/>
      <c r="C221" s="1069"/>
      <c r="D221" s="1070"/>
      <c r="E221" s="182"/>
      <c r="F221" s="144"/>
      <c r="G221" s="1075"/>
      <c r="H221" s="198"/>
      <c r="I221" s="1038"/>
      <c r="J221" s="1043"/>
      <c r="K221" s="1043"/>
      <c r="L221" s="1043"/>
      <c r="M221" s="1043"/>
      <c r="N221" s="1043"/>
      <c r="O221" s="1043"/>
      <c r="P221" s="1043"/>
      <c r="Q221" s="1043"/>
      <c r="R221" s="1043"/>
      <c r="S221" s="1043"/>
      <c r="T221" s="1043"/>
      <c r="U221" s="1043"/>
      <c r="V221" s="1043"/>
      <c r="W221" s="1043"/>
      <c r="X221" s="1043"/>
      <c r="Y221" s="1043"/>
      <c r="Z221" s="1043"/>
      <c r="AA221" s="1043"/>
      <c r="AB221" s="1043"/>
      <c r="AC221" s="1043"/>
      <c r="AD221" s="1043"/>
      <c r="AE221" s="1043"/>
      <c r="AF221" s="1043"/>
      <c r="AG221" s="1043"/>
      <c r="AH221" s="1043"/>
      <c r="AI221" s="1043"/>
      <c r="AJ221" s="1043"/>
      <c r="AK221" s="1043"/>
      <c r="AL221" s="1043"/>
      <c r="AM221" s="1043"/>
      <c r="AN221" s="1043"/>
      <c r="AO221" s="1043"/>
      <c r="AP221" s="1043"/>
      <c r="AQ221" s="1043"/>
      <c r="AR221" s="1043"/>
      <c r="AS221" s="1043"/>
      <c r="AT221" s="1043"/>
      <c r="AU221" s="1043"/>
      <c r="AV221" s="1043"/>
      <c r="AW221" s="1043"/>
      <c r="AX221" s="1043"/>
      <c r="AY221" s="1043"/>
      <c r="AZ221" s="1043"/>
      <c r="BA221" s="1043"/>
      <c r="BB221" s="1043"/>
      <c r="BC221" s="1043"/>
      <c r="BD221" s="1043"/>
      <c r="BE221" s="1043"/>
      <c r="BF221" s="1043"/>
      <c r="BG221" s="1043"/>
      <c r="BH221" s="1043"/>
      <c r="BI221" s="1043"/>
      <c r="BJ221" s="1038"/>
      <c r="BK221" s="1038"/>
      <c r="BL221" s="1038"/>
      <c r="BM221" s="1038"/>
      <c r="BN221" s="1038"/>
      <c r="BO221" s="1038"/>
      <c r="BP221" s="1038"/>
      <c r="BQ221" s="1038"/>
      <c r="BR221" s="1038"/>
      <c r="BS221" s="1038"/>
      <c r="BT221" s="1038"/>
      <c r="BU221" s="1038"/>
      <c r="BV221" s="1043"/>
      <c r="BW221" s="989"/>
      <c r="BX221" s="977"/>
      <c r="BY221" s="977"/>
      <c r="BZ221" s="977"/>
      <c r="CA221" s="977"/>
      <c r="CB221" s="977"/>
      <c r="CC221" s="977"/>
      <c r="CD221" s="977"/>
      <c r="CE221" s="977"/>
      <c r="CF221" s="977"/>
      <c r="CG221" s="977"/>
      <c r="CH221" s="980"/>
      <c r="CI221" s="1018"/>
      <c r="CJ221" s="989"/>
      <c r="CK221" s="977"/>
      <c r="CL221" s="977"/>
      <c r="CM221" s="977"/>
      <c r="CN221" s="977"/>
      <c r="CO221" s="977"/>
      <c r="CP221" s="977"/>
      <c r="CQ221" s="977"/>
      <c r="CR221" s="977"/>
      <c r="CS221" s="977"/>
      <c r="CT221" s="977"/>
      <c r="CU221" s="980"/>
      <c r="CV221" s="1018"/>
      <c r="CW221" s="989"/>
      <c r="CX221" s="977"/>
      <c r="CY221" s="977"/>
      <c r="CZ221" s="977"/>
      <c r="DA221" s="977"/>
      <c r="DB221" s="977"/>
      <c r="DC221" s="977"/>
      <c r="DD221" s="977"/>
      <c r="DE221" s="977"/>
      <c r="DF221" s="977"/>
      <c r="DG221" s="977"/>
      <c r="DH221" s="980"/>
      <c r="DI221" s="1018"/>
      <c r="DJ221" s="972"/>
      <c r="DK221" s="214"/>
    </row>
    <row r="222" spans="1:117" ht="15" customHeight="1" x14ac:dyDescent="0.25">
      <c r="A222" s="1048"/>
      <c r="B222" s="1068"/>
      <c r="C222" s="1069"/>
      <c r="D222" s="1070"/>
      <c r="E222" s="183"/>
      <c r="F222" s="145"/>
      <c r="G222" s="1076"/>
      <c r="H222" s="199"/>
      <c r="I222" s="1039"/>
      <c r="J222" s="1043"/>
      <c r="K222" s="1043"/>
      <c r="L222" s="1043"/>
      <c r="M222" s="1043"/>
      <c r="N222" s="1043"/>
      <c r="O222" s="1043"/>
      <c r="P222" s="1043"/>
      <c r="Q222" s="1043"/>
      <c r="R222" s="1043"/>
      <c r="S222" s="1043"/>
      <c r="T222" s="1043"/>
      <c r="U222" s="1043"/>
      <c r="V222" s="1043"/>
      <c r="W222" s="1043"/>
      <c r="X222" s="1043"/>
      <c r="Y222" s="1043"/>
      <c r="Z222" s="1043"/>
      <c r="AA222" s="1043"/>
      <c r="AB222" s="1043"/>
      <c r="AC222" s="1043"/>
      <c r="AD222" s="1043"/>
      <c r="AE222" s="1043"/>
      <c r="AF222" s="1043"/>
      <c r="AG222" s="1043"/>
      <c r="AH222" s="1043"/>
      <c r="AI222" s="1043"/>
      <c r="AJ222" s="1043"/>
      <c r="AK222" s="1043"/>
      <c r="AL222" s="1043"/>
      <c r="AM222" s="1043"/>
      <c r="AN222" s="1043"/>
      <c r="AO222" s="1043"/>
      <c r="AP222" s="1043"/>
      <c r="AQ222" s="1043"/>
      <c r="AR222" s="1043"/>
      <c r="AS222" s="1043"/>
      <c r="AT222" s="1043"/>
      <c r="AU222" s="1043"/>
      <c r="AV222" s="1043"/>
      <c r="AW222" s="1043"/>
      <c r="AX222" s="1043"/>
      <c r="AY222" s="1043"/>
      <c r="AZ222" s="1043"/>
      <c r="BA222" s="1043"/>
      <c r="BB222" s="1043"/>
      <c r="BC222" s="1043"/>
      <c r="BD222" s="1043"/>
      <c r="BE222" s="1043"/>
      <c r="BF222" s="1043"/>
      <c r="BG222" s="1043"/>
      <c r="BH222" s="1043"/>
      <c r="BI222" s="1043"/>
      <c r="BJ222" s="1039"/>
      <c r="BK222" s="1039"/>
      <c r="BL222" s="1039"/>
      <c r="BM222" s="1039"/>
      <c r="BN222" s="1039"/>
      <c r="BO222" s="1039"/>
      <c r="BP222" s="1039"/>
      <c r="BQ222" s="1039"/>
      <c r="BR222" s="1039"/>
      <c r="BS222" s="1039"/>
      <c r="BT222" s="1039"/>
      <c r="BU222" s="1039"/>
      <c r="BV222" s="1043"/>
      <c r="BW222" s="990"/>
      <c r="BX222" s="978"/>
      <c r="BY222" s="978"/>
      <c r="BZ222" s="978"/>
      <c r="CA222" s="978"/>
      <c r="CB222" s="978"/>
      <c r="CC222" s="978"/>
      <c r="CD222" s="978"/>
      <c r="CE222" s="978"/>
      <c r="CF222" s="978"/>
      <c r="CG222" s="978"/>
      <c r="CH222" s="981"/>
      <c r="CI222" s="1018"/>
      <c r="CJ222" s="990"/>
      <c r="CK222" s="978"/>
      <c r="CL222" s="978"/>
      <c r="CM222" s="978"/>
      <c r="CN222" s="978"/>
      <c r="CO222" s="978"/>
      <c r="CP222" s="978"/>
      <c r="CQ222" s="978"/>
      <c r="CR222" s="978"/>
      <c r="CS222" s="978"/>
      <c r="CT222" s="978"/>
      <c r="CU222" s="981"/>
      <c r="CV222" s="1018"/>
      <c r="CW222" s="990"/>
      <c r="CX222" s="978"/>
      <c r="CY222" s="978"/>
      <c r="CZ222" s="978"/>
      <c r="DA222" s="978"/>
      <c r="DB222" s="978"/>
      <c r="DC222" s="978"/>
      <c r="DD222" s="978"/>
      <c r="DE222" s="978"/>
      <c r="DF222" s="978"/>
      <c r="DG222" s="978"/>
      <c r="DH222" s="981"/>
      <c r="DI222" s="1018"/>
      <c r="DJ222" s="973"/>
      <c r="DK222" s="215"/>
    </row>
    <row r="223" spans="1:117" ht="15" customHeight="1" x14ac:dyDescent="0.25">
      <c r="A223" s="1048">
        <v>33</v>
      </c>
      <c r="B223" s="1068" t="s">
        <v>95</v>
      </c>
      <c r="C223" s="1069"/>
      <c r="D223" s="1070" t="s">
        <v>337</v>
      </c>
      <c r="E223" s="237" t="s">
        <v>338</v>
      </c>
      <c r="F223" s="149">
        <v>30</v>
      </c>
      <c r="G223" s="1071">
        <f>F223+F224+F225</f>
        <v>60</v>
      </c>
      <c r="H223" s="194"/>
      <c r="I223" s="1037"/>
      <c r="J223" s="1043"/>
      <c r="K223" s="1043"/>
      <c r="L223" s="1043"/>
      <c r="M223" s="1043"/>
      <c r="N223" s="1043"/>
      <c r="O223" s="1043"/>
      <c r="P223" s="1043"/>
      <c r="Q223" s="1043"/>
      <c r="R223" s="1043"/>
      <c r="S223" s="1043"/>
      <c r="T223" s="1043"/>
      <c r="U223" s="1043"/>
      <c r="V223" s="1043">
        <f>SUM(J223:U225)</f>
        <v>0</v>
      </c>
      <c r="W223" s="1043"/>
      <c r="X223" s="1043"/>
      <c r="Y223" s="1043"/>
      <c r="Z223" s="1043"/>
      <c r="AA223" s="1043"/>
      <c r="AB223" s="1043">
        <v>1</v>
      </c>
      <c r="AC223" s="1043"/>
      <c r="AD223" s="1043"/>
      <c r="AE223" s="1043"/>
      <c r="AF223" s="1043">
        <v>1</v>
      </c>
      <c r="AG223" s="1043"/>
      <c r="AH223" s="1043"/>
      <c r="AI223" s="1043"/>
      <c r="AJ223" s="1043"/>
      <c r="AK223" s="1043"/>
      <c r="AL223" s="1043"/>
      <c r="AM223" s="1043">
        <v>2</v>
      </c>
      <c r="AN223" s="1043"/>
      <c r="AO223" s="1043">
        <v>1</v>
      </c>
      <c r="AP223" s="1043">
        <v>1</v>
      </c>
      <c r="AQ223" s="1043"/>
      <c r="AR223" s="1043">
        <v>1</v>
      </c>
      <c r="AS223" s="1043">
        <v>1</v>
      </c>
      <c r="AT223" s="1043">
        <v>1</v>
      </c>
      <c r="AU223" s="1043">
        <v>1</v>
      </c>
      <c r="AV223" s="1043"/>
      <c r="AW223" s="1043">
        <v>2</v>
      </c>
      <c r="AX223" s="1043">
        <v>1</v>
      </c>
      <c r="AY223" s="1043"/>
      <c r="AZ223" s="1043">
        <v>1</v>
      </c>
      <c r="BA223" s="1043"/>
      <c r="BB223" s="1043"/>
      <c r="BC223" s="1043">
        <v>1</v>
      </c>
      <c r="BD223" s="1043"/>
      <c r="BE223" s="1043"/>
      <c r="BF223" s="1043"/>
      <c r="BG223" s="1043">
        <v>1</v>
      </c>
      <c r="BH223" s="1043"/>
      <c r="BI223" s="1043"/>
      <c r="BJ223" s="1037"/>
      <c r="BK223" s="137"/>
      <c r="BL223" s="137"/>
      <c r="BM223" s="137"/>
      <c r="BN223" s="137"/>
      <c r="BO223" s="1037"/>
      <c r="BP223" s="1037"/>
      <c r="BQ223" s="137"/>
      <c r="BR223" s="137"/>
      <c r="BS223" s="137"/>
      <c r="BT223" s="137"/>
      <c r="BU223" s="1037"/>
      <c r="BV223" s="1043">
        <f>SUM(BJ223:BU225)</f>
        <v>0</v>
      </c>
      <c r="BW223" s="988"/>
      <c r="BX223" s="976"/>
      <c r="BY223" s="976">
        <v>6</v>
      </c>
      <c r="BZ223" s="976"/>
      <c r="CA223" s="976">
        <v>1</v>
      </c>
      <c r="CB223" s="976"/>
      <c r="CC223" s="976">
        <v>2</v>
      </c>
      <c r="CD223" s="976"/>
      <c r="CE223" s="976">
        <v>7</v>
      </c>
      <c r="CF223" s="976"/>
      <c r="CG223" s="976"/>
      <c r="CH223" s="979">
        <v>14</v>
      </c>
      <c r="CI223" s="1018">
        <f>SUM(BW223:CH225)</f>
        <v>30</v>
      </c>
      <c r="CJ223" s="988"/>
      <c r="CK223" s="976"/>
      <c r="CL223" s="976"/>
      <c r="CM223" s="976"/>
      <c r="CN223" s="976"/>
      <c r="CO223" s="976">
        <v>17</v>
      </c>
      <c r="CP223" s="976">
        <v>3</v>
      </c>
      <c r="CQ223" s="976"/>
      <c r="CR223" s="976"/>
      <c r="CS223" s="976"/>
      <c r="CT223" s="976"/>
      <c r="CU223" s="979">
        <v>13</v>
      </c>
      <c r="CV223" s="1018">
        <f>SUM(CJ223:CU225)</f>
        <v>33</v>
      </c>
      <c r="CW223" s="988"/>
      <c r="CX223" s="976"/>
      <c r="CY223" s="976"/>
      <c r="CZ223" s="976"/>
      <c r="DA223" s="976"/>
      <c r="DB223" s="976"/>
      <c r="DC223" s="976"/>
      <c r="DD223" s="976"/>
      <c r="DE223" s="976">
        <v>15</v>
      </c>
      <c r="DF223" s="976">
        <v>1</v>
      </c>
      <c r="DG223" s="976"/>
      <c r="DH223" s="979"/>
      <c r="DI223" s="1018">
        <f>SUM(CW223:DH225)</f>
        <v>16</v>
      </c>
      <c r="DJ223" s="971">
        <f>I223+V223+AI223+AV223+BI223+BV223+CI223+CV223+DI223</f>
        <v>79</v>
      </c>
      <c r="DK223" s="230">
        <f>H224-DJ223</f>
        <v>-19</v>
      </c>
    </row>
    <row r="224" spans="1:117" ht="15" customHeight="1" x14ac:dyDescent="0.25">
      <c r="A224" s="1048"/>
      <c r="B224" s="1068"/>
      <c r="C224" s="1069"/>
      <c r="D224" s="1070"/>
      <c r="E224" s="153" t="s">
        <v>339</v>
      </c>
      <c r="F224" s="150">
        <v>30</v>
      </c>
      <c r="G224" s="1072"/>
      <c r="H224" s="228">
        <f>ROUNDDOWN(($H$2-D223)/365,0)*30</f>
        <v>60</v>
      </c>
      <c r="I224" s="1038"/>
      <c r="J224" s="1043"/>
      <c r="K224" s="1043"/>
      <c r="L224" s="1043"/>
      <c r="M224" s="1043"/>
      <c r="N224" s="1043"/>
      <c r="O224" s="1043"/>
      <c r="P224" s="1043"/>
      <c r="Q224" s="1043"/>
      <c r="R224" s="1043"/>
      <c r="S224" s="1043"/>
      <c r="T224" s="1043"/>
      <c r="U224" s="1043"/>
      <c r="V224" s="1043"/>
      <c r="W224" s="1043"/>
      <c r="X224" s="1043"/>
      <c r="Y224" s="1043"/>
      <c r="Z224" s="1043"/>
      <c r="AA224" s="1043"/>
      <c r="AB224" s="1043"/>
      <c r="AC224" s="1043"/>
      <c r="AD224" s="1043"/>
      <c r="AE224" s="1043"/>
      <c r="AF224" s="1043"/>
      <c r="AG224" s="1043"/>
      <c r="AH224" s="1043"/>
      <c r="AI224" s="1043"/>
      <c r="AJ224" s="1043"/>
      <c r="AK224" s="1043"/>
      <c r="AL224" s="1043"/>
      <c r="AM224" s="1043"/>
      <c r="AN224" s="1043"/>
      <c r="AO224" s="1043"/>
      <c r="AP224" s="1043"/>
      <c r="AQ224" s="1043"/>
      <c r="AR224" s="1043"/>
      <c r="AS224" s="1043"/>
      <c r="AT224" s="1043"/>
      <c r="AU224" s="1043"/>
      <c r="AV224" s="1043"/>
      <c r="AW224" s="1043"/>
      <c r="AX224" s="1043"/>
      <c r="AY224" s="1043"/>
      <c r="AZ224" s="1043"/>
      <c r="BA224" s="1043"/>
      <c r="BB224" s="1043"/>
      <c r="BC224" s="1043"/>
      <c r="BD224" s="1043"/>
      <c r="BE224" s="1043"/>
      <c r="BF224" s="1043"/>
      <c r="BG224" s="1043"/>
      <c r="BH224" s="1043"/>
      <c r="BI224" s="1043"/>
      <c r="BJ224" s="1038"/>
      <c r="BK224" s="139"/>
      <c r="BL224" s="139"/>
      <c r="BM224" s="139"/>
      <c r="BN224" s="139"/>
      <c r="BO224" s="1038"/>
      <c r="BP224" s="1038"/>
      <c r="BQ224" s="139"/>
      <c r="BR224" s="139"/>
      <c r="BS224" s="139"/>
      <c r="BT224" s="139"/>
      <c r="BU224" s="1038"/>
      <c r="BV224" s="1043"/>
      <c r="BW224" s="989"/>
      <c r="BX224" s="977"/>
      <c r="BY224" s="977"/>
      <c r="BZ224" s="977"/>
      <c r="CA224" s="977"/>
      <c r="CB224" s="977"/>
      <c r="CC224" s="977"/>
      <c r="CD224" s="977"/>
      <c r="CE224" s="977"/>
      <c r="CF224" s="977"/>
      <c r="CG224" s="977"/>
      <c r="CH224" s="980"/>
      <c r="CI224" s="1018"/>
      <c r="CJ224" s="989"/>
      <c r="CK224" s="977"/>
      <c r="CL224" s="977"/>
      <c r="CM224" s="977"/>
      <c r="CN224" s="977"/>
      <c r="CO224" s="977"/>
      <c r="CP224" s="977"/>
      <c r="CQ224" s="977"/>
      <c r="CR224" s="977"/>
      <c r="CS224" s="977"/>
      <c r="CT224" s="977"/>
      <c r="CU224" s="980"/>
      <c r="CV224" s="1018"/>
      <c r="CW224" s="989"/>
      <c r="CX224" s="977"/>
      <c r="CY224" s="977"/>
      <c r="CZ224" s="977"/>
      <c r="DA224" s="977"/>
      <c r="DB224" s="977"/>
      <c r="DC224" s="977"/>
      <c r="DD224" s="977"/>
      <c r="DE224" s="977"/>
      <c r="DF224" s="977"/>
      <c r="DG224" s="977"/>
      <c r="DH224" s="980"/>
      <c r="DI224" s="1018"/>
      <c r="DJ224" s="972"/>
      <c r="DK224" s="214"/>
    </row>
    <row r="225" spans="1:115" ht="15" customHeight="1" x14ac:dyDescent="0.25">
      <c r="A225" s="1048"/>
      <c r="B225" s="1068"/>
      <c r="C225" s="1069"/>
      <c r="D225" s="1070"/>
      <c r="E225" s="241" t="s">
        <v>191</v>
      </c>
      <c r="F225" s="147"/>
      <c r="G225" s="1073"/>
      <c r="H225" s="196"/>
      <c r="I225" s="1039"/>
      <c r="J225" s="1043"/>
      <c r="K225" s="1043"/>
      <c r="L225" s="1043"/>
      <c r="M225" s="1043"/>
      <c r="N225" s="1043"/>
      <c r="O225" s="1043"/>
      <c r="P225" s="1043"/>
      <c r="Q225" s="1043"/>
      <c r="R225" s="1043"/>
      <c r="S225" s="1043"/>
      <c r="T225" s="1043"/>
      <c r="U225" s="1043"/>
      <c r="V225" s="1043"/>
      <c r="W225" s="1043"/>
      <c r="X225" s="1043"/>
      <c r="Y225" s="1043"/>
      <c r="Z225" s="1043"/>
      <c r="AA225" s="1043"/>
      <c r="AB225" s="1043"/>
      <c r="AC225" s="1043"/>
      <c r="AD225" s="1043"/>
      <c r="AE225" s="1043"/>
      <c r="AF225" s="1043"/>
      <c r="AG225" s="1043"/>
      <c r="AH225" s="1043"/>
      <c r="AI225" s="1043"/>
      <c r="AJ225" s="1043"/>
      <c r="AK225" s="1043"/>
      <c r="AL225" s="1043"/>
      <c r="AM225" s="1043"/>
      <c r="AN225" s="1043"/>
      <c r="AO225" s="1043"/>
      <c r="AP225" s="1043"/>
      <c r="AQ225" s="1043"/>
      <c r="AR225" s="1043"/>
      <c r="AS225" s="1043"/>
      <c r="AT225" s="1043"/>
      <c r="AU225" s="1043"/>
      <c r="AV225" s="1043"/>
      <c r="AW225" s="1043"/>
      <c r="AX225" s="1043"/>
      <c r="AY225" s="1043"/>
      <c r="AZ225" s="1043"/>
      <c r="BA225" s="1043"/>
      <c r="BB225" s="1043"/>
      <c r="BC225" s="1043"/>
      <c r="BD225" s="1043"/>
      <c r="BE225" s="1043"/>
      <c r="BF225" s="1043"/>
      <c r="BG225" s="1043"/>
      <c r="BH225" s="1043"/>
      <c r="BI225" s="1043"/>
      <c r="BJ225" s="1039"/>
      <c r="BK225" s="139"/>
      <c r="BL225" s="139"/>
      <c r="BM225" s="139"/>
      <c r="BN225" s="139"/>
      <c r="BO225" s="1039"/>
      <c r="BP225" s="1039"/>
      <c r="BQ225" s="139"/>
      <c r="BR225" s="139"/>
      <c r="BS225" s="139"/>
      <c r="BT225" s="139"/>
      <c r="BU225" s="1039"/>
      <c r="BV225" s="1043"/>
      <c r="BW225" s="989"/>
      <c r="BX225" s="978"/>
      <c r="BY225" s="978"/>
      <c r="BZ225" s="978"/>
      <c r="CA225" s="978"/>
      <c r="CB225" s="978"/>
      <c r="CC225" s="978"/>
      <c r="CD225" s="978"/>
      <c r="CE225" s="978"/>
      <c r="CF225" s="978"/>
      <c r="CG225" s="978"/>
      <c r="CH225" s="981"/>
      <c r="CI225" s="1018"/>
      <c r="CJ225" s="990"/>
      <c r="CK225" s="978"/>
      <c r="CL225" s="978"/>
      <c r="CM225" s="978"/>
      <c r="CN225" s="978"/>
      <c r="CO225" s="978"/>
      <c r="CP225" s="978"/>
      <c r="CQ225" s="978"/>
      <c r="CR225" s="978"/>
      <c r="CS225" s="978"/>
      <c r="CT225" s="978"/>
      <c r="CU225" s="981"/>
      <c r="CV225" s="1018"/>
      <c r="CW225" s="989"/>
      <c r="CX225" s="977"/>
      <c r="CY225" s="977"/>
      <c r="CZ225" s="977"/>
      <c r="DA225" s="977"/>
      <c r="DB225" s="977"/>
      <c r="DC225" s="977"/>
      <c r="DD225" s="977"/>
      <c r="DE225" s="977"/>
      <c r="DF225" s="977"/>
      <c r="DG225" s="977"/>
      <c r="DH225" s="980"/>
      <c r="DI225" s="1018"/>
      <c r="DJ225" s="972"/>
      <c r="DK225" s="214"/>
    </row>
    <row r="226" spans="1:115" ht="15" customHeight="1" x14ac:dyDescent="0.25">
      <c r="A226" s="1048">
        <v>33</v>
      </c>
      <c r="B226" s="1068" t="s">
        <v>109</v>
      </c>
      <c r="C226" s="1069"/>
      <c r="D226" s="1070" t="s">
        <v>355</v>
      </c>
      <c r="E226" s="237" t="s">
        <v>340</v>
      </c>
      <c r="F226" s="149">
        <v>30</v>
      </c>
      <c r="G226" s="1071">
        <f>F226+F227+F228</f>
        <v>60</v>
      </c>
      <c r="H226" s="194"/>
      <c r="I226" s="1037"/>
      <c r="J226" s="1043"/>
      <c r="K226" s="1043"/>
      <c r="L226" s="1043"/>
      <c r="M226" s="1043"/>
      <c r="N226" s="1043"/>
      <c r="O226" s="1043"/>
      <c r="P226" s="1043"/>
      <c r="Q226" s="1043"/>
      <c r="R226" s="1043"/>
      <c r="S226" s="1043"/>
      <c r="T226" s="1043"/>
      <c r="U226" s="1043"/>
      <c r="V226" s="1043">
        <f>SUM(J226:U228)</f>
        <v>0</v>
      </c>
      <c r="W226" s="1043"/>
      <c r="X226" s="1043"/>
      <c r="Y226" s="1043"/>
      <c r="Z226" s="1043"/>
      <c r="AA226" s="1043"/>
      <c r="AB226" s="1043">
        <v>1</v>
      </c>
      <c r="AC226" s="1043"/>
      <c r="AD226" s="1043"/>
      <c r="AE226" s="1043"/>
      <c r="AF226" s="1043">
        <v>1</v>
      </c>
      <c r="AG226" s="1043"/>
      <c r="AH226" s="1043"/>
      <c r="AI226" s="1043"/>
      <c r="AJ226" s="1043"/>
      <c r="AK226" s="1043"/>
      <c r="AL226" s="1043"/>
      <c r="AM226" s="1043">
        <v>2</v>
      </c>
      <c r="AN226" s="1043"/>
      <c r="AO226" s="1043">
        <v>1</v>
      </c>
      <c r="AP226" s="1043">
        <v>1</v>
      </c>
      <c r="AQ226" s="1043"/>
      <c r="AR226" s="1043">
        <v>1</v>
      </c>
      <c r="AS226" s="1043">
        <v>1</v>
      </c>
      <c r="AT226" s="1043">
        <v>1</v>
      </c>
      <c r="AU226" s="1043">
        <v>1</v>
      </c>
      <c r="AV226" s="1043"/>
      <c r="AW226" s="1043">
        <v>2</v>
      </c>
      <c r="AX226" s="1043">
        <v>1</v>
      </c>
      <c r="AY226" s="1043"/>
      <c r="AZ226" s="1043">
        <v>1</v>
      </c>
      <c r="BA226" s="1043"/>
      <c r="BB226" s="1043"/>
      <c r="BC226" s="1043">
        <v>1</v>
      </c>
      <c r="BD226" s="1043"/>
      <c r="BE226" s="1043"/>
      <c r="BF226" s="1043"/>
      <c r="BG226" s="1043">
        <v>1</v>
      </c>
      <c r="BH226" s="1043"/>
      <c r="BI226" s="1043"/>
      <c r="BJ226" s="1037"/>
      <c r="BK226" s="137"/>
      <c r="BL226" s="137"/>
      <c r="BM226" s="137"/>
      <c r="BN226" s="137"/>
      <c r="BO226" s="1037"/>
      <c r="BP226" s="1037"/>
      <c r="BQ226" s="137"/>
      <c r="BR226" s="137"/>
      <c r="BS226" s="137"/>
      <c r="BT226" s="137"/>
      <c r="BU226" s="1037"/>
      <c r="BV226" s="1043">
        <f>SUM(BJ226:BU228)</f>
        <v>0</v>
      </c>
      <c r="BW226" s="1066"/>
      <c r="BX226" s="976"/>
      <c r="BY226" s="976"/>
      <c r="BZ226" s="976"/>
      <c r="CA226" s="976"/>
      <c r="CB226" s="976"/>
      <c r="CC226" s="976"/>
      <c r="CD226" s="976"/>
      <c r="CE226" s="988">
        <v>1</v>
      </c>
      <c r="CF226" s="976"/>
      <c r="CG226" s="976"/>
      <c r="CH226" s="979"/>
      <c r="CI226" s="1018">
        <f>SUM(BX226:CH228)</f>
        <v>1</v>
      </c>
      <c r="CJ226" s="988"/>
      <c r="CK226" s="976">
        <v>14</v>
      </c>
      <c r="CL226" s="976"/>
      <c r="CM226" s="976"/>
      <c r="CN226" s="976"/>
      <c r="CO226" s="976"/>
      <c r="CP226" s="976"/>
      <c r="CQ226" s="976"/>
      <c r="CR226" s="976"/>
      <c r="CS226" s="976"/>
      <c r="CT226" s="976"/>
      <c r="CU226" s="979"/>
      <c r="CV226" s="1063">
        <f>SUM(CJ226:CU228)</f>
        <v>14</v>
      </c>
      <c r="CW226" s="1060"/>
      <c r="CX226" s="1003"/>
      <c r="CY226" s="1003">
        <v>7</v>
      </c>
      <c r="CZ226" s="1003"/>
      <c r="DA226" s="1003"/>
      <c r="DB226" s="1003"/>
      <c r="DC226" s="1003"/>
      <c r="DD226" s="1003">
        <v>30</v>
      </c>
      <c r="DE226" s="1003">
        <v>2</v>
      </c>
      <c r="DF226" s="1003"/>
      <c r="DG226" s="1003"/>
      <c r="DH226" s="1057"/>
      <c r="DI226" s="1046">
        <f>SUM(CW226:DH228)</f>
        <v>39</v>
      </c>
      <c r="DJ226" s="971">
        <f>I226+V226+AI226+AV226+BI226+BV226+CI226+CV226+DI226</f>
        <v>54</v>
      </c>
      <c r="DK226" s="230">
        <f>H227-DJ226</f>
        <v>6</v>
      </c>
    </row>
    <row r="227" spans="1:115" ht="15" customHeight="1" x14ac:dyDescent="0.25">
      <c r="A227" s="1048"/>
      <c r="B227" s="1068"/>
      <c r="C227" s="1069"/>
      <c r="D227" s="1070"/>
      <c r="E227" s="238" t="s">
        <v>201</v>
      </c>
      <c r="F227" s="147">
        <v>30</v>
      </c>
      <c r="G227" s="1072"/>
      <c r="H227" s="228">
        <f>ROUNDDOWN(($H$2-D226)/365,0)*30</f>
        <v>60</v>
      </c>
      <c r="I227" s="1038"/>
      <c r="J227" s="1043"/>
      <c r="K227" s="1043"/>
      <c r="L227" s="1043"/>
      <c r="M227" s="1043"/>
      <c r="N227" s="1043"/>
      <c r="O227" s="1043"/>
      <c r="P227" s="1043"/>
      <c r="Q227" s="1043"/>
      <c r="R227" s="1043"/>
      <c r="S227" s="1043"/>
      <c r="T227" s="1043"/>
      <c r="U227" s="1043"/>
      <c r="V227" s="1043"/>
      <c r="W227" s="1043"/>
      <c r="X227" s="1043"/>
      <c r="Y227" s="1043"/>
      <c r="Z227" s="1043"/>
      <c r="AA227" s="1043"/>
      <c r="AB227" s="1043"/>
      <c r="AC227" s="1043"/>
      <c r="AD227" s="1043"/>
      <c r="AE227" s="1043"/>
      <c r="AF227" s="1043"/>
      <c r="AG227" s="1043"/>
      <c r="AH227" s="1043"/>
      <c r="AI227" s="1043"/>
      <c r="AJ227" s="1043"/>
      <c r="AK227" s="1043"/>
      <c r="AL227" s="1043"/>
      <c r="AM227" s="1043"/>
      <c r="AN227" s="1043"/>
      <c r="AO227" s="1043"/>
      <c r="AP227" s="1043"/>
      <c r="AQ227" s="1043"/>
      <c r="AR227" s="1043"/>
      <c r="AS227" s="1043"/>
      <c r="AT227" s="1043"/>
      <c r="AU227" s="1043"/>
      <c r="AV227" s="1043"/>
      <c r="AW227" s="1043"/>
      <c r="AX227" s="1043"/>
      <c r="AY227" s="1043"/>
      <c r="AZ227" s="1043"/>
      <c r="BA227" s="1043"/>
      <c r="BB227" s="1043"/>
      <c r="BC227" s="1043"/>
      <c r="BD227" s="1043"/>
      <c r="BE227" s="1043"/>
      <c r="BF227" s="1043"/>
      <c r="BG227" s="1043"/>
      <c r="BH227" s="1043"/>
      <c r="BI227" s="1043"/>
      <c r="BJ227" s="1038"/>
      <c r="BK227" s="139"/>
      <c r="BL227" s="139"/>
      <c r="BM227" s="139"/>
      <c r="BN227" s="139"/>
      <c r="BO227" s="1038"/>
      <c r="BP227" s="1038"/>
      <c r="BQ227" s="139"/>
      <c r="BR227" s="139"/>
      <c r="BS227" s="139"/>
      <c r="BT227" s="139"/>
      <c r="BU227" s="1038"/>
      <c r="BV227" s="1043"/>
      <c r="BW227" s="1066"/>
      <c r="BX227" s="977"/>
      <c r="BY227" s="977"/>
      <c r="BZ227" s="977"/>
      <c r="CA227" s="977"/>
      <c r="CB227" s="977"/>
      <c r="CC227" s="977"/>
      <c r="CD227" s="977"/>
      <c r="CE227" s="989"/>
      <c r="CF227" s="977"/>
      <c r="CG227" s="977"/>
      <c r="CH227" s="980"/>
      <c r="CI227" s="1018"/>
      <c r="CJ227" s="989"/>
      <c r="CK227" s="977"/>
      <c r="CL227" s="977"/>
      <c r="CM227" s="977"/>
      <c r="CN227" s="977"/>
      <c r="CO227" s="977"/>
      <c r="CP227" s="977"/>
      <c r="CQ227" s="977"/>
      <c r="CR227" s="977"/>
      <c r="CS227" s="977"/>
      <c r="CT227" s="977"/>
      <c r="CU227" s="980"/>
      <c r="CV227" s="1063"/>
      <c r="CW227" s="1061"/>
      <c r="CX227" s="977"/>
      <c r="CY227" s="977"/>
      <c r="CZ227" s="977"/>
      <c r="DA227" s="977"/>
      <c r="DB227" s="977"/>
      <c r="DC227" s="977"/>
      <c r="DD227" s="977"/>
      <c r="DE227" s="977"/>
      <c r="DF227" s="977"/>
      <c r="DG227" s="977"/>
      <c r="DH227" s="1058"/>
      <c r="DI227" s="1046"/>
      <c r="DJ227" s="972"/>
      <c r="DK227" s="214"/>
    </row>
    <row r="228" spans="1:115" ht="15" customHeight="1" x14ac:dyDescent="0.25">
      <c r="A228" s="1048"/>
      <c r="B228" s="982"/>
      <c r="C228" s="1069"/>
      <c r="D228" s="975"/>
      <c r="E228" s="241"/>
      <c r="F228" s="147"/>
      <c r="G228" s="1072"/>
      <c r="H228" s="195"/>
      <c r="I228" s="1038"/>
      <c r="J228" s="1043"/>
      <c r="K228" s="1043"/>
      <c r="L228" s="1043"/>
      <c r="M228" s="1043"/>
      <c r="N228" s="1043"/>
      <c r="O228" s="1043"/>
      <c r="P228" s="1043"/>
      <c r="Q228" s="1043"/>
      <c r="R228" s="1043"/>
      <c r="S228" s="1043"/>
      <c r="T228" s="1043"/>
      <c r="U228" s="1043"/>
      <c r="V228" s="1037"/>
      <c r="W228" s="1043"/>
      <c r="X228" s="1043"/>
      <c r="Y228" s="1043"/>
      <c r="Z228" s="1043"/>
      <c r="AA228" s="1043"/>
      <c r="AB228" s="1043"/>
      <c r="AC228" s="1043"/>
      <c r="AD228" s="1043"/>
      <c r="AE228" s="1043"/>
      <c r="AF228" s="1043"/>
      <c r="AG228" s="1043"/>
      <c r="AH228" s="1043"/>
      <c r="AI228" s="1037"/>
      <c r="AJ228" s="1043"/>
      <c r="AK228" s="1043"/>
      <c r="AL228" s="1043"/>
      <c r="AM228" s="1043"/>
      <c r="AN228" s="1043"/>
      <c r="AO228" s="1043"/>
      <c r="AP228" s="1043"/>
      <c r="AQ228" s="1043"/>
      <c r="AR228" s="1043"/>
      <c r="AS228" s="1043"/>
      <c r="AT228" s="1043"/>
      <c r="AU228" s="1043"/>
      <c r="AV228" s="1037"/>
      <c r="AW228" s="1043"/>
      <c r="AX228" s="1043"/>
      <c r="AY228" s="1043"/>
      <c r="AZ228" s="1043"/>
      <c r="BA228" s="1043"/>
      <c r="BB228" s="1043"/>
      <c r="BC228" s="1043"/>
      <c r="BD228" s="1043"/>
      <c r="BE228" s="1043"/>
      <c r="BF228" s="1043"/>
      <c r="BG228" s="1043"/>
      <c r="BH228" s="1043"/>
      <c r="BI228" s="1037"/>
      <c r="BJ228" s="1039"/>
      <c r="BK228" s="139"/>
      <c r="BL228" s="139"/>
      <c r="BM228" s="139"/>
      <c r="BN228" s="139"/>
      <c r="BO228" s="1039"/>
      <c r="BP228" s="1039"/>
      <c r="BQ228" s="139"/>
      <c r="BR228" s="139"/>
      <c r="BS228" s="139"/>
      <c r="BT228" s="139"/>
      <c r="BU228" s="1039"/>
      <c r="BV228" s="1037"/>
      <c r="BW228" s="1067"/>
      <c r="BX228" s="978"/>
      <c r="BY228" s="978"/>
      <c r="BZ228" s="978"/>
      <c r="CA228" s="978"/>
      <c r="CB228" s="978"/>
      <c r="CC228" s="978"/>
      <c r="CD228" s="978"/>
      <c r="CE228" s="990"/>
      <c r="CF228" s="978"/>
      <c r="CG228" s="978"/>
      <c r="CH228" s="981"/>
      <c r="CI228" s="1065"/>
      <c r="CJ228" s="990"/>
      <c r="CK228" s="978"/>
      <c r="CL228" s="978"/>
      <c r="CM228" s="978"/>
      <c r="CN228" s="978"/>
      <c r="CO228" s="978"/>
      <c r="CP228" s="978"/>
      <c r="CQ228" s="978"/>
      <c r="CR228" s="978"/>
      <c r="CS228" s="978"/>
      <c r="CT228" s="978"/>
      <c r="CU228" s="981"/>
      <c r="CV228" s="1064"/>
      <c r="CW228" s="1062"/>
      <c r="CX228" s="1004"/>
      <c r="CY228" s="1004"/>
      <c r="CZ228" s="1004"/>
      <c r="DA228" s="1004"/>
      <c r="DB228" s="1004"/>
      <c r="DC228" s="1004"/>
      <c r="DD228" s="1004"/>
      <c r="DE228" s="1004"/>
      <c r="DF228" s="1004"/>
      <c r="DG228" s="1004"/>
      <c r="DH228" s="1059"/>
      <c r="DI228" s="1047"/>
      <c r="DJ228" s="972"/>
      <c r="DK228" s="214"/>
    </row>
    <row r="229" spans="1:115" ht="15" customHeight="1" x14ac:dyDescent="0.25">
      <c r="A229" s="1048">
        <v>34</v>
      </c>
      <c r="B229" s="1049" t="s">
        <v>61</v>
      </c>
      <c r="C229" s="1052"/>
      <c r="D229" s="1053" t="s">
        <v>341</v>
      </c>
      <c r="E229" s="240" t="s">
        <v>354</v>
      </c>
      <c r="F229" s="164">
        <v>30</v>
      </c>
      <c r="G229" s="1054">
        <f>F229+F230+F231+F232+F233+F234</f>
        <v>180</v>
      </c>
      <c r="H229" s="190"/>
      <c r="I229" s="1034"/>
      <c r="J229" s="1045"/>
      <c r="K229" s="1043"/>
      <c r="L229" s="1043"/>
      <c r="M229" s="1043"/>
      <c r="N229" s="1043"/>
      <c r="O229" s="1043"/>
      <c r="P229" s="1043"/>
      <c r="Q229" s="1043"/>
      <c r="R229" s="1043"/>
      <c r="S229" s="1043"/>
      <c r="T229" s="1043"/>
      <c r="U229" s="1044"/>
      <c r="V229" s="1034">
        <f>SUM(J229:U233)</f>
        <v>0</v>
      </c>
      <c r="W229" s="1045"/>
      <c r="X229" s="1043"/>
      <c r="Y229" s="1043"/>
      <c r="Z229" s="1043"/>
      <c r="AA229" s="1043"/>
      <c r="AB229" s="1043"/>
      <c r="AC229" s="1043"/>
      <c r="AD229" s="1043"/>
      <c r="AE229" s="1043"/>
      <c r="AF229" s="1043">
        <v>1</v>
      </c>
      <c r="AG229" s="1043"/>
      <c r="AH229" s="1044">
        <v>4</v>
      </c>
      <c r="AI229" s="1034">
        <f>SUM(W229:AH233)</f>
        <v>5</v>
      </c>
      <c r="AJ229" s="1045"/>
      <c r="AK229" s="1043"/>
      <c r="AL229" s="1043">
        <v>2</v>
      </c>
      <c r="AM229" s="1043"/>
      <c r="AN229" s="1043">
        <v>2</v>
      </c>
      <c r="AO229" s="1043"/>
      <c r="AP229" s="1043">
        <v>1</v>
      </c>
      <c r="AQ229" s="1043"/>
      <c r="AR229" s="1043"/>
      <c r="AS229" s="1043"/>
      <c r="AT229" s="1043"/>
      <c r="AU229" s="1044">
        <v>15</v>
      </c>
      <c r="AV229" s="1034">
        <f>SUM(AJ229:AU233)</f>
        <v>20</v>
      </c>
      <c r="AW229" s="1045"/>
      <c r="AX229" s="1043">
        <v>3</v>
      </c>
      <c r="AY229" s="1043"/>
      <c r="AZ229" s="1043">
        <v>2</v>
      </c>
      <c r="BA229" s="1043"/>
      <c r="BB229" s="1043"/>
      <c r="BC229" s="1043"/>
      <c r="BD229" s="1043"/>
      <c r="BE229" s="1043"/>
      <c r="BF229" s="1043">
        <v>7</v>
      </c>
      <c r="BG229" s="1043">
        <v>2</v>
      </c>
      <c r="BH229" s="1044">
        <v>11</v>
      </c>
      <c r="BI229" s="1034">
        <f>SUM(AW229:BH233)</f>
        <v>25</v>
      </c>
      <c r="BJ229" s="1040"/>
      <c r="BK229" s="1037"/>
      <c r="BL229" s="1037"/>
      <c r="BM229" s="1037"/>
      <c r="BN229" s="1037">
        <v>1</v>
      </c>
      <c r="BO229" s="1037"/>
      <c r="BP229" s="1037">
        <v>7</v>
      </c>
      <c r="BQ229" s="1037"/>
      <c r="BR229" s="1037"/>
      <c r="BS229" s="1037">
        <v>2</v>
      </c>
      <c r="BT229" s="1037"/>
      <c r="BU229" s="1031">
        <v>15</v>
      </c>
      <c r="BV229" s="1034">
        <f>SUM(BJ229:BU233)</f>
        <v>25</v>
      </c>
      <c r="BW229" s="1028"/>
      <c r="BX229" s="976"/>
      <c r="BY229" s="976">
        <v>7</v>
      </c>
      <c r="BZ229" s="976"/>
      <c r="CA229" s="976">
        <v>1</v>
      </c>
      <c r="CB229" s="976"/>
      <c r="CC229" s="976"/>
      <c r="CD229" s="976">
        <v>3</v>
      </c>
      <c r="CE229" s="976"/>
      <c r="CF229" s="976"/>
      <c r="CG229" s="976"/>
      <c r="CH229" s="1011">
        <v>2</v>
      </c>
      <c r="CI229" s="1014">
        <f>SUM(BW229:CH233)</f>
        <v>13</v>
      </c>
      <c r="CJ229" s="1028"/>
      <c r="CK229" s="976"/>
      <c r="CL229" s="976">
        <v>2</v>
      </c>
      <c r="CM229" s="976"/>
      <c r="CN229" s="976"/>
      <c r="CO229" s="976"/>
      <c r="CP229" s="976"/>
      <c r="CQ229" s="976"/>
      <c r="CR229" s="976">
        <v>7</v>
      </c>
      <c r="CS229" s="976"/>
      <c r="CT229" s="976"/>
      <c r="CU229" s="1011"/>
      <c r="CV229" s="1014">
        <f>SUM(CJ229:CU233)</f>
        <v>9</v>
      </c>
      <c r="CW229" s="1088"/>
      <c r="CX229" s="994"/>
      <c r="CY229" s="994"/>
      <c r="CZ229" s="994"/>
      <c r="DA229" s="994"/>
      <c r="DB229" s="994"/>
      <c r="DC229" s="994"/>
      <c r="DD229" s="994"/>
      <c r="DE229" s="994"/>
      <c r="DF229" s="994"/>
      <c r="DG229" s="994"/>
      <c r="DH229" s="991"/>
      <c r="DI229" s="1022">
        <f>SUM(CW229:DH233)</f>
        <v>0</v>
      </c>
      <c r="DJ229" s="1025">
        <f>AI229+AV229+BI229+BV229+CI229+CV229</f>
        <v>97</v>
      </c>
      <c r="DK229" s="233">
        <f>H231-DJ229</f>
        <v>83</v>
      </c>
    </row>
    <row r="230" spans="1:115" ht="15" customHeight="1" x14ac:dyDescent="0.25">
      <c r="A230" s="1048"/>
      <c r="B230" s="1050"/>
      <c r="C230" s="1052"/>
      <c r="D230" s="1053"/>
      <c r="E230" s="166" t="s">
        <v>342</v>
      </c>
      <c r="F230" s="144">
        <v>30</v>
      </c>
      <c r="G230" s="1055"/>
      <c r="H230" s="191"/>
      <c r="I230" s="1035"/>
      <c r="J230" s="1045"/>
      <c r="K230" s="1043"/>
      <c r="L230" s="1043"/>
      <c r="M230" s="1043"/>
      <c r="N230" s="1043"/>
      <c r="O230" s="1043"/>
      <c r="P230" s="1043"/>
      <c r="Q230" s="1043"/>
      <c r="R230" s="1043"/>
      <c r="S230" s="1043"/>
      <c r="T230" s="1043"/>
      <c r="U230" s="1044"/>
      <c r="V230" s="1035"/>
      <c r="W230" s="1045"/>
      <c r="X230" s="1043"/>
      <c r="Y230" s="1043"/>
      <c r="Z230" s="1043"/>
      <c r="AA230" s="1043"/>
      <c r="AB230" s="1043"/>
      <c r="AC230" s="1043"/>
      <c r="AD230" s="1043"/>
      <c r="AE230" s="1043"/>
      <c r="AF230" s="1043"/>
      <c r="AG230" s="1043"/>
      <c r="AH230" s="1044"/>
      <c r="AI230" s="1035"/>
      <c r="AJ230" s="1045"/>
      <c r="AK230" s="1043"/>
      <c r="AL230" s="1043"/>
      <c r="AM230" s="1043"/>
      <c r="AN230" s="1043"/>
      <c r="AO230" s="1043"/>
      <c r="AP230" s="1043"/>
      <c r="AQ230" s="1043"/>
      <c r="AR230" s="1043"/>
      <c r="AS230" s="1043"/>
      <c r="AT230" s="1043"/>
      <c r="AU230" s="1044"/>
      <c r="AV230" s="1035"/>
      <c r="AW230" s="1045"/>
      <c r="AX230" s="1043"/>
      <c r="AY230" s="1043"/>
      <c r="AZ230" s="1043"/>
      <c r="BA230" s="1043"/>
      <c r="BB230" s="1043"/>
      <c r="BC230" s="1043"/>
      <c r="BD230" s="1043"/>
      <c r="BE230" s="1043"/>
      <c r="BF230" s="1043"/>
      <c r="BG230" s="1043"/>
      <c r="BH230" s="1044"/>
      <c r="BI230" s="1035"/>
      <c r="BJ230" s="1041"/>
      <c r="BK230" s="1038"/>
      <c r="BL230" s="1038"/>
      <c r="BM230" s="1038"/>
      <c r="BN230" s="1038"/>
      <c r="BO230" s="1038"/>
      <c r="BP230" s="1038"/>
      <c r="BQ230" s="1038"/>
      <c r="BR230" s="1038"/>
      <c r="BS230" s="1038"/>
      <c r="BT230" s="1038"/>
      <c r="BU230" s="1032"/>
      <c r="BV230" s="1035"/>
      <c r="BW230" s="1029"/>
      <c r="BX230" s="977"/>
      <c r="BY230" s="977"/>
      <c r="BZ230" s="977"/>
      <c r="CA230" s="977"/>
      <c r="CB230" s="977"/>
      <c r="CC230" s="977"/>
      <c r="CD230" s="977"/>
      <c r="CE230" s="977"/>
      <c r="CF230" s="977"/>
      <c r="CG230" s="977"/>
      <c r="CH230" s="1012"/>
      <c r="CI230" s="1015"/>
      <c r="CJ230" s="1029"/>
      <c r="CK230" s="977"/>
      <c r="CL230" s="977"/>
      <c r="CM230" s="977"/>
      <c r="CN230" s="977"/>
      <c r="CO230" s="977"/>
      <c r="CP230" s="977"/>
      <c r="CQ230" s="977"/>
      <c r="CR230" s="977"/>
      <c r="CS230" s="977"/>
      <c r="CT230" s="977"/>
      <c r="CU230" s="1012"/>
      <c r="CV230" s="1015"/>
      <c r="CW230" s="1089"/>
      <c r="CX230" s="995"/>
      <c r="CY230" s="995"/>
      <c r="CZ230" s="995"/>
      <c r="DA230" s="995"/>
      <c r="DB230" s="995"/>
      <c r="DC230" s="995"/>
      <c r="DD230" s="995"/>
      <c r="DE230" s="995"/>
      <c r="DF230" s="995"/>
      <c r="DG230" s="995"/>
      <c r="DH230" s="992"/>
      <c r="DI230" s="1023"/>
      <c r="DJ230" s="1026"/>
      <c r="DK230" s="202"/>
    </row>
    <row r="231" spans="1:115" ht="15" customHeight="1" x14ac:dyDescent="0.25">
      <c r="A231" s="1048"/>
      <c r="B231" s="1050"/>
      <c r="C231" s="1052"/>
      <c r="D231" s="1053"/>
      <c r="E231" s="166" t="s">
        <v>343</v>
      </c>
      <c r="F231" s="144">
        <v>30</v>
      </c>
      <c r="G231" s="1055"/>
      <c r="H231" s="228">
        <f>ROUNDDOWN(($H$2-D229)/365,0)*30</f>
        <v>180</v>
      </c>
      <c r="I231" s="1035"/>
      <c r="J231" s="1045"/>
      <c r="K231" s="1043"/>
      <c r="L231" s="1043"/>
      <c r="M231" s="1043"/>
      <c r="N231" s="1043"/>
      <c r="O231" s="1043"/>
      <c r="P231" s="1043"/>
      <c r="Q231" s="1043"/>
      <c r="R231" s="1043"/>
      <c r="S231" s="1043"/>
      <c r="T231" s="1043"/>
      <c r="U231" s="1044"/>
      <c r="V231" s="1035"/>
      <c r="W231" s="1045"/>
      <c r="X231" s="1043"/>
      <c r="Y231" s="1043"/>
      <c r="Z231" s="1043"/>
      <c r="AA231" s="1043"/>
      <c r="AB231" s="1043"/>
      <c r="AC231" s="1043"/>
      <c r="AD231" s="1043"/>
      <c r="AE231" s="1043"/>
      <c r="AF231" s="1043"/>
      <c r="AG231" s="1043"/>
      <c r="AH231" s="1044"/>
      <c r="AI231" s="1035"/>
      <c r="AJ231" s="1045"/>
      <c r="AK231" s="1043"/>
      <c r="AL231" s="1043"/>
      <c r="AM231" s="1043"/>
      <c r="AN231" s="1043"/>
      <c r="AO231" s="1043"/>
      <c r="AP231" s="1043"/>
      <c r="AQ231" s="1043"/>
      <c r="AR231" s="1043"/>
      <c r="AS231" s="1043"/>
      <c r="AT231" s="1043"/>
      <c r="AU231" s="1044"/>
      <c r="AV231" s="1035"/>
      <c r="AW231" s="1045"/>
      <c r="AX231" s="1043"/>
      <c r="AY231" s="1043"/>
      <c r="AZ231" s="1043"/>
      <c r="BA231" s="1043"/>
      <c r="BB231" s="1043"/>
      <c r="BC231" s="1043"/>
      <c r="BD231" s="1043"/>
      <c r="BE231" s="1043"/>
      <c r="BF231" s="1043"/>
      <c r="BG231" s="1043"/>
      <c r="BH231" s="1044"/>
      <c r="BI231" s="1035"/>
      <c r="BJ231" s="1041"/>
      <c r="BK231" s="1038"/>
      <c r="BL231" s="1038"/>
      <c r="BM231" s="1038"/>
      <c r="BN231" s="1038"/>
      <c r="BO231" s="1038"/>
      <c r="BP231" s="1038"/>
      <c r="BQ231" s="1038"/>
      <c r="BR231" s="1038"/>
      <c r="BS231" s="1038"/>
      <c r="BT231" s="1038"/>
      <c r="BU231" s="1032"/>
      <c r="BV231" s="1035"/>
      <c r="BW231" s="1029"/>
      <c r="BX231" s="977"/>
      <c r="BY231" s="977"/>
      <c r="BZ231" s="977"/>
      <c r="CA231" s="977"/>
      <c r="CB231" s="977"/>
      <c r="CC231" s="977"/>
      <c r="CD231" s="977"/>
      <c r="CE231" s="977"/>
      <c r="CF231" s="977"/>
      <c r="CG231" s="977"/>
      <c r="CH231" s="1012"/>
      <c r="CI231" s="1015"/>
      <c r="CJ231" s="1029"/>
      <c r="CK231" s="977"/>
      <c r="CL231" s="977"/>
      <c r="CM231" s="977"/>
      <c r="CN231" s="977"/>
      <c r="CO231" s="977"/>
      <c r="CP231" s="977"/>
      <c r="CQ231" s="977"/>
      <c r="CR231" s="977"/>
      <c r="CS231" s="977"/>
      <c r="CT231" s="977"/>
      <c r="CU231" s="1012"/>
      <c r="CV231" s="1015"/>
      <c r="CW231" s="1089"/>
      <c r="CX231" s="995"/>
      <c r="CY231" s="995"/>
      <c r="CZ231" s="995"/>
      <c r="DA231" s="995"/>
      <c r="DB231" s="995"/>
      <c r="DC231" s="995"/>
      <c r="DD231" s="995"/>
      <c r="DE231" s="995"/>
      <c r="DF231" s="995"/>
      <c r="DG231" s="995"/>
      <c r="DH231" s="992"/>
      <c r="DI231" s="1023"/>
      <c r="DJ231" s="1026"/>
      <c r="DK231" s="202"/>
    </row>
    <row r="232" spans="1:115" ht="15" customHeight="1" x14ac:dyDescent="0.25">
      <c r="A232" s="1048"/>
      <c r="B232" s="1050"/>
      <c r="C232" s="1052"/>
      <c r="D232" s="1053"/>
      <c r="E232" s="167" t="s">
        <v>260</v>
      </c>
      <c r="F232" s="144">
        <v>30</v>
      </c>
      <c r="G232" s="1055"/>
      <c r="H232" s="191"/>
      <c r="I232" s="1035"/>
      <c r="J232" s="1045"/>
      <c r="K232" s="1043"/>
      <c r="L232" s="1043"/>
      <c r="M232" s="1043"/>
      <c r="N232" s="1043"/>
      <c r="O232" s="1043"/>
      <c r="P232" s="1043"/>
      <c r="Q232" s="1043"/>
      <c r="R232" s="1043"/>
      <c r="S232" s="1043"/>
      <c r="T232" s="1043"/>
      <c r="U232" s="1044"/>
      <c r="V232" s="1035"/>
      <c r="W232" s="1045"/>
      <c r="X232" s="1043"/>
      <c r="Y232" s="1043"/>
      <c r="Z232" s="1043"/>
      <c r="AA232" s="1043"/>
      <c r="AB232" s="1043"/>
      <c r="AC232" s="1043"/>
      <c r="AD232" s="1043"/>
      <c r="AE232" s="1043"/>
      <c r="AF232" s="1043"/>
      <c r="AG232" s="1043"/>
      <c r="AH232" s="1044"/>
      <c r="AI232" s="1035"/>
      <c r="AJ232" s="1045"/>
      <c r="AK232" s="1043"/>
      <c r="AL232" s="1043"/>
      <c r="AM232" s="1043"/>
      <c r="AN232" s="1043"/>
      <c r="AO232" s="1043"/>
      <c r="AP232" s="1043"/>
      <c r="AQ232" s="1043"/>
      <c r="AR232" s="1043"/>
      <c r="AS232" s="1043"/>
      <c r="AT232" s="1043"/>
      <c r="AU232" s="1044"/>
      <c r="AV232" s="1035"/>
      <c r="AW232" s="1045"/>
      <c r="AX232" s="1043"/>
      <c r="AY232" s="1043"/>
      <c r="AZ232" s="1043"/>
      <c r="BA232" s="1043"/>
      <c r="BB232" s="1043"/>
      <c r="BC232" s="1043"/>
      <c r="BD232" s="1043"/>
      <c r="BE232" s="1043"/>
      <c r="BF232" s="1043"/>
      <c r="BG232" s="1043"/>
      <c r="BH232" s="1044"/>
      <c r="BI232" s="1035"/>
      <c r="BJ232" s="1041"/>
      <c r="BK232" s="1038"/>
      <c r="BL232" s="1038"/>
      <c r="BM232" s="1038"/>
      <c r="BN232" s="1038"/>
      <c r="BO232" s="1038"/>
      <c r="BP232" s="1038"/>
      <c r="BQ232" s="1038"/>
      <c r="BR232" s="1038"/>
      <c r="BS232" s="1038"/>
      <c r="BT232" s="1038"/>
      <c r="BU232" s="1032"/>
      <c r="BV232" s="1035"/>
      <c r="BW232" s="1029"/>
      <c r="BX232" s="977"/>
      <c r="BY232" s="977"/>
      <c r="BZ232" s="977"/>
      <c r="CA232" s="977"/>
      <c r="CB232" s="977"/>
      <c r="CC232" s="977"/>
      <c r="CD232" s="977"/>
      <c r="CE232" s="977"/>
      <c r="CF232" s="977"/>
      <c r="CG232" s="977"/>
      <c r="CH232" s="1012"/>
      <c r="CI232" s="1015"/>
      <c r="CJ232" s="1029"/>
      <c r="CK232" s="977"/>
      <c r="CL232" s="977"/>
      <c r="CM232" s="977"/>
      <c r="CN232" s="977"/>
      <c r="CO232" s="977"/>
      <c r="CP232" s="977"/>
      <c r="CQ232" s="977"/>
      <c r="CR232" s="977"/>
      <c r="CS232" s="977"/>
      <c r="CT232" s="977"/>
      <c r="CU232" s="1012"/>
      <c r="CV232" s="1015"/>
      <c r="CW232" s="1089"/>
      <c r="CX232" s="995"/>
      <c r="CY232" s="995"/>
      <c r="CZ232" s="995"/>
      <c r="DA232" s="995"/>
      <c r="DB232" s="995"/>
      <c r="DC232" s="995"/>
      <c r="DD232" s="995"/>
      <c r="DE232" s="995"/>
      <c r="DF232" s="995"/>
      <c r="DG232" s="995"/>
      <c r="DH232" s="992"/>
      <c r="DI232" s="1023"/>
      <c r="DJ232" s="1026"/>
      <c r="DK232" s="202"/>
    </row>
    <row r="233" spans="1:115" ht="15" customHeight="1" x14ac:dyDescent="0.25">
      <c r="A233" s="1048"/>
      <c r="B233" s="1050"/>
      <c r="C233" s="1052"/>
      <c r="D233" s="1053"/>
      <c r="E233" s="167" t="s">
        <v>261</v>
      </c>
      <c r="F233" s="144">
        <v>30</v>
      </c>
      <c r="G233" s="1055"/>
      <c r="H233" s="191"/>
      <c r="I233" s="1035"/>
      <c r="J233" s="1045"/>
      <c r="K233" s="1043"/>
      <c r="L233" s="1043"/>
      <c r="M233" s="1043"/>
      <c r="N233" s="1043"/>
      <c r="O233" s="1043"/>
      <c r="P233" s="1043"/>
      <c r="Q233" s="1043"/>
      <c r="R233" s="1043"/>
      <c r="S233" s="1043"/>
      <c r="T233" s="1043"/>
      <c r="U233" s="1044"/>
      <c r="V233" s="1035"/>
      <c r="W233" s="1045"/>
      <c r="X233" s="1043"/>
      <c r="Y233" s="1043"/>
      <c r="Z233" s="1043"/>
      <c r="AA233" s="1043"/>
      <c r="AB233" s="1043"/>
      <c r="AC233" s="1043"/>
      <c r="AD233" s="1043"/>
      <c r="AE233" s="1043"/>
      <c r="AF233" s="1043"/>
      <c r="AG233" s="1043"/>
      <c r="AH233" s="1044"/>
      <c r="AI233" s="1035"/>
      <c r="AJ233" s="1045"/>
      <c r="AK233" s="1043"/>
      <c r="AL233" s="1043"/>
      <c r="AM233" s="1043"/>
      <c r="AN233" s="1043"/>
      <c r="AO233" s="1043"/>
      <c r="AP233" s="1043"/>
      <c r="AQ233" s="1043"/>
      <c r="AR233" s="1043"/>
      <c r="AS233" s="1043"/>
      <c r="AT233" s="1043"/>
      <c r="AU233" s="1044"/>
      <c r="AV233" s="1035"/>
      <c r="AW233" s="1045"/>
      <c r="AX233" s="1043"/>
      <c r="AY233" s="1043"/>
      <c r="AZ233" s="1043"/>
      <c r="BA233" s="1043"/>
      <c r="BB233" s="1043"/>
      <c r="BC233" s="1043"/>
      <c r="BD233" s="1043"/>
      <c r="BE233" s="1043"/>
      <c r="BF233" s="1043"/>
      <c r="BG233" s="1043"/>
      <c r="BH233" s="1044"/>
      <c r="BI233" s="1035"/>
      <c r="BJ233" s="1042"/>
      <c r="BK233" s="1039"/>
      <c r="BL233" s="1039"/>
      <c r="BM233" s="1039"/>
      <c r="BN233" s="1039"/>
      <c r="BO233" s="1039"/>
      <c r="BP233" s="1039"/>
      <c r="BQ233" s="1039"/>
      <c r="BR233" s="1039"/>
      <c r="BS233" s="1039"/>
      <c r="BT233" s="1039"/>
      <c r="BU233" s="1033"/>
      <c r="BV233" s="1035"/>
      <c r="BW233" s="1030"/>
      <c r="BX233" s="978"/>
      <c r="BY233" s="978"/>
      <c r="BZ233" s="978"/>
      <c r="CA233" s="978"/>
      <c r="CB233" s="978"/>
      <c r="CC233" s="978"/>
      <c r="CD233" s="978"/>
      <c r="CE233" s="978"/>
      <c r="CF233" s="978"/>
      <c r="CG233" s="978"/>
      <c r="CH233" s="1013"/>
      <c r="CI233" s="1015"/>
      <c r="CJ233" s="1030"/>
      <c r="CK233" s="978"/>
      <c r="CL233" s="978"/>
      <c r="CM233" s="978"/>
      <c r="CN233" s="978"/>
      <c r="CO233" s="978"/>
      <c r="CP233" s="978"/>
      <c r="CQ233" s="978"/>
      <c r="CR233" s="978"/>
      <c r="CS233" s="978"/>
      <c r="CT233" s="978"/>
      <c r="CU233" s="1013"/>
      <c r="CV233" s="1015"/>
      <c r="CW233" s="1089"/>
      <c r="CX233" s="995"/>
      <c r="CY233" s="995"/>
      <c r="CZ233" s="995"/>
      <c r="DA233" s="995"/>
      <c r="DB233" s="995"/>
      <c r="DC233" s="995"/>
      <c r="DD233" s="995"/>
      <c r="DE233" s="995"/>
      <c r="DF233" s="995"/>
      <c r="DG233" s="995"/>
      <c r="DH233" s="992"/>
      <c r="DI233" s="1023"/>
      <c r="DJ233" s="1026"/>
      <c r="DK233" s="202"/>
    </row>
    <row r="234" spans="1:115" x14ac:dyDescent="0.25">
      <c r="B234" s="1051"/>
      <c r="C234" s="220"/>
      <c r="D234" s="1053"/>
      <c r="E234" s="168" t="s">
        <v>344</v>
      </c>
      <c r="F234" s="145">
        <v>30</v>
      </c>
      <c r="G234" s="1056"/>
      <c r="H234" s="192"/>
      <c r="I234" s="1036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1036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1036"/>
      <c r="AJ234" s="220"/>
      <c r="AK234" s="220"/>
      <c r="AL234" s="220"/>
      <c r="AM234" s="220"/>
      <c r="AN234" s="220"/>
      <c r="AO234" s="220"/>
      <c r="AP234" s="220"/>
      <c r="AQ234" s="220"/>
      <c r="AR234" s="220"/>
      <c r="AS234" s="220"/>
      <c r="AT234" s="220"/>
      <c r="AU234" s="220"/>
      <c r="AV234" s="1036"/>
      <c r="AW234" s="220"/>
      <c r="AX234" s="220"/>
      <c r="AY234" s="220"/>
      <c r="AZ234" s="220"/>
      <c r="BA234" s="220"/>
      <c r="BB234" s="220"/>
      <c r="BC234" s="220"/>
      <c r="BD234" s="220"/>
      <c r="BE234" s="220"/>
      <c r="BF234" s="220"/>
      <c r="BG234" s="220"/>
      <c r="BH234" s="220"/>
      <c r="BI234" s="1036"/>
      <c r="BJ234" s="220"/>
      <c r="BK234" s="220"/>
      <c r="BL234" s="220"/>
      <c r="BM234" s="220"/>
      <c r="BN234" s="220"/>
      <c r="BO234" s="220"/>
      <c r="BP234" s="220"/>
      <c r="BQ234" s="220"/>
      <c r="BR234" s="220"/>
      <c r="BS234" s="220"/>
      <c r="BT234" s="220"/>
      <c r="BU234" s="220"/>
      <c r="BV234" s="1036"/>
      <c r="BW234" s="220"/>
      <c r="BX234" s="220"/>
      <c r="BY234" s="220"/>
      <c r="BZ234" s="220"/>
      <c r="CA234" s="220"/>
      <c r="CB234" s="220"/>
      <c r="CC234" s="220"/>
      <c r="CD234" s="220"/>
      <c r="CE234" s="220"/>
      <c r="CF234" s="220"/>
      <c r="CG234" s="220"/>
      <c r="CH234" s="220"/>
      <c r="CI234" s="1016"/>
      <c r="CJ234" s="220"/>
      <c r="CK234" s="220"/>
      <c r="CL234" s="220"/>
      <c r="CM234" s="220"/>
      <c r="CN234" s="220"/>
      <c r="CO234" s="220"/>
      <c r="CP234" s="220"/>
      <c r="CQ234" s="220"/>
      <c r="CR234" s="220"/>
      <c r="CS234" s="220"/>
      <c r="CT234" s="220"/>
      <c r="CU234" s="220"/>
      <c r="CV234" s="1016"/>
      <c r="CW234" s="1090"/>
      <c r="CX234" s="996"/>
      <c r="CY234" s="996"/>
      <c r="CZ234" s="996"/>
      <c r="DA234" s="996"/>
      <c r="DB234" s="996"/>
      <c r="DC234" s="996"/>
      <c r="DD234" s="996"/>
      <c r="DE234" s="996"/>
      <c r="DF234" s="996"/>
      <c r="DG234" s="996"/>
      <c r="DH234" s="993"/>
      <c r="DI234" s="1024"/>
      <c r="DJ234" s="1027"/>
      <c r="DK234" s="203"/>
    </row>
    <row r="235" spans="1:115" ht="24.75" customHeight="1" x14ac:dyDescent="0.25">
      <c r="BV235" s="128"/>
    </row>
    <row r="236" spans="1:115" ht="24.75" customHeight="1" x14ac:dyDescent="0.25">
      <c r="V236" s="128"/>
    </row>
    <row r="237" spans="1:115" ht="24.75" customHeight="1" x14ac:dyDescent="0.25"/>
    <row r="238" spans="1:115" ht="24.75" customHeight="1" x14ac:dyDescent="0.25">
      <c r="V238" s="128"/>
    </row>
    <row r="239" spans="1:115" ht="24.75" customHeight="1" x14ac:dyDescent="0.25">
      <c r="V239" s="128"/>
    </row>
  </sheetData>
  <mergeCells count="3779">
    <mergeCell ref="B1:DK1"/>
    <mergeCell ref="B2:B4"/>
    <mergeCell ref="C2:C4"/>
    <mergeCell ref="D2:D4"/>
    <mergeCell ref="E2:E4"/>
    <mergeCell ref="F2:F4"/>
    <mergeCell ref="G2:G4"/>
    <mergeCell ref="I2:I4"/>
    <mergeCell ref="J2:U3"/>
    <mergeCell ref="V2:V4"/>
    <mergeCell ref="AZ5:AZ8"/>
    <mergeCell ref="BA5:BA8"/>
    <mergeCell ref="BB5:BB8"/>
    <mergeCell ref="BC5:BC8"/>
    <mergeCell ref="BD5:BD8"/>
    <mergeCell ref="BE5:BE8"/>
    <mergeCell ref="V5:V8"/>
    <mergeCell ref="AI5:AI8"/>
    <mergeCell ref="AV5:AV8"/>
    <mergeCell ref="AW5:AW8"/>
    <mergeCell ref="AX5:AX8"/>
    <mergeCell ref="AY5:AY8"/>
    <mergeCell ref="CW2:DH3"/>
    <mergeCell ref="DI2:DI4"/>
    <mergeCell ref="DJ2:DJ4"/>
    <mergeCell ref="DK2:DK4"/>
    <mergeCell ref="BJ2:BU3"/>
    <mergeCell ref="BV2:BV4"/>
    <mergeCell ref="BW2:CH3"/>
    <mergeCell ref="CI2:CI4"/>
    <mergeCell ref="CJ2:CU3"/>
    <mergeCell ref="CV2:CV4"/>
    <mergeCell ref="W2:AH3"/>
    <mergeCell ref="AI2:AI4"/>
    <mergeCell ref="AJ2:AU3"/>
    <mergeCell ref="AV2:AV4"/>
    <mergeCell ref="AW2:BH3"/>
    <mergeCell ref="BI2:BI4"/>
    <mergeCell ref="CC5:CC8"/>
    <mergeCell ref="CE5:CE8"/>
    <mergeCell ref="CF5:CF8"/>
    <mergeCell ref="CG5:CG8"/>
    <mergeCell ref="BR5:BR8"/>
    <mergeCell ref="BS5:BS8"/>
    <mergeCell ref="BT5:BT8"/>
    <mergeCell ref="BU5:BU8"/>
    <mergeCell ref="BV5:BV8"/>
    <mergeCell ref="BW5:BW8"/>
    <mergeCell ref="BL5:BL8"/>
    <mergeCell ref="BM5:BM8"/>
    <mergeCell ref="BN5:BN8"/>
    <mergeCell ref="BO5:BO8"/>
    <mergeCell ref="BP5:BP8"/>
    <mergeCell ref="BQ5:BQ8"/>
    <mergeCell ref="BF5:BF8"/>
    <mergeCell ref="BG5:BG8"/>
    <mergeCell ref="BH5:BH8"/>
    <mergeCell ref="BI5:BI8"/>
    <mergeCell ref="BJ5:BJ8"/>
    <mergeCell ref="BK5:BK8"/>
    <mergeCell ref="DI5:DI8"/>
    <mergeCell ref="A9:A11"/>
    <mergeCell ref="B9:B11"/>
    <mergeCell ref="C9:C11"/>
    <mergeCell ref="D9:D11"/>
    <mergeCell ref="G9:G11"/>
    <mergeCell ref="CZ5:CZ8"/>
    <mergeCell ref="DA5:DA8"/>
    <mergeCell ref="DB5:DB8"/>
    <mergeCell ref="DC5:DC8"/>
    <mergeCell ref="DD5:DD8"/>
    <mergeCell ref="DE5:DE8"/>
    <mergeCell ref="CT5:CT8"/>
    <mergeCell ref="CU5:CU8"/>
    <mergeCell ref="CV5:CV8"/>
    <mergeCell ref="CW5:CW8"/>
    <mergeCell ref="CX5:CX8"/>
    <mergeCell ref="CY5:CY8"/>
    <mergeCell ref="CN5:CN8"/>
    <mergeCell ref="CO5:CO8"/>
    <mergeCell ref="CP5:CP8"/>
    <mergeCell ref="CQ5:CQ8"/>
    <mergeCell ref="CR5:CR8"/>
    <mergeCell ref="CS5:CS8"/>
    <mergeCell ref="CH5:CH8"/>
    <mergeCell ref="CI5:CI8"/>
    <mergeCell ref="CJ5:CJ8"/>
    <mergeCell ref="CK5:CK8"/>
    <mergeCell ref="CL5:CL8"/>
    <mergeCell ref="CM5:CM8"/>
    <mergeCell ref="BY5:BY8"/>
    <mergeCell ref="CB5:CB8"/>
    <mergeCell ref="BX9:BX11"/>
    <mergeCell ref="BY9:BY11"/>
    <mergeCell ref="BZ9:BZ11"/>
    <mergeCell ref="BE9:BE11"/>
    <mergeCell ref="BF9:BF11"/>
    <mergeCell ref="BG9:BG11"/>
    <mergeCell ref="BH9:BH11"/>
    <mergeCell ref="BI9:BI11"/>
    <mergeCell ref="BS9:BS11"/>
    <mergeCell ref="AY9:AY11"/>
    <mergeCell ref="AZ9:AZ11"/>
    <mergeCell ref="BA9:BA11"/>
    <mergeCell ref="BB9:BB11"/>
    <mergeCell ref="BC9:BC11"/>
    <mergeCell ref="BD9:BD11"/>
    <mergeCell ref="I9:I11"/>
    <mergeCell ref="V9:V11"/>
    <mergeCell ref="AI9:AI11"/>
    <mergeCell ref="AV9:AV11"/>
    <mergeCell ref="AW9:AW11"/>
    <mergeCell ref="AX9:AX11"/>
    <mergeCell ref="DJ9:DJ11"/>
    <mergeCell ref="CY9:CY11"/>
    <mergeCell ref="CZ9:CZ11"/>
    <mergeCell ref="DA9:DA11"/>
    <mergeCell ref="DB9:DB11"/>
    <mergeCell ref="DC9:DC11"/>
    <mergeCell ref="DD9:DD11"/>
    <mergeCell ref="CS9:CS11"/>
    <mergeCell ref="CT9:CT11"/>
    <mergeCell ref="CU9:CU11"/>
    <mergeCell ref="CV9:CV11"/>
    <mergeCell ref="CW9:CW11"/>
    <mergeCell ref="CX9:CX11"/>
    <mergeCell ref="CM9:CM11"/>
    <mergeCell ref="CN9:CN11"/>
    <mergeCell ref="CO9:CO11"/>
    <mergeCell ref="CP9:CP11"/>
    <mergeCell ref="CQ9:CQ11"/>
    <mergeCell ref="CR9:CR11"/>
    <mergeCell ref="J12:J17"/>
    <mergeCell ref="K12:K17"/>
    <mergeCell ref="L12:L17"/>
    <mergeCell ref="M12:M17"/>
    <mergeCell ref="N12:N17"/>
    <mergeCell ref="O12:O17"/>
    <mergeCell ref="A12:A17"/>
    <mergeCell ref="B12:B17"/>
    <mergeCell ref="C12:C17"/>
    <mergeCell ref="D12:D17"/>
    <mergeCell ref="G12:G17"/>
    <mergeCell ref="I12:I17"/>
    <mergeCell ref="DE9:DE11"/>
    <mergeCell ref="DF9:DF11"/>
    <mergeCell ref="DG9:DG11"/>
    <mergeCell ref="DH9:DH11"/>
    <mergeCell ref="DI9:DI11"/>
    <mergeCell ref="CG9:CG11"/>
    <mergeCell ref="CH9:CH11"/>
    <mergeCell ref="CI9:CI11"/>
    <mergeCell ref="CJ9:CJ11"/>
    <mergeCell ref="CK9:CK11"/>
    <mergeCell ref="CL9:CL11"/>
    <mergeCell ref="CA9:CA11"/>
    <mergeCell ref="CB9:CB11"/>
    <mergeCell ref="CC9:CC11"/>
    <mergeCell ref="CD9:CD11"/>
    <mergeCell ref="CE9:CE11"/>
    <mergeCell ref="CF9:CF11"/>
    <mergeCell ref="BU9:BU11"/>
    <mergeCell ref="BV9:BV11"/>
    <mergeCell ref="BW9:BW11"/>
    <mergeCell ref="AB12:AB17"/>
    <mergeCell ref="AC12:AC17"/>
    <mergeCell ref="AD12:AD17"/>
    <mergeCell ref="AE12:AE17"/>
    <mergeCell ref="AF12:AF17"/>
    <mergeCell ref="AG12:AG17"/>
    <mergeCell ref="V12:V17"/>
    <mergeCell ref="W12:W17"/>
    <mergeCell ref="X12:X17"/>
    <mergeCell ref="Y12:Y17"/>
    <mergeCell ref="Z12:Z17"/>
    <mergeCell ref="AA12:AA17"/>
    <mergeCell ref="P12:P17"/>
    <mergeCell ref="Q12:Q17"/>
    <mergeCell ref="R12:R17"/>
    <mergeCell ref="S12:S17"/>
    <mergeCell ref="T12:T17"/>
    <mergeCell ref="U12:U17"/>
    <mergeCell ref="AT12:AT17"/>
    <mergeCell ref="AU12:AU17"/>
    <mergeCell ref="AV12:AV17"/>
    <mergeCell ref="AW12:AW17"/>
    <mergeCell ref="AX12:AX17"/>
    <mergeCell ref="AY12:AY17"/>
    <mergeCell ref="AN12:AN17"/>
    <mergeCell ref="AO12:AO17"/>
    <mergeCell ref="AP12:AP17"/>
    <mergeCell ref="AQ12:AQ17"/>
    <mergeCell ref="AR12:AR17"/>
    <mergeCell ref="AS12:AS17"/>
    <mergeCell ref="AH12:AH17"/>
    <mergeCell ref="AI12:AI17"/>
    <mergeCell ref="AJ12:AJ17"/>
    <mergeCell ref="AK12:AK17"/>
    <mergeCell ref="AL12:AL17"/>
    <mergeCell ref="AM12:AM17"/>
    <mergeCell ref="BL12:BL17"/>
    <mergeCell ref="BM12:BM17"/>
    <mergeCell ref="BN12:BN17"/>
    <mergeCell ref="BO12:BO17"/>
    <mergeCell ref="BP12:BP17"/>
    <mergeCell ref="BQ12:BQ17"/>
    <mergeCell ref="BF12:BF17"/>
    <mergeCell ref="BG12:BG17"/>
    <mergeCell ref="BH12:BH17"/>
    <mergeCell ref="BI12:BI17"/>
    <mergeCell ref="BJ12:BJ17"/>
    <mergeCell ref="BK12:BK17"/>
    <mergeCell ref="AZ12:AZ17"/>
    <mergeCell ref="BA12:BA17"/>
    <mergeCell ref="BB12:BB17"/>
    <mergeCell ref="BC12:BC17"/>
    <mergeCell ref="BD12:BD17"/>
    <mergeCell ref="BE12:BE17"/>
    <mergeCell ref="CP12:CP17"/>
    <mergeCell ref="CQ12:CQ17"/>
    <mergeCell ref="CE12:CE17"/>
    <mergeCell ref="CF12:CF17"/>
    <mergeCell ref="CG12:CG17"/>
    <mergeCell ref="CH12:CH17"/>
    <mergeCell ref="CI12:CI17"/>
    <mergeCell ref="CJ12:CJ17"/>
    <mergeCell ref="BY12:BY17"/>
    <mergeCell ref="BZ12:BZ17"/>
    <mergeCell ref="CA12:CA17"/>
    <mergeCell ref="CB12:CB17"/>
    <mergeCell ref="CC12:CC17"/>
    <mergeCell ref="CD12:CD17"/>
    <mergeCell ref="BR12:BR17"/>
    <mergeCell ref="BS12:BS17"/>
    <mergeCell ref="BT12:BT17"/>
    <mergeCell ref="BU12:BU17"/>
    <mergeCell ref="BV12:BV17"/>
    <mergeCell ref="BX12:BX17"/>
    <mergeCell ref="DJ12:DJ17"/>
    <mergeCell ref="A18:A21"/>
    <mergeCell ref="B18:B21"/>
    <mergeCell ref="D18:D21"/>
    <mergeCell ref="G18:G21"/>
    <mergeCell ref="I18:I21"/>
    <mergeCell ref="J18:J21"/>
    <mergeCell ref="K18:K21"/>
    <mergeCell ref="L18:L21"/>
    <mergeCell ref="M18:M21"/>
    <mergeCell ref="DD12:DD17"/>
    <mergeCell ref="DE12:DE17"/>
    <mergeCell ref="DF12:DF17"/>
    <mergeCell ref="DG12:DG17"/>
    <mergeCell ref="DH12:DH17"/>
    <mergeCell ref="DI12:DI17"/>
    <mergeCell ref="CX12:CX17"/>
    <mergeCell ref="CY12:CY17"/>
    <mergeCell ref="CZ12:CZ17"/>
    <mergeCell ref="DA12:DA17"/>
    <mergeCell ref="DB12:DB17"/>
    <mergeCell ref="DC12:DC17"/>
    <mergeCell ref="CR12:CR17"/>
    <mergeCell ref="CS12:CS17"/>
    <mergeCell ref="CT12:CT17"/>
    <mergeCell ref="CU12:CU17"/>
    <mergeCell ref="CV12:CV17"/>
    <mergeCell ref="CW12:CW17"/>
    <mergeCell ref="CK12:CK17"/>
    <mergeCell ref="CL12:CL17"/>
    <mergeCell ref="CM12:CM17"/>
    <mergeCell ref="CO12:CO17"/>
    <mergeCell ref="Z18:Z21"/>
    <mergeCell ref="AA18:AA21"/>
    <mergeCell ref="AB18:AB21"/>
    <mergeCell ref="AC18:AC21"/>
    <mergeCell ref="AD18:AD21"/>
    <mergeCell ref="AE18:AE21"/>
    <mergeCell ref="T18:T21"/>
    <mergeCell ref="U18:U21"/>
    <mergeCell ref="V18:V21"/>
    <mergeCell ref="W18:W21"/>
    <mergeCell ref="X18:X21"/>
    <mergeCell ref="Y18:Y21"/>
    <mergeCell ref="N18:N21"/>
    <mergeCell ref="O18:O21"/>
    <mergeCell ref="P18:P21"/>
    <mergeCell ref="Q18:Q21"/>
    <mergeCell ref="R18:R21"/>
    <mergeCell ref="S18:S21"/>
    <mergeCell ref="AR18:AR21"/>
    <mergeCell ref="AS18:AS21"/>
    <mergeCell ref="AT18:AT21"/>
    <mergeCell ref="AU18:AU21"/>
    <mergeCell ref="AV18:AV21"/>
    <mergeCell ref="AW18:AW21"/>
    <mergeCell ref="AL18:AL21"/>
    <mergeCell ref="AM18:AM21"/>
    <mergeCell ref="AN18:AN21"/>
    <mergeCell ref="AO18:AO21"/>
    <mergeCell ref="AP18:AP21"/>
    <mergeCell ref="AQ18:AQ21"/>
    <mergeCell ref="AF18:AF21"/>
    <mergeCell ref="AG18:AG21"/>
    <mergeCell ref="AH18:AH21"/>
    <mergeCell ref="AI18:AI21"/>
    <mergeCell ref="AJ18:AJ21"/>
    <mergeCell ref="AK18:AK21"/>
    <mergeCell ref="BJ18:BJ21"/>
    <mergeCell ref="BK18:BK21"/>
    <mergeCell ref="BL18:BL21"/>
    <mergeCell ref="BM18:BM21"/>
    <mergeCell ref="BN18:BN21"/>
    <mergeCell ref="BO18:BO21"/>
    <mergeCell ref="BD18:BD21"/>
    <mergeCell ref="BE18:BE21"/>
    <mergeCell ref="BF18:BF21"/>
    <mergeCell ref="BG18:BG21"/>
    <mergeCell ref="BH18:BH21"/>
    <mergeCell ref="BI18:BI21"/>
    <mergeCell ref="AX18:AX21"/>
    <mergeCell ref="AY18:AY21"/>
    <mergeCell ref="AZ18:AZ21"/>
    <mergeCell ref="BA18:BA21"/>
    <mergeCell ref="BB18:BB21"/>
    <mergeCell ref="BC18:BC21"/>
    <mergeCell ref="CJ18:CJ21"/>
    <mergeCell ref="CR18:CR21"/>
    <mergeCell ref="CS18:CS21"/>
    <mergeCell ref="CT18:CT21"/>
    <mergeCell ref="CU18:CU21"/>
    <mergeCell ref="CV18:CV21"/>
    <mergeCell ref="BV18:BV21"/>
    <mergeCell ref="CE18:CE21"/>
    <mergeCell ref="CF18:CF21"/>
    <mergeCell ref="CG18:CG21"/>
    <mergeCell ref="CH18:CH21"/>
    <mergeCell ref="CI18:CI21"/>
    <mergeCell ref="BP18:BP21"/>
    <mergeCell ref="BQ18:BQ21"/>
    <mergeCell ref="BR18:BR21"/>
    <mergeCell ref="BS18:BS21"/>
    <mergeCell ref="BT18:BT21"/>
    <mergeCell ref="BU18:BU21"/>
    <mergeCell ref="T22:T25"/>
    <mergeCell ref="U22:U25"/>
    <mergeCell ref="V22:V25"/>
    <mergeCell ref="W22:W25"/>
    <mergeCell ref="X22:X25"/>
    <mergeCell ref="Y22:Y25"/>
    <mergeCell ref="N22:N25"/>
    <mergeCell ref="O22:O25"/>
    <mergeCell ref="P22:P25"/>
    <mergeCell ref="Q22:Q25"/>
    <mergeCell ref="R22:R25"/>
    <mergeCell ref="S22:S25"/>
    <mergeCell ref="DJ18:DJ21"/>
    <mergeCell ref="A22:A25"/>
    <mergeCell ref="B22:B25"/>
    <mergeCell ref="D22:D25"/>
    <mergeCell ref="G22:G25"/>
    <mergeCell ref="I22:I25"/>
    <mergeCell ref="J22:J25"/>
    <mergeCell ref="K22:K25"/>
    <mergeCell ref="L22:L25"/>
    <mergeCell ref="M22:M25"/>
    <mergeCell ref="CW18:CW21"/>
    <mergeCell ref="DE18:DE21"/>
    <mergeCell ref="DF18:DF21"/>
    <mergeCell ref="DG18:DG21"/>
    <mergeCell ref="DH18:DH21"/>
    <mergeCell ref="DI18:DI21"/>
    <mergeCell ref="DD18:DD21"/>
    <mergeCell ref="DC18:DC21"/>
    <mergeCell ref="DB18:DB21"/>
    <mergeCell ref="DA18:DA21"/>
    <mergeCell ref="AL22:AL25"/>
    <mergeCell ref="AM22:AM25"/>
    <mergeCell ref="AN22:AN25"/>
    <mergeCell ref="AO22:AO25"/>
    <mergeCell ref="AP22:AP25"/>
    <mergeCell ref="AQ22:AQ25"/>
    <mergeCell ref="AF22:AF25"/>
    <mergeCell ref="AG22:AG25"/>
    <mergeCell ref="AH22:AH25"/>
    <mergeCell ref="AI22:AI25"/>
    <mergeCell ref="AJ22:AJ25"/>
    <mergeCell ref="AK22:AK25"/>
    <mergeCell ref="Z22:Z25"/>
    <mergeCell ref="AA22:AA25"/>
    <mergeCell ref="AB22:AB25"/>
    <mergeCell ref="AC22:AC25"/>
    <mergeCell ref="AD22:AD25"/>
    <mergeCell ref="AE22:AE25"/>
    <mergeCell ref="BD22:BD25"/>
    <mergeCell ref="BE22:BE25"/>
    <mergeCell ref="BF22:BF25"/>
    <mergeCell ref="BG22:BG25"/>
    <mergeCell ref="BH22:BH25"/>
    <mergeCell ref="BI22:BI25"/>
    <mergeCell ref="AX22:AX25"/>
    <mergeCell ref="AY22:AY25"/>
    <mergeCell ref="AZ22:AZ25"/>
    <mergeCell ref="BA22:BA25"/>
    <mergeCell ref="BB22:BB25"/>
    <mergeCell ref="BC22:BC25"/>
    <mergeCell ref="AR22:AR25"/>
    <mergeCell ref="AS22:AS25"/>
    <mergeCell ref="AT22:AT25"/>
    <mergeCell ref="AU22:AU25"/>
    <mergeCell ref="AV22:AV25"/>
    <mergeCell ref="AW22:AW25"/>
    <mergeCell ref="BV22:BV25"/>
    <mergeCell ref="CE22:CE25"/>
    <mergeCell ref="CF22:CF25"/>
    <mergeCell ref="CG22:CG25"/>
    <mergeCell ref="CH22:CH25"/>
    <mergeCell ref="CI22:CI25"/>
    <mergeCell ref="BP22:BP25"/>
    <mergeCell ref="BQ22:BQ25"/>
    <mergeCell ref="BR22:BR25"/>
    <mergeCell ref="BS22:BS25"/>
    <mergeCell ref="BT22:BT25"/>
    <mergeCell ref="BU22:BU25"/>
    <mergeCell ref="BJ22:BJ25"/>
    <mergeCell ref="BK22:BK25"/>
    <mergeCell ref="BL22:BL25"/>
    <mergeCell ref="BM22:BM25"/>
    <mergeCell ref="BN22:BN25"/>
    <mergeCell ref="BO22:BO25"/>
    <mergeCell ref="DE22:DE25"/>
    <mergeCell ref="DF22:DF25"/>
    <mergeCell ref="DG22:DG25"/>
    <mergeCell ref="DH22:DH25"/>
    <mergeCell ref="DI22:DI25"/>
    <mergeCell ref="DJ22:DJ25"/>
    <mergeCell ref="CV22:CV25"/>
    <mergeCell ref="CW22:CW25"/>
    <mergeCell ref="CX22:CX25"/>
    <mergeCell ref="CY22:CY25"/>
    <mergeCell ref="DC22:DC25"/>
    <mergeCell ref="DD22:DD25"/>
    <mergeCell ref="DB22:DB25"/>
    <mergeCell ref="DA22:DA25"/>
    <mergeCell ref="CZ22:CZ25"/>
    <mergeCell ref="CP22:CP25"/>
    <mergeCell ref="CQ22:CQ25"/>
    <mergeCell ref="CR22:CR25"/>
    <mergeCell ref="CS22:CS25"/>
    <mergeCell ref="CT22:CT25"/>
    <mergeCell ref="CU22:CU25"/>
    <mergeCell ref="AA26:AA31"/>
    <mergeCell ref="AB26:AB31"/>
    <mergeCell ref="AC26:AC31"/>
    <mergeCell ref="AD26:AD31"/>
    <mergeCell ref="AE26:AE31"/>
    <mergeCell ref="AF26:AF31"/>
    <mergeCell ref="N26:N31"/>
    <mergeCell ref="V26:V31"/>
    <mergeCell ref="W26:W31"/>
    <mergeCell ref="X26:X31"/>
    <mergeCell ref="Y26:Y31"/>
    <mergeCell ref="Z26:Z31"/>
    <mergeCell ref="A26:A31"/>
    <mergeCell ref="B26:B31"/>
    <mergeCell ref="C26:C31"/>
    <mergeCell ref="D26:D31"/>
    <mergeCell ref="G26:G31"/>
    <mergeCell ref="I26:I31"/>
    <mergeCell ref="AS26:AS31"/>
    <mergeCell ref="AT26:AT31"/>
    <mergeCell ref="AU26:AU31"/>
    <mergeCell ref="AV26:AV31"/>
    <mergeCell ref="AW26:AW31"/>
    <mergeCell ref="AX26:AX31"/>
    <mergeCell ref="AM26:AM31"/>
    <mergeCell ref="AN26:AN31"/>
    <mergeCell ref="AO26:AO31"/>
    <mergeCell ref="AP26:AP31"/>
    <mergeCell ref="AQ26:AQ31"/>
    <mergeCell ref="AR26:AR31"/>
    <mergeCell ref="AG26:AG31"/>
    <mergeCell ref="AH26:AH31"/>
    <mergeCell ref="AI26:AI31"/>
    <mergeCell ref="AJ26:AJ31"/>
    <mergeCell ref="AK26:AK31"/>
    <mergeCell ref="AL26:AL31"/>
    <mergeCell ref="BK26:BK31"/>
    <mergeCell ref="BL26:BL31"/>
    <mergeCell ref="BM26:BM31"/>
    <mergeCell ref="BN26:BN31"/>
    <mergeCell ref="BO26:BO31"/>
    <mergeCell ref="BP26:BP31"/>
    <mergeCell ref="BE26:BE31"/>
    <mergeCell ref="BF26:BF31"/>
    <mergeCell ref="BG26:BG31"/>
    <mergeCell ref="BH26:BH31"/>
    <mergeCell ref="BI26:BI31"/>
    <mergeCell ref="BJ26:BJ31"/>
    <mergeCell ref="AY26:AY31"/>
    <mergeCell ref="AZ26:AZ31"/>
    <mergeCell ref="BA26:BA31"/>
    <mergeCell ref="BB26:BB31"/>
    <mergeCell ref="BC26:BC31"/>
    <mergeCell ref="BD26:BD31"/>
    <mergeCell ref="CM26:CM31"/>
    <mergeCell ref="CN26:CN31"/>
    <mergeCell ref="CC26:CC31"/>
    <mergeCell ref="CD26:CD31"/>
    <mergeCell ref="CE26:CE31"/>
    <mergeCell ref="CF26:CF31"/>
    <mergeCell ref="CG26:CG31"/>
    <mergeCell ref="CH26:CH31"/>
    <mergeCell ref="BW26:BW31"/>
    <mergeCell ref="BX26:BX31"/>
    <mergeCell ref="BY26:BY31"/>
    <mergeCell ref="BZ26:BZ31"/>
    <mergeCell ref="CA26:CA31"/>
    <mergeCell ref="CB26:CB31"/>
    <mergeCell ref="BQ26:BQ31"/>
    <mergeCell ref="BR26:BR31"/>
    <mergeCell ref="BS26:BS31"/>
    <mergeCell ref="BT26:BT31"/>
    <mergeCell ref="BU26:BU31"/>
    <mergeCell ref="BV26:BV31"/>
    <mergeCell ref="DG26:DG31"/>
    <mergeCell ref="DH26:DH31"/>
    <mergeCell ref="DI26:DI31"/>
    <mergeCell ref="DJ26:DJ31"/>
    <mergeCell ref="A32:A41"/>
    <mergeCell ref="B32:B41"/>
    <mergeCell ref="C32:C41"/>
    <mergeCell ref="D32:D41"/>
    <mergeCell ref="G32:G41"/>
    <mergeCell ref="I32:I41"/>
    <mergeCell ref="DA26:DA31"/>
    <mergeCell ref="DB26:DB31"/>
    <mergeCell ref="DC26:DC31"/>
    <mergeCell ref="DD26:DD31"/>
    <mergeCell ref="DE26:DE31"/>
    <mergeCell ref="I229:I234"/>
    <mergeCell ref="CU26:CU31"/>
    <mergeCell ref="CV26:CV31"/>
    <mergeCell ref="CW26:CW31"/>
    <mergeCell ref="CX26:CX31"/>
    <mergeCell ref="CY26:CY31"/>
    <mergeCell ref="CZ26:CZ31"/>
    <mergeCell ref="CO26:CO31"/>
    <mergeCell ref="CP26:CP31"/>
    <mergeCell ref="CQ26:CQ31"/>
    <mergeCell ref="CR26:CR31"/>
    <mergeCell ref="CS26:CS31"/>
    <mergeCell ref="CT26:CT31"/>
    <mergeCell ref="CI26:CI31"/>
    <mergeCell ref="CJ26:CJ31"/>
    <mergeCell ref="CK26:CK31"/>
    <mergeCell ref="CL26:CL31"/>
    <mergeCell ref="V32:V41"/>
    <mergeCell ref="W32:W41"/>
    <mergeCell ref="X32:X41"/>
    <mergeCell ref="Y32:Y41"/>
    <mergeCell ref="Z32:Z41"/>
    <mergeCell ref="AA32:AA41"/>
    <mergeCell ref="P32:P41"/>
    <mergeCell ref="Q32:Q41"/>
    <mergeCell ref="R32:R41"/>
    <mergeCell ref="S32:S41"/>
    <mergeCell ref="T32:T41"/>
    <mergeCell ref="U32:U41"/>
    <mergeCell ref="J32:J41"/>
    <mergeCell ref="K32:K41"/>
    <mergeCell ref="L32:L41"/>
    <mergeCell ref="M32:M41"/>
    <mergeCell ref="N32:N41"/>
    <mergeCell ref="O32:O41"/>
    <mergeCell ref="AN32:AN41"/>
    <mergeCell ref="AO32:AO41"/>
    <mergeCell ref="AP32:AP41"/>
    <mergeCell ref="AQ32:AQ41"/>
    <mergeCell ref="AR32:AR41"/>
    <mergeCell ref="AS32:AS41"/>
    <mergeCell ref="AH32:AH41"/>
    <mergeCell ref="AI32:AI41"/>
    <mergeCell ref="AJ32:AJ41"/>
    <mergeCell ref="AK32:AK41"/>
    <mergeCell ref="AL32:AL41"/>
    <mergeCell ref="AM32:AM41"/>
    <mergeCell ref="AB32:AB41"/>
    <mergeCell ref="AC32:AC41"/>
    <mergeCell ref="AD32:AD41"/>
    <mergeCell ref="AE32:AE41"/>
    <mergeCell ref="AF32:AF41"/>
    <mergeCell ref="AG32:AG41"/>
    <mergeCell ref="BF32:BF41"/>
    <mergeCell ref="BG32:BG41"/>
    <mergeCell ref="BH32:BH41"/>
    <mergeCell ref="BI32:BI41"/>
    <mergeCell ref="BJ32:BJ41"/>
    <mergeCell ref="BK32:BK41"/>
    <mergeCell ref="AZ32:AZ41"/>
    <mergeCell ref="BA32:BA41"/>
    <mergeCell ref="BB32:BB41"/>
    <mergeCell ref="BC32:BC41"/>
    <mergeCell ref="BD32:BD41"/>
    <mergeCell ref="BE32:BE41"/>
    <mergeCell ref="AT32:AT41"/>
    <mergeCell ref="AU32:AU41"/>
    <mergeCell ref="AV32:AV41"/>
    <mergeCell ref="AW32:AW41"/>
    <mergeCell ref="AX32:AX41"/>
    <mergeCell ref="AY32:AY41"/>
    <mergeCell ref="CO32:CO41"/>
    <mergeCell ref="CP32:CP41"/>
    <mergeCell ref="BX32:BX41"/>
    <mergeCell ref="CC32:CC41"/>
    <mergeCell ref="CD32:CD41"/>
    <mergeCell ref="CE32:CE41"/>
    <mergeCell ref="CI32:CI41"/>
    <mergeCell ref="CJ32:CJ41"/>
    <mergeCell ref="BR32:BR41"/>
    <mergeCell ref="BS32:BS41"/>
    <mergeCell ref="BT32:BT41"/>
    <mergeCell ref="BU32:BU41"/>
    <mergeCell ref="BV32:BV41"/>
    <mergeCell ref="BW32:BW41"/>
    <mergeCell ref="BL32:BL41"/>
    <mergeCell ref="BM32:BM41"/>
    <mergeCell ref="BN32:BN41"/>
    <mergeCell ref="BO32:BO41"/>
    <mergeCell ref="BP32:BP41"/>
    <mergeCell ref="BQ32:BQ41"/>
    <mergeCell ref="DI32:DI41"/>
    <mergeCell ref="DJ32:DJ41"/>
    <mergeCell ref="A42:A50"/>
    <mergeCell ref="B42:B50"/>
    <mergeCell ref="C42:C50"/>
    <mergeCell ref="D42:D50"/>
    <mergeCell ref="G42:G50"/>
    <mergeCell ref="I42:I50"/>
    <mergeCell ref="J42:J50"/>
    <mergeCell ref="K42:K50"/>
    <mergeCell ref="DC32:DC41"/>
    <mergeCell ref="DD32:DD41"/>
    <mergeCell ref="DE32:DE41"/>
    <mergeCell ref="DF32:DF41"/>
    <mergeCell ref="DG32:DG41"/>
    <mergeCell ref="DH32:DH41"/>
    <mergeCell ref="CW32:CW41"/>
    <mergeCell ref="CX32:CX41"/>
    <mergeCell ref="CY32:CY41"/>
    <mergeCell ref="CZ32:CZ41"/>
    <mergeCell ref="DA32:DA41"/>
    <mergeCell ref="DB32:DB41"/>
    <mergeCell ref="CQ32:CQ41"/>
    <mergeCell ref="CR32:CR41"/>
    <mergeCell ref="CS32:CS41"/>
    <mergeCell ref="CT32:CT41"/>
    <mergeCell ref="CU32:CU41"/>
    <mergeCell ref="CV32:CV41"/>
    <mergeCell ref="CK32:CK41"/>
    <mergeCell ref="CL32:CL41"/>
    <mergeCell ref="CM32:CM41"/>
    <mergeCell ref="CN32:CN41"/>
    <mergeCell ref="X42:X50"/>
    <mergeCell ref="Y42:Y50"/>
    <mergeCell ref="Z42:Z50"/>
    <mergeCell ref="AA42:AA50"/>
    <mergeCell ref="AB42:AB50"/>
    <mergeCell ref="AC42:AC50"/>
    <mergeCell ref="R42:R50"/>
    <mergeCell ref="S42:S50"/>
    <mergeCell ref="T42:T50"/>
    <mergeCell ref="U42:U50"/>
    <mergeCell ref="V42:V50"/>
    <mergeCell ref="W42:W50"/>
    <mergeCell ref="L42:L50"/>
    <mergeCell ref="M42:M50"/>
    <mergeCell ref="N42:N50"/>
    <mergeCell ref="O42:O50"/>
    <mergeCell ref="P42:P50"/>
    <mergeCell ref="Q42:Q50"/>
    <mergeCell ref="AP42:AP50"/>
    <mergeCell ref="AQ42:AQ50"/>
    <mergeCell ref="AR42:AR50"/>
    <mergeCell ref="AS42:AS50"/>
    <mergeCell ref="AT42:AT50"/>
    <mergeCell ref="AU42:AU50"/>
    <mergeCell ref="AJ42:AJ50"/>
    <mergeCell ref="AK42:AK50"/>
    <mergeCell ref="AL42:AL50"/>
    <mergeCell ref="AM42:AM50"/>
    <mergeCell ref="AN42:AN50"/>
    <mergeCell ref="AO42:AO50"/>
    <mergeCell ref="AD42:AD50"/>
    <mergeCell ref="AE42:AE50"/>
    <mergeCell ref="AF42:AF50"/>
    <mergeCell ref="AG42:AG50"/>
    <mergeCell ref="AH42:AH50"/>
    <mergeCell ref="AI42:AI50"/>
    <mergeCell ref="BH42:BH50"/>
    <mergeCell ref="BI42:BI50"/>
    <mergeCell ref="BJ42:BJ50"/>
    <mergeCell ref="BK42:BK50"/>
    <mergeCell ref="BL42:BL50"/>
    <mergeCell ref="BM42:BM50"/>
    <mergeCell ref="BB42:BB50"/>
    <mergeCell ref="BC42:BC50"/>
    <mergeCell ref="BD42:BD50"/>
    <mergeCell ref="BE42:BE50"/>
    <mergeCell ref="BF42:BF50"/>
    <mergeCell ref="BG42:BG50"/>
    <mergeCell ref="AV42:AV50"/>
    <mergeCell ref="AW42:AW50"/>
    <mergeCell ref="AX42:AX50"/>
    <mergeCell ref="AY42:AY50"/>
    <mergeCell ref="AZ42:AZ50"/>
    <mergeCell ref="BA42:BA50"/>
    <mergeCell ref="CI42:CI50"/>
    <mergeCell ref="CJ42:CJ50"/>
    <mergeCell ref="CK42:CK50"/>
    <mergeCell ref="CL42:CL50"/>
    <mergeCell ref="BZ42:BZ50"/>
    <mergeCell ref="CA42:CA50"/>
    <mergeCell ref="CB42:CB50"/>
    <mergeCell ref="CC42:CC50"/>
    <mergeCell ref="CE42:CE50"/>
    <mergeCell ref="CF42:CF50"/>
    <mergeCell ref="BT42:BT50"/>
    <mergeCell ref="BU42:BU50"/>
    <mergeCell ref="BV42:BV50"/>
    <mergeCell ref="BW42:BW50"/>
    <mergeCell ref="BX42:BX50"/>
    <mergeCell ref="BY42:BY50"/>
    <mergeCell ref="BN42:BN50"/>
    <mergeCell ref="BO42:BO50"/>
    <mergeCell ref="BP42:BP50"/>
    <mergeCell ref="BQ42:BQ50"/>
    <mergeCell ref="BR42:BR50"/>
    <mergeCell ref="BS42:BS50"/>
    <mergeCell ref="A51:A59"/>
    <mergeCell ref="B51:B59"/>
    <mergeCell ref="C51:C59"/>
    <mergeCell ref="D51:D59"/>
    <mergeCell ref="G51:G59"/>
    <mergeCell ref="I51:I59"/>
    <mergeCell ref="DE42:DE50"/>
    <mergeCell ref="DF42:DF50"/>
    <mergeCell ref="DG42:DG50"/>
    <mergeCell ref="DH42:DH50"/>
    <mergeCell ref="DI42:DI50"/>
    <mergeCell ref="DJ42:DJ50"/>
    <mergeCell ref="CY42:CY50"/>
    <mergeCell ref="CZ42:CZ50"/>
    <mergeCell ref="DA42:DA50"/>
    <mergeCell ref="DB42:DB50"/>
    <mergeCell ref="DC42:DC50"/>
    <mergeCell ref="DD42:DD50"/>
    <mergeCell ref="CS42:CS50"/>
    <mergeCell ref="CT42:CT50"/>
    <mergeCell ref="CU42:CU50"/>
    <mergeCell ref="CV42:CV50"/>
    <mergeCell ref="CW42:CW50"/>
    <mergeCell ref="CX42:CX50"/>
    <mergeCell ref="CM42:CM50"/>
    <mergeCell ref="CN42:CN50"/>
    <mergeCell ref="CO42:CO50"/>
    <mergeCell ref="CP42:CP50"/>
    <mergeCell ref="CQ42:CQ50"/>
    <mergeCell ref="CR42:CR50"/>
    <mergeCell ref="CG42:CG50"/>
    <mergeCell ref="CH42:CH50"/>
    <mergeCell ref="V51:V59"/>
    <mergeCell ref="W51:W59"/>
    <mergeCell ref="X51:X59"/>
    <mergeCell ref="Y51:Y59"/>
    <mergeCell ref="Z51:Z59"/>
    <mergeCell ref="AA51:AA59"/>
    <mergeCell ref="P51:P59"/>
    <mergeCell ref="Q51:Q59"/>
    <mergeCell ref="R51:R59"/>
    <mergeCell ref="S51:S59"/>
    <mergeCell ref="T51:T59"/>
    <mergeCell ref="U51:U59"/>
    <mergeCell ref="J51:J59"/>
    <mergeCell ref="K51:K59"/>
    <mergeCell ref="L51:L59"/>
    <mergeCell ref="M51:M59"/>
    <mergeCell ref="N51:N59"/>
    <mergeCell ref="O51:O59"/>
    <mergeCell ref="AN51:AN59"/>
    <mergeCell ref="AO51:AO59"/>
    <mergeCell ref="AP51:AP59"/>
    <mergeCell ref="AQ51:AQ59"/>
    <mergeCell ref="AR51:AR59"/>
    <mergeCell ref="AS51:AS59"/>
    <mergeCell ref="AH51:AH59"/>
    <mergeCell ref="AI51:AI59"/>
    <mergeCell ref="AJ51:AJ59"/>
    <mergeCell ref="AK51:AK59"/>
    <mergeCell ref="AL51:AL59"/>
    <mergeCell ref="AM51:AM59"/>
    <mergeCell ref="AB51:AB59"/>
    <mergeCell ref="AC51:AC59"/>
    <mergeCell ref="AD51:AD59"/>
    <mergeCell ref="AE51:AE59"/>
    <mergeCell ref="AF51:AF59"/>
    <mergeCell ref="AG51:AG59"/>
    <mergeCell ref="CM51:CM59"/>
    <mergeCell ref="CN51:CN59"/>
    <mergeCell ref="BF51:BF59"/>
    <mergeCell ref="BG51:BG59"/>
    <mergeCell ref="BH51:BH59"/>
    <mergeCell ref="BI51:BI59"/>
    <mergeCell ref="BV51:BV59"/>
    <mergeCell ref="BY51:BY59"/>
    <mergeCell ref="AZ51:AZ59"/>
    <mergeCell ref="BA51:BA59"/>
    <mergeCell ref="BB51:BB59"/>
    <mergeCell ref="BC51:BC59"/>
    <mergeCell ref="BD51:BD59"/>
    <mergeCell ref="BE51:BE59"/>
    <mergeCell ref="AT51:AT59"/>
    <mergeCell ref="AU51:AU59"/>
    <mergeCell ref="AV51:AV59"/>
    <mergeCell ref="AW51:AW59"/>
    <mergeCell ref="AX51:AX59"/>
    <mergeCell ref="AY51:AY59"/>
    <mergeCell ref="DG51:DG59"/>
    <mergeCell ref="DH51:DH59"/>
    <mergeCell ref="DI51:DI59"/>
    <mergeCell ref="DJ51:DJ59"/>
    <mergeCell ref="A60:A68"/>
    <mergeCell ref="B60:B68"/>
    <mergeCell ref="C60:C68"/>
    <mergeCell ref="D60:D68"/>
    <mergeCell ref="G60:G68"/>
    <mergeCell ref="I60:I68"/>
    <mergeCell ref="DA51:DA59"/>
    <mergeCell ref="DB51:DB59"/>
    <mergeCell ref="DC51:DC59"/>
    <mergeCell ref="DD51:DD59"/>
    <mergeCell ref="DE51:DE59"/>
    <mergeCell ref="DF51:DF59"/>
    <mergeCell ref="CU51:CU59"/>
    <mergeCell ref="CV51:CV59"/>
    <mergeCell ref="CW51:CW59"/>
    <mergeCell ref="CX51:CX59"/>
    <mergeCell ref="CY51:CY59"/>
    <mergeCell ref="CZ51:CZ59"/>
    <mergeCell ref="CO51:CO59"/>
    <mergeCell ref="CP51:CP59"/>
    <mergeCell ref="CQ51:CQ59"/>
    <mergeCell ref="CR51:CR59"/>
    <mergeCell ref="CS51:CS59"/>
    <mergeCell ref="CT51:CT59"/>
    <mergeCell ref="CI51:CI59"/>
    <mergeCell ref="CJ51:CJ59"/>
    <mergeCell ref="CK51:CK59"/>
    <mergeCell ref="CL51:CL59"/>
    <mergeCell ref="V60:V68"/>
    <mergeCell ref="W60:W68"/>
    <mergeCell ref="X60:X68"/>
    <mergeCell ref="Y60:Y68"/>
    <mergeCell ref="Z60:Z68"/>
    <mergeCell ref="AA60:AA68"/>
    <mergeCell ref="P60:P68"/>
    <mergeCell ref="Q60:Q68"/>
    <mergeCell ref="R60:R68"/>
    <mergeCell ref="S60:S68"/>
    <mergeCell ref="T60:T68"/>
    <mergeCell ref="U60:U68"/>
    <mergeCell ref="J60:J68"/>
    <mergeCell ref="K60:K68"/>
    <mergeCell ref="L60:L68"/>
    <mergeCell ref="M60:M68"/>
    <mergeCell ref="N60:N68"/>
    <mergeCell ref="O60:O68"/>
    <mergeCell ref="AN60:AN68"/>
    <mergeCell ref="AO60:AO68"/>
    <mergeCell ref="AP60:AP68"/>
    <mergeCell ref="AQ60:AQ68"/>
    <mergeCell ref="AR60:AR68"/>
    <mergeCell ref="AS60:AS68"/>
    <mergeCell ref="AH60:AH68"/>
    <mergeCell ref="AI60:AI68"/>
    <mergeCell ref="AJ60:AJ68"/>
    <mergeCell ref="AK60:AK68"/>
    <mergeCell ref="AL60:AL68"/>
    <mergeCell ref="AM60:AM68"/>
    <mergeCell ref="AB60:AB68"/>
    <mergeCell ref="AC60:AC68"/>
    <mergeCell ref="AD60:AD68"/>
    <mergeCell ref="AE60:AE68"/>
    <mergeCell ref="AF60:AF68"/>
    <mergeCell ref="AG60:AG68"/>
    <mergeCell ref="CZ60:CZ68"/>
    <mergeCell ref="DA60:DA68"/>
    <mergeCell ref="BF60:BF68"/>
    <mergeCell ref="BG60:BG68"/>
    <mergeCell ref="BH60:BH68"/>
    <mergeCell ref="BI60:BI68"/>
    <mergeCell ref="BV60:BV68"/>
    <mergeCell ref="CI60:CI68"/>
    <mergeCell ref="AZ60:AZ68"/>
    <mergeCell ref="BA60:BA68"/>
    <mergeCell ref="BB60:BB68"/>
    <mergeCell ref="BC60:BC68"/>
    <mergeCell ref="BD60:BD68"/>
    <mergeCell ref="BE60:BE68"/>
    <mergeCell ref="AT60:AT68"/>
    <mergeCell ref="AU60:AU68"/>
    <mergeCell ref="AV60:AV68"/>
    <mergeCell ref="AW60:AW68"/>
    <mergeCell ref="AX60:AX68"/>
    <mergeCell ref="AY60:AY68"/>
    <mergeCell ref="Q69:Q77"/>
    <mergeCell ref="R69:R77"/>
    <mergeCell ref="S69:S77"/>
    <mergeCell ref="T69:T77"/>
    <mergeCell ref="U69:U77"/>
    <mergeCell ref="V69:V77"/>
    <mergeCell ref="K69:K77"/>
    <mergeCell ref="L69:L77"/>
    <mergeCell ref="M69:M77"/>
    <mergeCell ref="N69:N77"/>
    <mergeCell ref="O69:O77"/>
    <mergeCell ref="P69:P77"/>
    <mergeCell ref="DH60:DH68"/>
    <mergeCell ref="DI60:DI68"/>
    <mergeCell ref="DJ60:DJ68"/>
    <mergeCell ref="A69:A77"/>
    <mergeCell ref="B69:B77"/>
    <mergeCell ref="C69:C77"/>
    <mergeCell ref="D69:D77"/>
    <mergeCell ref="G69:G77"/>
    <mergeCell ref="I69:I77"/>
    <mergeCell ref="J69:J77"/>
    <mergeCell ref="DB60:DB68"/>
    <mergeCell ref="DC60:DC68"/>
    <mergeCell ref="DD60:DD68"/>
    <mergeCell ref="DE60:DE68"/>
    <mergeCell ref="DF60:DF68"/>
    <mergeCell ref="DG60:DG68"/>
    <mergeCell ref="CV60:CV68"/>
    <mergeCell ref="CW60:CW68"/>
    <mergeCell ref="CX60:CX68"/>
    <mergeCell ref="CY60:CY68"/>
    <mergeCell ref="AI69:AI77"/>
    <mergeCell ref="AJ69:AJ77"/>
    <mergeCell ref="AK69:AK77"/>
    <mergeCell ref="AL69:AL77"/>
    <mergeCell ref="AM69:AM77"/>
    <mergeCell ref="AN69:AN77"/>
    <mergeCell ref="AC69:AC77"/>
    <mergeCell ref="AD69:AD77"/>
    <mergeCell ref="AE69:AE77"/>
    <mergeCell ref="AF69:AF77"/>
    <mergeCell ref="AG69:AG77"/>
    <mergeCell ref="AH69:AH77"/>
    <mergeCell ref="W69:W77"/>
    <mergeCell ref="X69:X77"/>
    <mergeCell ref="Y69:Y77"/>
    <mergeCell ref="Z69:Z77"/>
    <mergeCell ref="AA69:AA77"/>
    <mergeCell ref="AB69:AB77"/>
    <mergeCell ref="BA69:BA77"/>
    <mergeCell ref="BB69:BB77"/>
    <mergeCell ref="BC69:BC77"/>
    <mergeCell ref="BD69:BD77"/>
    <mergeCell ref="BE69:BE77"/>
    <mergeCell ref="BF69:BF77"/>
    <mergeCell ref="AU69:AU77"/>
    <mergeCell ref="AV69:AV77"/>
    <mergeCell ref="AW69:AW77"/>
    <mergeCell ref="AX69:AX77"/>
    <mergeCell ref="AY69:AY77"/>
    <mergeCell ref="AZ69:AZ77"/>
    <mergeCell ref="AO69:AO77"/>
    <mergeCell ref="AP69:AP77"/>
    <mergeCell ref="AQ69:AQ77"/>
    <mergeCell ref="AR69:AR77"/>
    <mergeCell ref="AS69:AS77"/>
    <mergeCell ref="AT69:AT77"/>
    <mergeCell ref="CN69:CN77"/>
    <mergeCell ref="CO69:CO77"/>
    <mergeCell ref="BS69:BS77"/>
    <mergeCell ref="BT69:BT77"/>
    <mergeCell ref="BU69:BU77"/>
    <mergeCell ref="BV69:BV77"/>
    <mergeCell ref="BX69:BX77"/>
    <mergeCell ref="CF69:CF77"/>
    <mergeCell ref="BM69:BM77"/>
    <mergeCell ref="BN69:BN77"/>
    <mergeCell ref="BO69:BO77"/>
    <mergeCell ref="BP69:BP77"/>
    <mergeCell ref="BQ69:BQ77"/>
    <mergeCell ref="BR69:BR77"/>
    <mergeCell ref="BG69:BG77"/>
    <mergeCell ref="BH69:BH77"/>
    <mergeCell ref="BI69:BI77"/>
    <mergeCell ref="BJ69:BJ77"/>
    <mergeCell ref="BK69:BK77"/>
    <mergeCell ref="BL69:BL77"/>
    <mergeCell ref="DI69:DI77"/>
    <mergeCell ref="DJ69:DJ77"/>
    <mergeCell ref="A78:A86"/>
    <mergeCell ref="B78:B86"/>
    <mergeCell ref="C78:C86"/>
    <mergeCell ref="D78:D86"/>
    <mergeCell ref="G78:G86"/>
    <mergeCell ref="I78:I86"/>
    <mergeCell ref="J78:J86"/>
    <mergeCell ref="K78:K86"/>
    <mergeCell ref="DC69:DC77"/>
    <mergeCell ref="DD69:DD77"/>
    <mergeCell ref="DE69:DE77"/>
    <mergeCell ref="DF69:DF77"/>
    <mergeCell ref="DG69:DG77"/>
    <mergeCell ref="DH69:DH77"/>
    <mergeCell ref="CV69:CV77"/>
    <mergeCell ref="CX69:CX77"/>
    <mergeCell ref="CY69:CY77"/>
    <mergeCell ref="CZ69:CZ77"/>
    <mergeCell ref="DA69:DA77"/>
    <mergeCell ref="DB69:DB77"/>
    <mergeCell ref="CP69:CP77"/>
    <mergeCell ref="CQ69:CQ77"/>
    <mergeCell ref="CR69:CR77"/>
    <mergeCell ref="CS69:CS77"/>
    <mergeCell ref="CT69:CT77"/>
    <mergeCell ref="CU69:CU77"/>
    <mergeCell ref="CI69:CI77"/>
    <mergeCell ref="CK69:CK77"/>
    <mergeCell ref="CL69:CL77"/>
    <mergeCell ref="CM69:CM77"/>
    <mergeCell ref="X78:X86"/>
    <mergeCell ref="Y78:Y86"/>
    <mergeCell ref="Z78:Z86"/>
    <mergeCell ref="AA78:AA86"/>
    <mergeCell ref="AB78:AB86"/>
    <mergeCell ref="AC78:AC86"/>
    <mergeCell ref="R78:R86"/>
    <mergeCell ref="S78:S86"/>
    <mergeCell ref="T78:T86"/>
    <mergeCell ref="U78:U86"/>
    <mergeCell ref="V78:V86"/>
    <mergeCell ref="W78:W86"/>
    <mergeCell ref="L78:L86"/>
    <mergeCell ref="M78:M86"/>
    <mergeCell ref="N78:N86"/>
    <mergeCell ref="O78:O86"/>
    <mergeCell ref="P78:P86"/>
    <mergeCell ref="Q78:Q86"/>
    <mergeCell ref="AP78:AP86"/>
    <mergeCell ref="AQ78:AQ86"/>
    <mergeCell ref="AR78:AR86"/>
    <mergeCell ref="AS78:AS86"/>
    <mergeCell ref="AT78:AT86"/>
    <mergeCell ref="AU78:AU86"/>
    <mergeCell ref="AJ78:AJ86"/>
    <mergeCell ref="AK78:AK86"/>
    <mergeCell ref="AL78:AL86"/>
    <mergeCell ref="AM78:AM86"/>
    <mergeCell ref="AN78:AN86"/>
    <mergeCell ref="AO78:AO86"/>
    <mergeCell ref="AD78:AD86"/>
    <mergeCell ref="AE78:AE86"/>
    <mergeCell ref="AF78:AF86"/>
    <mergeCell ref="AG78:AG86"/>
    <mergeCell ref="AH78:AH86"/>
    <mergeCell ref="AI78:AI86"/>
    <mergeCell ref="BH78:BH86"/>
    <mergeCell ref="BI78:BI86"/>
    <mergeCell ref="BJ78:BJ86"/>
    <mergeCell ref="BK78:BK86"/>
    <mergeCell ref="BL78:BL86"/>
    <mergeCell ref="BM78:BM86"/>
    <mergeCell ref="BB78:BB86"/>
    <mergeCell ref="BC78:BC86"/>
    <mergeCell ref="BD78:BD86"/>
    <mergeCell ref="BE78:BE86"/>
    <mergeCell ref="BF78:BF86"/>
    <mergeCell ref="BG78:BG86"/>
    <mergeCell ref="AV78:AV86"/>
    <mergeCell ref="AW78:AW86"/>
    <mergeCell ref="AX78:AX86"/>
    <mergeCell ref="AY78:AY86"/>
    <mergeCell ref="AZ78:AZ86"/>
    <mergeCell ref="BA78:BA86"/>
    <mergeCell ref="BZ78:BZ86"/>
    <mergeCell ref="CA78:CA86"/>
    <mergeCell ref="CB78:CB86"/>
    <mergeCell ref="CC78:CC86"/>
    <mergeCell ref="CD78:CD86"/>
    <mergeCell ref="CE78:CE86"/>
    <mergeCell ref="BT78:BT86"/>
    <mergeCell ref="BU78:BU86"/>
    <mergeCell ref="BV78:BV86"/>
    <mergeCell ref="BW78:BW86"/>
    <mergeCell ref="BX78:BX86"/>
    <mergeCell ref="BY78:BY86"/>
    <mergeCell ref="BN78:BN86"/>
    <mergeCell ref="BO78:BO86"/>
    <mergeCell ref="BP78:BP86"/>
    <mergeCell ref="BQ78:BQ86"/>
    <mergeCell ref="BR78:BR86"/>
    <mergeCell ref="BS78:BS86"/>
    <mergeCell ref="DB78:DB86"/>
    <mergeCell ref="DC78:DC86"/>
    <mergeCell ref="CR78:CR86"/>
    <mergeCell ref="CS78:CS86"/>
    <mergeCell ref="CT78:CT86"/>
    <mergeCell ref="CU78:CU86"/>
    <mergeCell ref="CV78:CV86"/>
    <mergeCell ref="CW78:CW86"/>
    <mergeCell ref="CL78:CL86"/>
    <mergeCell ref="CM78:CM86"/>
    <mergeCell ref="CN78:CN86"/>
    <mergeCell ref="CO78:CO86"/>
    <mergeCell ref="CP78:CP86"/>
    <mergeCell ref="CQ78:CQ86"/>
    <mergeCell ref="CF78:CF86"/>
    <mergeCell ref="CG78:CG86"/>
    <mergeCell ref="CH78:CH86"/>
    <mergeCell ref="CI78:CI86"/>
    <mergeCell ref="CJ78:CJ86"/>
    <mergeCell ref="CK78:CK86"/>
    <mergeCell ref="S87:S95"/>
    <mergeCell ref="T87:T95"/>
    <mergeCell ref="U87:U95"/>
    <mergeCell ref="V87:V95"/>
    <mergeCell ref="W87:W95"/>
    <mergeCell ref="X87:X95"/>
    <mergeCell ref="M87:M95"/>
    <mergeCell ref="N87:N95"/>
    <mergeCell ref="O87:O95"/>
    <mergeCell ref="P87:P95"/>
    <mergeCell ref="Q87:Q95"/>
    <mergeCell ref="R87:R95"/>
    <mergeCell ref="DJ78:DJ86"/>
    <mergeCell ref="A87:A95"/>
    <mergeCell ref="B87:B95"/>
    <mergeCell ref="C87:C95"/>
    <mergeCell ref="D87:D95"/>
    <mergeCell ref="G87:G95"/>
    <mergeCell ref="I87:I95"/>
    <mergeCell ref="J87:J95"/>
    <mergeCell ref="K87:K95"/>
    <mergeCell ref="L87:L95"/>
    <mergeCell ref="DD78:DD86"/>
    <mergeCell ref="DE78:DE86"/>
    <mergeCell ref="DF78:DF86"/>
    <mergeCell ref="DG78:DG86"/>
    <mergeCell ref="DH78:DH86"/>
    <mergeCell ref="DI78:DI86"/>
    <mergeCell ref="CX78:CX86"/>
    <mergeCell ref="CY78:CY86"/>
    <mergeCell ref="CZ78:CZ86"/>
    <mergeCell ref="DA78:DA86"/>
    <mergeCell ref="AK87:AK95"/>
    <mergeCell ref="AL87:AL95"/>
    <mergeCell ref="AM87:AM95"/>
    <mergeCell ref="AN87:AN95"/>
    <mergeCell ref="AO87:AO95"/>
    <mergeCell ref="AP87:AP95"/>
    <mergeCell ref="AE87:AE95"/>
    <mergeCell ref="AF87:AF95"/>
    <mergeCell ref="AG87:AG95"/>
    <mergeCell ref="AH87:AH95"/>
    <mergeCell ref="AI87:AI95"/>
    <mergeCell ref="AJ87:AJ95"/>
    <mergeCell ref="Y87:Y95"/>
    <mergeCell ref="Z87:Z95"/>
    <mergeCell ref="AA87:AA95"/>
    <mergeCell ref="AB87:AB95"/>
    <mergeCell ref="AC87:AC95"/>
    <mergeCell ref="AD87:AD95"/>
    <mergeCell ref="BC87:BC95"/>
    <mergeCell ref="BD87:BD95"/>
    <mergeCell ref="BE87:BE95"/>
    <mergeCell ref="BF87:BF95"/>
    <mergeCell ref="BG87:BG95"/>
    <mergeCell ref="BH87:BH95"/>
    <mergeCell ref="AW87:AW95"/>
    <mergeCell ref="AX87:AX95"/>
    <mergeCell ref="AY87:AY95"/>
    <mergeCell ref="AZ87:AZ95"/>
    <mergeCell ref="BA87:BA95"/>
    <mergeCell ref="BB87:BB95"/>
    <mergeCell ref="AQ87:AQ95"/>
    <mergeCell ref="AR87:AR95"/>
    <mergeCell ref="AS87:AS95"/>
    <mergeCell ref="AT87:AT95"/>
    <mergeCell ref="AU87:AU95"/>
    <mergeCell ref="AV87:AV95"/>
    <mergeCell ref="CO87:CO95"/>
    <mergeCell ref="CP87:CP95"/>
    <mergeCell ref="BU87:BU95"/>
    <mergeCell ref="BV87:BV95"/>
    <mergeCell ref="BX87:BX95"/>
    <mergeCell ref="CF87:CF95"/>
    <mergeCell ref="CI87:CI95"/>
    <mergeCell ref="CJ87:CJ95"/>
    <mergeCell ref="BO87:BO95"/>
    <mergeCell ref="BP87:BP95"/>
    <mergeCell ref="BQ87:BQ95"/>
    <mergeCell ref="BR87:BR95"/>
    <mergeCell ref="BS87:BS95"/>
    <mergeCell ref="BT87:BT95"/>
    <mergeCell ref="BI87:BI95"/>
    <mergeCell ref="BJ87:BJ95"/>
    <mergeCell ref="BK87:BK95"/>
    <mergeCell ref="BL87:BL95"/>
    <mergeCell ref="BM87:BM95"/>
    <mergeCell ref="BN87:BN95"/>
    <mergeCell ref="DI87:DI95"/>
    <mergeCell ref="DJ87:DJ95"/>
    <mergeCell ref="A96:A100"/>
    <mergeCell ref="B96:B100"/>
    <mergeCell ref="C96:C100"/>
    <mergeCell ref="D96:D100"/>
    <mergeCell ref="G96:G100"/>
    <mergeCell ref="I96:I100"/>
    <mergeCell ref="J96:J100"/>
    <mergeCell ref="K96:K100"/>
    <mergeCell ref="DC87:DC95"/>
    <mergeCell ref="DD87:DD95"/>
    <mergeCell ref="DE87:DE95"/>
    <mergeCell ref="DF87:DF95"/>
    <mergeCell ref="DG87:DG95"/>
    <mergeCell ref="DH87:DH95"/>
    <mergeCell ref="CW87:CW95"/>
    <mergeCell ref="CX87:CX95"/>
    <mergeCell ref="CY87:CY95"/>
    <mergeCell ref="CZ87:CZ95"/>
    <mergeCell ref="DA87:DA95"/>
    <mergeCell ref="DB87:DB95"/>
    <mergeCell ref="CQ87:CQ95"/>
    <mergeCell ref="CR87:CR95"/>
    <mergeCell ref="CS87:CS95"/>
    <mergeCell ref="CT87:CT95"/>
    <mergeCell ref="CU87:CU95"/>
    <mergeCell ref="CV87:CV95"/>
    <mergeCell ref="CK87:CK95"/>
    <mergeCell ref="CL87:CL95"/>
    <mergeCell ref="CM87:CM95"/>
    <mergeCell ref="CN87:CN95"/>
    <mergeCell ref="X96:X100"/>
    <mergeCell ref="Y96:Y100"/>
    <mergeCell ref="Z96:Z100"/>
    <mergeCell ref="AA96:AA100"/>
    <mergeCell ref="AB96:AB100"/>
    <mergeCell ref="AC96:AC100"/>
    <mergeCell ref="R96:R100"/>
    <mergeCell ref="S96:S100"/>
    <mergeCell ref="T96:T100"/>
    <mergeCell ref="U96:U100"/>
    <mergeCell ref="V96:V100"/>
    <mergeCell ref="W96:W100"/>
    <mergeCell ref="L96:L100"/>
    <mergeCell ref="M96:M100"/>
    <mergeCell ref="N96:N100"/>
    <mergeCell ref="O96:O100"/>
    <mergeCell ref="P96:P100"/>
    <mergeCell ref="Q96:Q100"/>
    <mergeCell ref="AP96:AP100"/>
    <mergeCell ref="AQ96:AQ100"/>
    <mergeCell ref="AR96:AR100"/>
    <mergeCell ref="AS96:AS100"/>
    <mergeCell ref="AT96:AT100"/>
    <mergeCell ref="AU96:AU100"/>
    <mergeCell ref="AJ96:AJ100"/>
    <mergeCell ref="AK96:AK100"/>
    <mergeCell ref="AL96:AL100"/>
    <mergeCell ref="AM96:AM100"/>
    <mergeCell ref="AN96:AN100"/>
    <mergeCell ref="AO96:AO100"/>
    <mergeCell ref="AD96:AD100"/>
    <mergeCell ref="AE96:AE100"/>
    <mergeCell ref="AF96:AF100"/>
    <mergeCell ref="AG96:AG100"/>
    <mergeCell ref="AH96:AH100"/>
    <mergeCell ref="AI96:AI100"/>
    <mergeCell ref="BH96:BH100"/>
    <mergeCell ref="BI96:BI100"/>
    <mergeCell ref="BJ96:BJ100"/>
    <mergeCell ref="BK96:BK100"/>
    <mergeCell ref="BL96:BL100"/>
    <mergeCell ref="BM96:BM100"/>
    <mergeCell ref="BB96:BB100"/>
    <mergeCell ref="BC96:BC100"/>
    <mergeCell ref="BD96:BD100"/>
    <mergeCell ref="BE96:BE100"/>
    <mergeCell ref="BF96:BF100"/>
    <mergeCell ref="BG96:BG100"/>
    <mergeCell ref="AV96:AV100"/>
    <mergeCell ref="AW96:AW100"/>
    <mergeCell ref="AX96:AX100"/>
    <mergeCell ref="AY96:AY100"/>
    <mergeCell ref="AZ96:AZ100"/>
    <mergeCell ref="BA96:BA100"/>
    <mergeCell ref="BZ96:BZ100"/>
    <mergeCell ref="CA96:CA100"/>
    <mergeCell ref="CB96:CB100"/>
    <mergeCell ref="CC96:CC100"/>
    <mergeCell ref="CD96:CD100"/>
    <mergeCell ref="CE96:CE100"/>
    <mergeCell ref="BT96:BT100"/>
    <mergeCell ref="BU96:BU100"/>
    <mergeCell ref="BV96:BV100"/>
    <mergeCell ref="BW96:BW100"/>
    <mergeCell ref="BX96:BX100"/>
    <mergeCell ref="BY96:BY100"/>
    <mergeCell ref="BN96:BN100"/>
    <mergeCell ref="BO96:BO100"/>
    <mergeCell ref="BP96:BP100"/>
    <mergeCell ref="BQ96:BQ100"/>
    <mergeCell ref="BR96:BR100"/>
    <mergeCell ref="BS96:BS100"/>
    <mergeCell ref="DB96:DB100"/>
    <mergeCell ref="DC96:DC100"/>
    <mergeCell ref="CR96:CR100"/>
    <mergeCell ref="CS96:CS100"/>
    <mergeCell ref="CT96:CT100"/>
    <mergeCell ref="CU96:CU100"/>
    <mergeCell ref="CV96:CV100"/>
    <mergeCell ref="CW96:CW100"/>
    <mergeCell ref="CL96:CL100"/>
    <mergeCell ref="CM96:CM100"/>
    <mergeCell ref="CN96:CN100"/>
    <mergeCell ref="CO96:CO100"/>
    <mergeCell ref="CP96:CP100"/>
    <mergeCell ref="CQ96:CQ100"/>
    <mergeCell ref="CF96:CF100"/>
    <mergeCell ref="CG96:CG100"/>
    <mergeCell ref="CH96:CH100"/>
    <mergeCell ref="CI96:CI100"/>
    <mergeCell ref="CJ96:CJ100"/>
    <mergeCell ref="CK96:CK100"/>
    <mergeCell ref="S101:S106"/>
    <mergeCell ref="T101:T106"/>
    <mergeCell ref="U101:U106"/>
    <mergeCell ref="V101:V106"/>
    <mergeCell ref="W101:W106"/>
    <mergeCell ref="X101:X106"/>
    <mergeCell ref="M101:M106"/>
    <mergeCell ref="N101:N106"/>
    <mergeCell ref="O101:O106"/>
    <mergeCell ref="P101:P106"/>
    <mergeCell ref="Q101:Q106"/>
    <mergeCell ref="R101:R106"/>
    <mergeCell ref="DJ96:DJ100"/>
    <mergeCell ref="A101:A106"/>
    <mergeCell ref="B101:B106"/>
    <mergeCell ref="C101:C106"/>
    <mergeCell ref="D101:D106"/>
    <mergeCell ref="G101:G106"/>
    <mergeCell ref="I101:I106"/>
    <mergeCell ref="J101:J106"/>
    <mergeCell ref="K101:K106"/>
    <mergeCell ref="L101:L106"/>
    <mergeCell ref="DD96:DD100"/>
    <mergeCell ref="DE96:DE100"/>
    <mergeCell ref="DF96:DF100"/>
    <mergeCell ref="DG96:DG100"/>
    <mergeCell ref="DH96:DH100"/>
    <mergeCell ref="DI96:DI100"/>
    <mergeCell ref="CX96:CX100"/>
    <mergeCell ref="CY96:CY100"/>
    <mergeCell ref="CZ96:CZ100"/>
    <mergeCell ref="DA96:DA100"/>
    <mergeCell ref="AK101:AK106"/>
    <mergeCell ref="AL101:AL106"/>
    <mergeCell ref="AM101:AM106"/>
    <mergeCell ref="AN101:AN106"/>
    <mergeCell ref="AO101:AO106"/>
    <mergeCell ref="AP101:AP106"/>
    <mergeCell ref="AE101:AE106"/>
    <mergeCell ref="AF101:AF106"/>
    <mergeCell ref="AG101:AG106"/>
    <mergeCell ref="AH101:AH106"/>
    <mergeCell ref="AI101:AI106"/>
    <mergeCell ref="AJ101:AJ106"/>
    <mergeCell ref="Y101:Y106"/>
    <mergeCell ref="Z101:Z106"/>
    <mergeCell ref="AA101:AA106"/>
    <mergeCell ref="AB101:AB106"/>
    <mergeCell ref="AC101:AC106"/>
    <mergeCell ref="AD101:AD106"/>
    <mergeCell ref="BC101:BC106"/>
    <mergeCell ref="BD101:BD106"/>
    <mergeCell ref="BE101:BE106"/>
    <mergeCell ref="BF101:BF106"/>
    <mergeCell ref="BG101:BG106"/>
    <mergeCell ref="BH101:BH106"/>
    <mergeCell ref="AW101:AW106"/>
    <mergeCell ref="AX101:AX106"/>
    <mergeCell ref="AY101:AY106"/>
    <mergeCell ref="AZ101:AZ106"/>
    <mergeCell ref="BA101:BA106"/>
    <mergeCell ref="BB101:BB106"/>
    <mergeCell ref="AQ101:AQ106"/>
    <mergeCell ref="AR101:AR106"/>
    <mergeCell ref="AS101:AS106"/>
    <mergeCell ref="AT101:AT106"/>
    <mergeCell ref="AU101:AU106"/>
    <mergeCell ref="AV101:AV106"/>
    <mergeCell ref="BU101:BU106"/>
    <mergeCell ref="BV101:BV106"/>
    <mergeCell ref="BW101:BW106"/>
    <mergeCell ref="BX101:BX106"/>
    <mergeCell ref="BY101:BY106"/>
    <mergeCell ref="BZ101:BZ106"/>
    <mergeCell ref="BO101:BO106"/>
    <mergeCell ref="BP101:BP106"/>
    <mergeCell ref="BQ101:BQ106"/>
    <mergeCell ref="BR101:BR106"/>
    <mergeCell ref="BS101:BS106"/>
    <mergeCell ref="BT101:BT106"/>
    <mergeCell ref="BI101:BI106"/>
    <mergeCell ref="BJ101:BJ106"/>
    <mergeCell ref="BK101:BK106"/>
    <mergeCell ref="BL101:BL106"/>
    <mergeCell ref="BM101:BM106"/>
    <mergeCell ref="BN101:BN106"/>
    <mergeCell ref="CM101:CM106"/>
    <mergeCell ref="CN101:CN106"/>
    <mergeCell ref="CO101:CO106"/>
    <mergeCell ref="CP101:CP106"/>
    <mergeCell ref="CQ101:CQ106"/>
    <mergeCell ref="CR101:CR106"/>
    <mergeCell ref="CG101:CG106"/>
    <mergeCell ref="CH101:CH106"/>
    <mergeCell ref="CI101:CI106"/>
    <mergeCell ref="CJ101:CJ106"/>
    <mergeCell ref="CK101:CK106"/>
    <mergeCell ref="CL101:CL106"/>
    <mergeCell ref="CA101:CA106"/>
    <mergeCell ref="CB101:CB106"/>
    <mergeCell ref="CC101:CC106"/>
    <mergeCell ref="CD101:CD106"/>
    <mergeCell ref="CE101:CE106"/>
    <mergeCell ref="CF101:CF106"/>
    <mergeCell ref="DE101:DE106"/>
    <mergeCell ref="DF101:DF106"/>
    <mergeCell ref="DG101:DG106"/>
    <mergeCell ref="DH101:DH106"/>
    <mergeCell ref="DI101:DI106"/>
    <mergeCell ref="DJ101:DJ106"/>
    <mergeCell ref="CY101:CY106"/>
    <mergeCell ref="CZ101:CZ106"/>
    <mergeCell ref="DA101:DA106"/>
    <mergeCell ref="DB101:DB106"/>
    <mergeCell ref="DC101:DC106"/>
    <mergeCell ref="DD101:DD106"/>
    <mergeCell ref="CS101:CS106"/>
    <mergeCell ref="CT101:CT106"/>
    <mergeCell ref="CU101:CU106"/>
    <mergeCell ref="CV101:CV106"/>
    <mergeCell ref="CW101:CW106"/>
    <mergeCell ref="CX101:CX106"/>
    <mergeCell ref="P107:P112"/>
    <mergeCell ref="Q107:Q112"/>
    <mergeCell ref="R107:R112"/>
    <mergeCell ref="S107:S112"/>
    <mergeCell ref="T107:T112"/>
    <mergeCell ref="U107:U112"/>
    <mergeCell ref="J107:J112"/>
    <mergeCell ref="K107:K112"/>
    <mergeCell ref="L107:L112"/>
    <mergeCell ref="M107:M112"/>
    <mergeCell ref="N107:N112"/>
    <mergeCell ref="O107:O112"/>
    <mergeCell ref="A107:A112"/>
    <mergeCell ref="B107:B112"/>
    <mergeCell ref="C107:C112"/>
    <mergeCell ref="D107:D112"/>
    <mergeCell ref="G107:G112"/>
    <mergeCell ref="I107:I112"/>
    <mergeCell ref="AH107:AH112"/>
    <mergeCell ref="AI107:AI112"/>
    <mergeCell ref="AJ107:AJ112"/>
    <mergeCell ref="AK107:AK112"/>
    <mergeCell ref="AL107:AL112"/>
    <mergeCell ref="AM107:AM112"/>
    <mergeCell ref="AB107:AB112"/>
    <mergeCell ref="AC107:AC112"/>
    <mergeCell ref="AD107:AD112"/>
    <mergeCell ref="AE107:AE112"/>
    <mergeCell ref="AF107:AF112"/>
    <mergeCell ref="AG107:AG112"/>
    <mergeCell ref="V107:V112"/>
    <mergeCell ref="W107:W112"/>
    <mergeCell ref="X107:X112"/>
    <mergeCell ref="Y107:Y112"/>
    <mergeCell ref="Z107:Z112"/>
    <mergeCell ref="AA107:AA112"/>
    <mergeCell ref="AZ107:AZ112"/>
    <mergeCell ref="BA107:BA112"/>
    <mergeCell ref="BB107:BB112"/>
    <mergeCell ref="BC107:BC112"/>
    <mergeCell ref="BD107:BD112"/>
    <mergeCell ref="BE107:BE112"/>
    <mergeCell ref="AT107:AT112"/>
    <mergeCell ref="AU107:AU112"/>
    <mergeCell ref="AV107:AV112"/>
    <mergeCell ref="AW107:AW112"/>
    <mergeCell ref="AX107:AX112"/>
    <mergeCell ref="AY107:AY112"/>
    <mergeCell ref="AN107:AN112"/>
    <mergeCell ref="AO107:AO112"/>
    <mergeCell ref="AP107:AP112"/>
    <mergeCell ref="AQ107:AQ112"/>
    <mergeCell ref="AR107:AR112"/>
    <mergeCell ref="AS107:AS112"/>
    <mergeCell ref="BR107:BR112"/>
    <mergeCell ref="BS107:BS112"/>
    <mergeCell ref="BT107:BT112"/>
    <mergeCell ref="BU107:BU112"/>
    <mergeCell ref="BV107:BV112"/>
    <mergeCell ref="BW107:BW112"/>
    <mergeCell ref="BL107:BL112"/>
    <mergeCell ref="BM107:BM112"/>
    <mergeCell ref="BN107:BN112"/>
    <mergeCell ref="BO107:BO112"/>
    <mergeCell ref="BP107:BP112"/>
    <mergeCell ref="BQ107:BQ112"/>
    <mergeCell ref="BF107:BF112"/>
    <mergeCell ref="BG107:BG112"/>
    <mergeCell ref="BH107:BH112"/>
    <mergeCell ref="BI107:BI112"/>
    <mergeCell ref="BJ107:BJ112"/>
    <mergeCell ref="BK107:BK112"/>
    <mergeCell ref="CT107:CT112"/>
    <mergeCell ref="CU107:CU112"/>
    <mergeCell ref="CJ107:CJ112"/>
    <mergeCell ref="CK107:CK112"/>
    <mergeCell ref="CL107:CL112"/>
    <mergeCell ref="CM107:CM112"/>
    <mergeCell ref="CN107:CN112"/>
    <mergeCell ref="CO107:CO112"/>
    <mergeCell ref="CD107:CD112"/>
    <mergeCell ref="CE107:CE112"/>
    <mergeCell ref="CF107:CF112"/>
    <mergeCell ref="CG107:CG112"/>
    <mergeCell ref="CH107:CH112"/>
    <mergeCell ref="CI107:CI112"/>
    <mergeCell ref="BX107:BX112"/>
    <mergeCell ref="BY107:BY112"/>
    <mergeCell ref="BZ107:BZ112"/>
    <mergeCell ref="CA107:CA112"/>
    <mergeCell ref="CB107:CB112"/>
    <mergeCell ref="CC107:CC112"/>
    <mergeCell ref="K113:K118"/>
    <mergeCell ref="L113:L118"/>
    <mergeCell ref="M113:M118"/>
    <mergeCell ref="N113:N118"/>
    <mergeCell ref="O113:O118"/>
    <mergeCell ref="P113:P118"/>
    <mergeCell ref="DH107:DH112"/>
    <mergeCell ref="DI107:DI112"/>
    <mergeCell ref="DJ107:DJ112"/>
    <mergeCell ref="A113:A118"/>
    <mergeCell ref="B113:B118"/>
    <mergeCell ref="C113:C118"/>
    <mergeCell ref="D113:D118"/>
    <mergeCell ref="G113:G118"/>
    <mergeCell ref="I113:I118"/>
    <mergeCell ref="J113:J118"/>
    <mergeCell ref="DB107:DB112"/>
    <mergeCell ref="DC107:DC112"/>
    <mergeCell ref="DD107:DD112"/>
    <mergeCell ref="DE107:DE112"/>
    <mergeCell ref="DF107:DF112"/>
    <mergeCell ref="DG107:DG112"/>
    <mergeCell ref="CV107:CV112"/>
    <mergeCell ref="CW107:CW112"/>
    <mergeCell ref="CX107:CX112"/>
    <mergeCell ref="CY107:CY112"/>
    <mergeCell ref="CZ107:CZ112"/>
    <mergeCell ref="DA107:DA112"/>
    <mergeCell ref="CP107:CP112"/>
    <mergeCell ref="CQ107:CQ112"/>
    <mergeCell ref="CR107:CR112"/>
    <mergeCell ref="CS107:CS112"/>
    <mergeCell ref="AC113:AC118"/>
    <mergeCell ref="AD113:AD118"/>
    <mergeCell ref="AE113:AE118"/>
    <mergeCell ref="AF113:AF118"/>
    <mergeCell ref="AG113:AG118"/>
    <mergeCell ref="AH113:AH118"/>
    <mergeCell ref="W113:W118"/>
    <mergeCell ref="X113:X118"/>
    <mergeCell ref="Y113:Y118"/>
    <mergeCell ref="Z113:Z118"/>
    <mergeCell ref="AA113:AA118"/>
    <mergeCell ref="AB113:AB118"/>
    <mergeCell ref="Q113:Q118"/>
    <mergeCell ref="R113:R118"/>
    <mergeCell ref="S113:S118"/>
    <mergeCell ref="T113:T118"/>
    <mergeCell ref="U113:U118"/>
    <mergeCell ref="V113:V118"/>
    <mergeCell ref="AU113:AU118"/>
    <mergeCell ref="AV113:AV118"/>
    <mergeCell ref="AW113:AW118"/>
    <mergeCell ref="AX113:AX118"/>
    <mergeCell ref="AY113:AY118"/>
    <mergeCell ref="AZ113:AZ118"/>
    <mergeCell ref="AO113:AO118"/>
    <mergeCell ref="AP113:AP118"/>
    <mergeCell ref="AQ113:AQ118"/>
    <mergeCell ref="AR113:AR118"/>
    <mergeCell ref="AS113:AS118"/>
    <mergeCell ref="AT113:AT118"/>
    <mergeCell ref="AI113:AI118"/>
    <mergeCell ref="AJ113:AJ118"/>
    <mergeCell ref="AK113:AK118"/>
    <mergeCell ref="AL113:AL118"/>
    <mergeCell ref="AM113:AM118"/>
    <mergeCell ref="AN113:AN118"/>
    <mergeCell ref="BM113:BM118"/>
    <mergeCell ref="BN113:BN118"/>
    <mergeCell ref="BO113:BO118"/>
    <mergeCell ref="BP113:BP118"/>
    <mergeCell ref="BQ113:BQ118"/>
    <mergeCell ref="BR113:BR118"/>
    <mergeCell ref="BG113:BG118"/>
    <mergeCell ref="BH113:BH118"/>
    <mergeCell ref="BI113:BI118"/>
    <mergeCell ref="BJ113:BJ118"/>
    <mergeCell ref="BK113:BK118"/>
    <mergeCell ref="BL113:BL118"/>
    <mergeCell ref="BA113:BA118"/>
    <mergeCell ref="BB113:BB118"/>
    <mergeCell ref="BC113:BC118"/>
    <mergeCell ref="BD113:BD118"/>
    <mergeCell ref="BE113:BE118"/>
    <mergeCell ref="BF113:BF118"/>
    <mergeCell ref="CO113:CO118"/>
    <mergeCell ref="CP113:CP118"/>
    <mergeCell ref="CE113:CE118"/>
    <mergeCell ref="CF113:CF118"/>
    <mergeCell ref="CG113:CG118"/>
    <mergeCell ref="CH113:CH118"/>
    <mergeCell ref="CI113:CI118"/>
    <mergeCell ref="CJ113:CJ118"/>
    <mergeCell ref="BY113:BY118"/>
    <mergeCell ref="BZ113:BZ118"/>
    <mergeCell ref="CA113:CA118"/>
    <mergeCell ref="CB113:CB118"/>
    <mergeCell ref="CC113:CC118"/>
    <mergeCell ref="CD113:CD118"/>
    <mergeCell ref="BS113:BS118"/>
    <mergeCell ref="BT113:BT118"/>
    <mergeCell ref="BU113:BU118"/>
    <mergeCell ref="BV113:BV118"/>
    <mergeCell ref="BW113:BW118"/>
    <mergeCell ref="BX113:BX118"/>
    <mergeCell ref="DI113:DI118"/>
    <mergeCell ref="DJ113:DJ118"/>
    <mergeCell ref="A119:A127"/>
    <mergeCell ref="B119:B127"/>
    <mergeCell ref="C119:C127"/>
    <mergeCell ref="D119:D127"/>
    <mergeCell ref="G119:G127"/>
    <mergeCell ref="I119:I127"/>
    <mergeCell ref="J119:J127"/>
    <mergeCell ref="K119:K127"/>
    <mergeCell ref="DC113:DC118"/>
    <mergeCell ref="DD113:DD118"/>
    <mergeCell ref="DE113:DE118"/>
    <mergeCell ref="DF113:DF118"/>
    <mergeCell ref="DG113:DG118"/>
    <mergeCell ref="DH113:DH118"/>
    <mergeCell ref="CW113:CW118"/>
    <mergeCell ref="CX113:CX118"/>
    <mergeCell ref="CY113:CY118"/>
    <mergeCell ref="CZ113:CZ118"/>
    <mergeCell ref="DA113:DA118"/>
    <mergeCell ref="DB113:DB118"/>
    <mergeCell ref="CQ113:CQ118"/>
    <mergeCell ref="CR113:CR118"/>
    <mergeCell ref="CS113:CS118"/>
    <mergeCell ref="CT113:CT118"/>
    <mergeCell ref="CU113:CU118"/>
    <mergeCell ref="CV113:CV118"/>
    <mergeCell ref="CK113:CK118"/>
    <mergeCell ref="CL113:CL118"/>
    <mergeCell ref="CM113:CM118"/>
    <mergeCell ref="CN113:CN118"/>
    <mergeCell ref="X119:X127"/>
    <mergeCell ref="Y119:Y127"/>
    <mergeCell ref="Z119:Z127"/>
    <mergeCell ref="AA119:AA127"/>
    <mergeCell ref="AB119:AB127"/>
    <mergeCell ref="AC119:AC127"/>
    <mergeCell ref="R119:R127"/>
    <mergeCell ref="S119:S127"/>
    <mergeCell ref="T119:T127"/>
    <mergeCell ref="U119:U127"/>
    <mergeCell ref="V119:V127"/>
    <mergeCell ref="W119:W127"/>
    <mergeCell ref="L119:L127"/>
    <mergeCell ref="M119:M127"/>
    <mergeCell ref="N119:N127"/>
    <mergeCell ref="O119:O127"/>
    <mergeCell ref="P119:P127"/>
    <mergeCell ref="Q119:Q127"/>
    <mergeCell ref="AP119:AP127"/>
    <mergeCell ref="AQ119:AQ127"/>
    <mergeCell ref="AR119:AR127"/>
    <mergeCell ref="AS119:AS127"/>
    <mergeCell ref="AT119:AT127"/>
    <mergeCell ref="AU119:AU127"/>
    <mergeCell ref="AJ119:AJ127"/>
    <mergeCell ref="AK119:AK127"/>
    <mergeCell ref="AL119:AL127"/>
    <mergeCell ref="AM119:AM127"/>
    <mergeCell ref="AN119:AN127"/>
    <mergeCell ref="AO119:AO127"/>
    <mergeCell ref="AD119:AD127"/>
    <mergeCell ref="AE119:AE127"/>
    <mergeCell ref="AF119:AF127"/>
    <mergeCell ref="AG119:AG127"/>
    <mergeCell ref="AH119:AH127"/>
    <mergeCell ref="AI119:AI127"/>
    <mergeCell ref="BS119:BS127"/>
    <mergeCell ref="BH119:BH127"/>
    <mergeCell ref="BI119:BI127"/>
    <mergeCell ref="BJ119:BJ127"/>
    <mergeCell ref="BK119:BK127"/>
    <mergeCell ref="BL119:BL127"/>
    <mergeCell ref="BM119:BM127"/>
    <mergeCell ref="BB119:BB127"/>
    <mergeCell ref="BC119:BC127"/>
    <mergeCell ref="BD119:BD127"/>
    <mergeCell ref="BE119:BE127"/>
    <mergeCell ref="BF119:BF127"/>
    <mergeCell ref="BG119:BG127"/>
    <mergeCell ref="AV119:AV127"/>
    <mergeCell ref="AW119:AW127"/>
    <mergeCell ref="AX119:AX127"/>
    <mergeCell ref="AY119:AY127"/>
    <mergeCell ref="AZ119:AZ127"/>
    <mergeCell ref="BA119:BA127"/>
    <mergeCell ref="DJ119:DJ127"/>
    <mergeCell ref="A128:A132"/>
    <mergeCell ref="C128:C132"/>
    <mergeCell ref="D128:D132"/>
    <mergeCell ref="G128:G132"/>
    <mergeCell ref="I128:I132"/>
    <mergeCell ref="J128:J132"/>
    <mergeCell ref="K128:K132"/>
    <mergeCell ref="L128:L132"/>
    <mergeCell ref="DD119:DD127"/>
    <mergeCell ref="DE119:DE127"/>
    <mergeCell ref="DF119:DF127"/>
    <mergeCell ref="DG119:DG127"/>
    <mergeCell ref="DH119:DH127"/>
    <mergeCell ref="DI119:DI127"/>
    <mergeCell ref="CX119:CX127"/>
    <mergeCell ref="CY119:CY127"/>
    <mergeCell ref="CZ119:CZ127"/>
    <mergeCell ref="DA119:DA127"/>
    <mergeCell ref="DB119:DB127"/>
    <mergeCell ref="DC119:DC127"/>
    <mergeCell ref="BT119:BT127"/>
    <mergeCell ref="BU119:BU127"/>
    <mergeCell ref="BV119:BV127"/>
    <mergeCell ref="CI119:CI127"/>
    <mergeCell ref="CV119:CV127"/>
    <mergeCell ref="CW119:CW127"/>
    <mergeCell ref="BN119:BN127"/>
    <mergeCell ref="BO119:BO127"/>
    <mergeCell ref="BP119:BP127"/>
    <mergeCell ref="BQ119:BQ127"/>
    <mergeCell ref="BR119:BR127"/>
    <mergeCell ref="Y128:Y132"/>
    <mergeCell ref="Z128:Z132"/>
    <mergeCell ref="AA128:AA132"/>
    <mergeCell ref="AB128:AB132"/>
    <mergeCell ref="AC128:AC132"/>
    <mergeCell ref="AD128:AD132"/>
    <mergeCell ref="S128:S132"/>
    <mergeCell ref="T128:T132"/>
    <mergeCell ref="U128:U132"/>
    <mergeCell ref="V128:V132"/>
    <mergeCell ref="W128:W132"/>
    <mergeCell ref="X128:X132"/>
    <mergeCell ref="M128:M132"/>
    <mergeCell ref="N128:N132"/>
    <mergeCell ref="O128:O132"/>
    <mergeCell ref="P128:P132"/>
    <mergeCell ref="Q128:Q132"/>
    <mergeCell ref="R128:R132"/>
    <mergeCell ref="AQ128:AQ132"/>
    <mergeCell ref="AR128:AR132"/>
    <mergeCell ref="AS128:AS132"/>
    <mergeCell ref="AT128:AT132"/>
    <mergeCell ref="AU128:AU132"/>
    <mergeCell ref="AV128:AV132"/>
    <mergeCell ref="AK128:AK132"/>
    <mergeCell ref="AL128:AL132"/>
    <mergeCell ref="AM128:AM132"/>
    <mergeCell ref="AN128:AN132"/>
    <mergeCell ref="AO128:AO132"/>
    <mergeCell ref="AP128:AP132"/>
    <mergeCell ref="AE128:AE132"/>
    <mergeCell ref="AF128:AF132"/>
    <mergeCell ref="AG128:AG132"/>
    <mergeCell ref="AH128:AH132"/>
    <mergeCell ref="AI128:AI132"/>
    <mergeCell ref="AJ128:AJ132"/>
    <mergeCell ref="BS128:BS132"/>
    <mergeCell ref="BT128:BT132"/>
    <mergeCell ref="BI128:BI132"/>
    <mergeCell ref="BJ128:BJ132"/>
    <mergeCell ref="BK128:BK132"/>
    <mergeCell ref="BL128:BL132"/>
    <mergeCell ref="BM128:BM132"/>
    <mergeCell ref="BN128:BN132"/>
    <mergeCell ref="BC128:BC132"/>
    <mergeCell ref="BD128:BD132"/>
    <mergeCell ref="BE128:BE132"/>
    <mergeCell ref="BF128:BF132"/>
    <mergeCell ref="BG128:BG132"/>
    <mergeCell ref="BH128:BH132"/>
    <mergeCell ref="AW128:AW132"/>
    <mergeCell ref="AX128:AX132"/>
    <mergeCell ref="AY128:AY132"/>
    <mergeCell ref="AZ128:AZ132"/>
    <mergeCell ref="BA128:BA132"/>
    <mergeCell ref="BB128:BB132"/>
    <mergeCell ref="DH128:DH132"/>
    <mergeCell ref="DI128:DI132"/>
    <mergeCell ref="DJ128:DJ132"/>
    <mergeCell ref="A133:A141"/>
    <mergeCell ref="B133:B141"/>
    <mergeCell ref="C133:C141"/>
    <mergeCell ref="D133:D141"/>
    <mergeCell ref="G133:G141"/>
    <mergeCell ref="I133:I141"/>
    <mergeCell ref="J133:J141"/>
    <mergeCell ref="DB128:DB132"/>
    <mergeCell ref="DC128:DC132"/>
    <mergeCell ref="DD128:DD132"/>
    <mergeCell ref="DE128:DE132"/>
    <mergeCell ref="DF128:DF132"/>
    <mergeCell ref="DG128:DG132"/>
    <mergeCell ref="CV128:CV132"/>
    <mergeCell ref="CW128:CW132"/>
    <mergeCell ref="CX128:CX132"/>
    <mergeCell ref="CY128:CY132"/>
    <mergeCell ref="CZ128:CZ132"/>
    <mergeCell ref="DA128:DA132"/>
    <mergeCell ref="BU128:BU132"/>
    <mergeCell ref="BV128:BV132"/>
    <mergeCell ref="BX128:BX132"/>
    <mergeCell ref="CI128:CI132"/>
    <mergeCell ref="CJ128:CJ132"/>
    <mergeCell ref="CK128:CK132"/>
    <mergeCell ref="BO128:BO132"/>
    <mergeCell ref="BP128:BP132"/>
    <mergeCell ref="BQ128:BQ132"/>
    <mergeCell ref="BR128:BR132"/>
    <mergeCell ref="W133:W141"/>
    <mergeCell ref="X133:X141"/>
    <mergeCell ref="Y133:Y141"/>
    <mergeCell ref="Z133:Z141"/>
    <mergeCell ref="AA133:AA141"/>
    <mergeCell ref="AB133:AB141"/>
    <mergeCell ref="Q133:Q141"/>
    <mergeCell ref="R133:R141"/>
    <mergeCell ref="S133:S141"/>
    <mergeCell ref="T133:T141"/>
    <mergeCell ref="U133:U141"/>
    <mergeCell ref="V133:V141"/>
    <mergeCell ref="K133:K141"/>
    <mergeCell ref="L133:L141"/>
    <mergeCell ref="M133:M141"/>
    <mergeCell ref="N133:N141"/>
    <mergeCell ref="O133:O141"/>
    <mergeCell ref="P133:P141"/>
    <mergeCell ref="AO133:AO141"/>
    <mergeCell ref="AP133:AP141"/>
    <mergeCell ref="AQ133:AQ141"/>
    <mergeCell ref="AR133:AR141"/>
    <mergeCell ref="AS133:AS141"/>
    <mergeCell ref="AT133:AT141"/>
    <mergeCell ref="AI133:AI141"/>
    <mergeCell ref="AJ133:AJ141"/>
    <mergeCell ref="AK133:AK141"/>
    <mergeCell ref="AL133:AL141"/>
    <mergeCell ref="AM133:AM141"/>
    <mergeCell ref="AN133:AN141"/>
    <mergeCell ref="AC133:AC141"/>
    <mergeCell ref="AD133:AD141"/>
    <mergeCell ref="AE133:AE141"/>
    <mergeCell ref="AF133:AF141"/>
    <mergeCell ref="AG133:AG141"/>
    <mergeCell ref="AH133:AH141"/>
    <mergeCell ref="BG133:BG141"/>
    <mergeCell ref="BH133:BH141"/>
    <mergeCell ref="BI133:BI141"/>
    <mergeCell ref="BJ133:BJ141"/>
    <mergeCell ref="BK133:BK141"/>
    <mergeCell ref="BL133:BL141"/>
    <mergeCell ref="BA133:BA141"/>
    <mergeCell ref="BB133:BB141"/>
    <mergeCell ref="BC133:BC141"/>
    <mergeCell ref="BD133:BD141"/>
    <mergeCell ref="BE133:BE141"/>
    <mergeCell ref="BF133:BF141"/>
    <mergeCell ref="AU133:AU141"/>
    <mergeCell ref="AV133:AV141"/>
    <mergeCell ref="AW133:AW141"/>
    <mergeCell ref="AX133:AX141"/>
    <mergeCell ref="AY133:AY141"/>
    <mergeCell ref="AZ133:AZ141"/>
    <mergeCell ref="BY133:BY141"/>
    <mergeCell ref="BZ133:BZ141"/>
    <mergeCell ref="CA133:CA141"/>
    <mergeCell ref="CB133:CB141"/>
    <mergeCell ref="CC133:CC141"/>
    <mergeCell ref="CD133:CD141"/>
    <mergeCell ref="BS133:BS141"/>
    <mergeCell ref="BT133:BT141"/>
    <mergeCell ref="BU133:BU141"/>
    <mergeCell ref="BV133:BV141"/>
    <mergeCell ref="BW133:BW141"/>
    <mergeCell ref="BX133:BX141"/>
    <mergeCell ref="BM133:BM141"/>
    <mergeCell ref="BN133:BN141"/>
    <mergeCell ref="BO133:BO141"/>
    <mergeCell ref="BP133:BP141"/>
    <mergeCell ref="BQ133:BQ141"/>
    <mergeCell ref="BR133:BR141"/>
    <mergeCell ref="DA133:DA141"/>
    <mergeCell ref="DB133:DB141"/>
    <mergeCell ref="CQ133:CQ141"/>
    <mergeCell ref="CR133:CR141"/>
    <mergeCell ref="CS133:CS141"/>
    <mergeCell ref="CT133:CT141"/>
    <mergeCell ref="CU133:CU141"/>
    <mergeCell ref="CV133:CV141"/>
    <mergeCell ref="CK133:CK141"/>
    <mergeCell ref="CL133:CL141"/>
    <mergeCell ref="CM133:CM141"/>
    <mergeCell ref="CN133:CN141"/>
    <mergeCell ref="CO133:CO141"/>
    <mergeCell ref="CP133:CP141"/>
    <mergeCell ref="CE133:CE141"/>
    <mergeCell ref="CF133:CF141"/>
    <mergeCell ref="CG133:CG141"/>
    <mergeCell ref="CH133:CH141"/>
    <mergeCell ref="CI133:CI141"/>
    <mergeCell ref="CJ133:CJ141"/>
    <mergeCell ref="R142:R145"/>
    <mergeCell ref="S142:S145"/>
    <mergeCell ref="T142:T145"/>
    <mergeCell ref="U142:U145"/>
    <mergeCell ref="V142:V145"/>
    <mergeCell ref="W142:W145"/>
    <mergeCell ref="L142:L145"/>
    <mergeCell ref="M142:M145"/>
    <mergeCell ref="N142:N145"/>
    <mergeCell ref="O142:O145"/>
    <mergeCell ref="P142:P145"/>
    <mergeCell ref="Q142:Q145"/>
    <mergeCell ref="DI133:DI141"/>
    <mergeCell ref="DJ133:DJ141"/>
    <mergeCell ref="A142:A145"/>
    <mergeCell ref="B142:B145"/>
    <mergeCell ref="C142:C145"/>
    <mergeCell ref="D142:D145"/>
    <mergeCell ref="G142:G145"/>
    <mergeCell ref="I142:I145"/>
    <mergeCell ref="J142:J145"/>
    <mergeCell ref="K142:K145"/>
    <mergeCell ref="DC133:DC141"/>
    <mergeCell ref="DD133:DD141"/>
    <mergeCell ref="DE133:DE141"/>
    <mergeCell ref="DF133:DF141"/>
    <mergeCell ref="DG133:DG141"/>
    <mergeCell ref="DH133:DH141"/>
    <mergeCell ref="CW133:CW141"/>
    <mergeCell ref="CX133:CX141"/>
    <mergeCell ref="CY133:CY141"/>
    <mergeCell ref="CZ133:CZ141"/>
    <mergeCell ref="AJ142:AJ145"/>
    <mergeCell ref="AK142:AK145"/>
    <mergeCell ref="AL142:AL145"/>
    <mergeCell ref="AM142:AM145"/>
    <mergeCell ref="AN142:AN145"/>
    <mergeCell ref="AO142:AO145"/>
    <mergeCell ref="AD142:AD145"/>
    <mergeCell ref="AE142:AE145"/>
    <mergeCell ref="AF142:AF145"/>
    <mergeCell ref="AG142:AG145"/>
    <mergeCell ref="AH142:AH145"/>
    <mergeCell ref="AI142:AI145"/>
    <mergeCell ref="X142:X145"/>
    <mergeCell ref="Y142:Y145"/>
    <mergeCell ref="Z142:Z145"/>
    <mergeCell ref="AA142:AA145"/>
    <mergeCell ref="AB142:AB145"/>
    <mergeCell ref="AC142:AC145"/>
    <mergeCell ref="BB142:BB145"/>
    <mergeCell ref="BC142:BC145"/>
    <mergeCell ref="BD142:BD145"/>
    <mergeCell ref="BE142:BE145"/>
    <mergeCell ref="BF142:BF145"/>
    <mergeCell ref="BG142:BG145"/>
    <mergeCell ref="AV142:AV145"/>
    <mergeCell ref="AW142:AW145"/>
    <mergeCell ref="AX142:AX145"/>
    <mergeCell ref="AY142:AY145"/>
    <mergeCell ref="AZ142:AZ145"/>
    <mergeCell ref="BA142:BA145"/>
    <mergeCell ref="AP142:AP145"/>
    <mergeCell ref="AQ142:AQ145"/>
    <mergeCell ref="AR142:AR145"/>
    <mergeCell ref="AS142:AS145"/>
    <mergeCell ref="AT142:AT145"/>
    <mergeCell ref="AU142:AU145"/>
    <mergeCell ref="CK142:CK145"/>
    <mergeCell ref="CL142:CL145"/>
    <mergeCell ref="BT142:BT145"/>
    <mergeCell ref="BU142:BU145"/>
    <mergeCell ref="BV142:BV145"/>
    <mergeCell ref="BW142:BW145"/>
    <mergeCell ref="BX142:BX145"/>
    <mergeCell ref="BY142:BY145"/>
    <mergeCell ref="BN142:BN145"/>
    <mergeCell ref="BO142:BO145"/>
    <mergeCell ref="BP142:BP145"/>
    <mergeCell ref="BQ142:BQ145"/>
    <mergeCell ref="BR142:BR145"/>
    <mergeCell ref="BS142:BS145"/>
    <mergeCell ref="BH142:BH145"/>
    <mergeCell ref="BI142:BI145"/>
    <mergeCell ref="BJ142:BJ145"/>
    <mergeCell ref="BK142:BK145"/>
    <mergeCell ref="BL142:BL145"/>
    <mergeCell ref="BM142:BM145"/>
    <mergeCell ref="DI142:DI145"/>
    <mergeCell ref="DJ142:DJ145"/>
    <mergeCell ref="A146:A154"/>
    <mergeCell ref="B146:B154"/>
    <mergeCell ref="C146:C154"/>
    <mergeCell ref="D146:D154"/>
    <mergeCell ref="G146:G154"/>
    <mergeCell ref="I146:I154"/>
    <mergeCell ref="J146:J154"/>
    <mergeCell ref="K146:K154"/>
    <mergeCell ref="DC142:DC145"/>
    <mergeCell ref="DD142:DD145"/>
    <mergeCell ref="DE142:DE145"/>
    <mergeCell ref="DF142:DF145"/>
    <mergeCell ref="DG142:DG145"/>
    <mergeCell ref="DH142:DH145"/>
    <mergeCell ref="CU142:CU145"/>
    <mergeCell ref="CV142:CV145"/>
    <mergeCell ref="CW142:CW145"/>
    <mergeCell ref="CX142:CX145"/>
    <mergeCell ref="CY142:CY145"/>
    <mergeCell ref="CZ142:CZ145"/>
    <mergeCell ref="CM142:CM145"/>
    <mergeCell ref="CP142:CP145"/>
    <mergeCell ref="CQ142:CQ145"/>
    <mergeCell ref="CR142:CR145"/>
    <mergeCell ref="CS142:CS145"/>
    <mergeCell ref="CT142:CT145"/>
    <mergeCell ref="BZ142:BZ145"/>
    <mergeCell ref="CH142:CH145"/>
    <mergeCell ref="CI142:CI145"/>
    <mergeCell ref="CJ142:CJ145"/>
    <mergeCell ref="X146:X154"/>
    <mergeCell ref="Y146:Y154"/>
    <mergeCell ref="Z146:Z154"/>
    <mergeCell ref="AA146:AA154"/>
    <mergeCell ref="AB146:AB154"/>
    <mergeCell ref="AC146:AC154"/>
    <mergeCell ref="R146:R154"/>
    <mergeCell ref="S146:S154"/>
    <mergeCell ref="T146:T154"/>
    <mergeCell ref="U146:U154"/>
    <mergeCell ref="V146:V154"/>
    <mergeCell ref="W146:W154"/>
    <mergeCell ref="L146:L154"/>
    <mergeCell ref="M146:M154"/>
    <mergeCell ref="N146:N154"/>
    <mergeCell ref="O146:O154"/>
    <mergeCell ref="P146:P154"/>
    <mergeCell ref="Q146:Q154"/>
    <mergeCell ref="AP146:AP154"/>
    <mergeCell ref="AQ146:AQ154"/>
    <mergeCell ref="AR146:AR154"/>
    <mergeCell ref="AS146:AS154"/>
    <mergeCell ref="AT146:AT154"/>
    <mergeCell ref="AU146:AU154"/>
    <mergeCell ref="AJ146:AJ154"/>
    <mergeCell ref="AK146:AK154"/>
    <mergeCell ref="AL146:AL154"/>
    <mergeCell ref="AM146:AM154"/>
    <mergeCell ref="AN146:AN154"/>
    <mergeCell ref="AO146:AO154"/>
    <mergeCell ref="AD146:AD154"/>
    <mergeCell ref="AE146:AE154"/>
    <mergeCell ref="AF146:AF154"/>
    <mergeCell ref="AG146:AG154"/>
    <mergeCell ref="AH146:AH154"/>
    <mergeCell ref="AI146:AI154"/>
    <mergeCell ref="BH146:BH154"/>
    <mergeCell ref="BI146:BI154"/>
    <mergeCell ref="BJ146:BJ154"/>
    <mergeCell ref="BK146:BK154"/>
    <mergeCell ref="BL146:BL154"/>
    <mergeCell ref="BM146:BM154"/>
    <mergeCell ref="BB146:BB154"/>
    <mergeCell ref="BC146:BC154"/>
    <mergeCell ref="BD146:BD154"/>
    <mergeCell ref="BE146:BE154"/>
    <mergeCell ref="BF146:BF154"/>
    <mergeCell ref="BG146:BG154"/>
    <mergeCell ref="AV146:AV154"/>
    <mergeCell ref="AW146:AW154"/>
    <mergeCell ref="AX146:AX154"/>
    <mergeCell ref="AY146:AY154"/>
    <mergeCell ref="AZ146:AZ154"/>
    <mergeCell ref="BA146:BA154"/>
    <mergeCell ref="CV146:CV154"/>
    <mergeCell ref="CB146:CB154"/>
    <mergeCell ref="CC146:CC154"/>
    <mergeCell ref="CE146:CE154"/>
    <mergeCell ref="CI146:CI154"/>
    <mergeCell ref="CJ146:CJ154"/>
    <mergeCell ref="CK146:CK154"/>
    <mergeCell ref="BT146:BT154"/>
    <mergeCell ref="BU146:BU154"/>
    <mergeCell ref="BV146:BV154"/>
    <mergeCell ref="BW146:BW154"/>
    <mergeCell ref="BX146:BX154"/>
    <mergeCell ref="CA146:CA154"/>
    <mergeCell ref="BN146:BN154"/>
    <mergeCell ref="BO146:BO154"/>
    <mergeCell ref="BP146:BP154"/>
    <mergeCell ref="BQ146:BQ154"/>
    <mergeCell ref="BR146:BR154"/>
    <mergeCell ref="BS146:BS154"/>
    <mergeCell ref="Q155:Q157"/>
    <mergeCell ref="R155:R157"/>
    <mergeCell ref="S155:S157"/>
    <mergeCell ref="T155:T157"/>
    <mergeCell ref="U155:U157"/>
    <mergeCell ref="V155:V157"/>
    <mergeCell ref="K155:K157"/>
    <mergeCell ref="L155:L157"/>
    <mergeCell ref="M155:M157"/>
    <mergeCell ref="N155:N157"/>
    <mergeCell ref="O155:O157"/>
    <mergeCell ref="P155:P157"/>
    <mergeCell ref="DI146:DI154"/>
    <mergeCell ref="DJ146:DJ154"/>
    <mergeCell ref="A155:A157"/>
    <mergeCell ref="B155:B157"/>
    <mergeCell ref="C155:C157"/>
    <mergeCell ref="D155:D157"/>
    <mergeCell ref="G155:G157"/>
    <mergeCell ref="I155:I157"/>
    <mergeCell ref="J155:J157"/>
    <mergeCell ref="CW146:CW154"/>
    <mergeCell ref="CX146:CX154"/>
    <mergeCell ref="CY146:CY154"/>
    <mergeCell ref="DA146:DA154"/>
    <mergeCell ref="DB146:DB154"/>
    <mergeCell ref="DC146:DC154"/>
    <mergeCell ref="CL146:CL154"/>
    <mergeCell ref="CN146:CN154"/>
    <mergeCell ref="CO146:CO154"/>
    <mergeCell ref="CP146:CP154"/>
    <mergeCell ref="CR146:CR154"/>
    <mergeCell ref="AI155:AI157"/>
    <mergeCell ref="AJ155:AJ157"/>
    <mergeCell ref="AK155:AK157"/>
    <mergeCell ref="AL155:AL157"/>
    <mergeCell ref="AM155:AM157"/>
    <mergeCell ref="AN155:AN157"/>
    <mergeCell ref="AC155:AC157"/>
    <mergeCell ref="AD155:AD157"/>
    <mergeCell ref="AE155:AE157"/>
    <mergeCell ref="AF155:AF157"/>
    <mergeCell ref="AG155:AG157"/>
    <mergeCell ref="AH155:AH157"/>
    <mergeCell ref="W155:W157"/>
    <mergeCell ref="X155:X157"/>
    <mergeCell ref="Y155:Y157"/>
    <mergeCell ref="Z155:Z157"/>
    <mergeCell ref="AA155:AA157"/>
    <mergeCell ref="AB155:AB157"/>
    <mergeCell ref="BA155:BA157"/>
    <mergeCell ref="BB155:BB157"/>
    <mergeCell ref="BC155:BC157"/>
    <mergeCell ref="BD155:BD157"/>
    <mergeCell ref="BE155:BE157"/>
    <mergeCell ref="BF155:BF157"/>
    <mergeCell ref="AU155:AU157"/>
    <mergeCell ref="AV155:AV157"/>
    <mergeCell ref="AW155:AW157"/>
    <mergeCell ref="AX155:AX157"/>
    <mergeCell ref="AY155:AY157"/>
    <mergeCell ref="AZ155:AZ157"/>
    <mergeCell ref="AO155:AO157"/>
    <mergeCell ref="AP155:AP157"/>
    <mergeCell ref="AQ155:AQ157"/>
    <mergeCell ref="AR155:AR157"/>
    <mergeCell ref="AS155:AS157"/>
    <mergeCell ref="AT155:AT157"/>
    <mergeCell ref="CI155:CI157"/>
    <mergeCell ref="CJ155:CJ157"/>
    <mergeCell ref="CK155:CK157"/>
    <mergeCell ref="CL155:CL157"/>
    <mergeCell ref="CA155:CA157"/>
    <mergeCell ref="CB155:CB157"/>
    <mergeCell ref="CC155:CC157"/>
    <mergeCell ref="CD155:CD157"/>
    <mergeCell ref="CE155:CE157"/>
    <mergeCell ref="CF155:CF157"/>
    <mergeCell ref="BU155:BU157"/>
    <mergeCell ref="BV155:BV157"/>
    <mergeCell ref="BW155:BW157"/>
    <mergeCell ref="BX155:BX157"/>
    <mergeCell ref="BY155:BY157"/>
    <mergeCell ref="BZ155:BZ157"/>
    <mergeCell ref="BG155:BG157"/>
    <mergeCell ref="BH155:BH157"/>
    <mergeCell ref="BI155:BI157"/>
    <mergeCell ref="BJ155:BJ157"/>
    <mergeCell ref="BO155:BO157"/>
    <mergeCell ref="BP155:BP157"/>
    <mergeCell ref="A158:A163"/>
    <mergeCell ref="B158:B163"/>
    <mergeCell ref="C158:C163"/>
    <mergeCell ref="D158:D163"/>
    <mergeCell ref="G158:G163"/>
    <mergeCell ref="I158:I163"/>
    <mergeCell ref="DE155:DE157"/>
    <mergeCell ref="DF155:DF157"/>
    <mergeCell ref="DG155:DG157"/>
    <mergeCell ref="DH155:DH157"/>
    <mergeCell ref="DI155:DI157"/>
    <mergeCell ref="DJ155:DJ157"/>
    <mergeCell ref="CY155:CY157"/>
    <mergeCell ref="CZ155:CZ157"/>
    <mergeCell ref="DA155:DA157"/>
    <mergeCell ref="DB155:DB157"/>
    <mergeCell ref="DC155:DC157"/>
    <mergeCell ref="DD155:DD157"/>
    <mergeCell ref="CS155:CS157"/>
    <mergeCell ref="CT155:CT157"/>
    <mergeCell ref="CU155:CU157"/>
    <mergeCell ref="CV155:CV157"/>
    <mergeCell ref="CW155:CW157"/>
    <mergeCell ref="CX155:CX157"/>
    <mergeCell ref="CM155:CM157"/>
    <mergeCell ref="CN155:CN157"/>
    <mergeCell ref="CO155:CO157"/>
    <mergeCell ref="CP155:CP157"/>
    <mergeCell ref="CQ155:CQ157"/>
    <mergeCell ref="CR155:CR157"/>
    <mergeCell ref="CG155:CG157"/>
    <mergeCell ref="CH155:CH157"/>
    <mergeCell ref="V158:V163"/>
    <mergeCell ref="W158:W163"/>
    <mergeCell ref="X158:X163"/>
    <mergeCell ref="Y158:Y163"/>
    <mergeCell ref="Z158:Z163"/>
    <mergeCell ref="AA158:AA163"/>
    <mergeCell ref="P158:P163"/>
    <mergeCell ref="Q158:Q163"/>
    <mergeCell ref="R158:R163"/>
    <mergeCell ref="S158:S163"/>
    <mergeCell ref="T158:T163"/>
    <mergeCell ref="U158:U163"/>
    <mergeCell ref="J158:J163"/>
    <mergeCell ref="K158:K163"/>
    <mergeCell ref="L158:L163"/>
    <mergeCell ref="M158:M163"/>
    <mergeCell ref="N158:N163"/>
    <mergeCell ref="O158:O163"/>
    <mergeCell ref="AN158:AN163"/>
    <mergeCell ref="AO158:AO163"/>
    <mergeCell ref="AP158:AP163"/>
    <mergeCell ref="AQ158:AQ163"/>
    <mergeCell ref="AR158:AR163"/>
    <mergeCell ref="AS158:AS163"/>
    <mergeCell ref="AH158:AH163"/>
    <mergeCell ref="AI158:AI163"/>
    <mergeCell ref="AJ158:AJ163"/>
    <mergeCell ref="AK158:AK163"/>
    <mergeCell ref="AL158:AL163"/>
    <mergeCell ref="AM158:AM163"/>
    <mergeCell ref="AB158:AB163"/>
    <mergeCell ref="AC158:AC163"/>
    <mergeCell ref="AD158:AD163"/>
    <mergeCell ref="AE158:AE163"/>
    <mergeCell ref="AF158:AF163"/>
    <mergeCell ref="AG158:AG163"/>
    <mergeCell ref="BF158:BF163"/>
    <mergeCell ref="BG158:BG163"/>
    <mergeCell ref="BH158:BH163"/>
    <mergeCell ref="BI158:BI163"/>
    <mergeCell ref="BJ158:BJ163"/>
    <mergeCell ref="BK158:BK163"/>
    <mergeCell ref="AZ158:AZ163"/>
    <mergeCell ref="BA158:BA163"/>
    <mergeCell ref="BB158:BB163"/>
    <mergeCell ref="BC158:BC163"/>
    <mergeCell ref="BD158:BD163"/>
    <mergeCell ref="BE158:BE163"/>
    <mergeCell ref="AT158:AT163"/>
    <mergeCell ref="AU158:AU163"/>
    <mergeCell ref="AV158:AV163"/>
    <mergeCell ref="AW158:AW163"/>
    <mergeCell ref="AX158:AX163"/>
    <mergeCell ref="AY158:AY163"/>
    <mergeCell ref="BX158:BX163"/>
    <mergeCell ref="BY158:BY163"/>
    <mergeCell ref="BZ158:BZ163"/>
    <mergeCell ref="CA158:CA163"/>
    <mergeCell ref="CB158:CB163"/>
    <mergeCell ref="CC158:CC163"/>
    <mergeCell ref="BR158:BR163"/>
    <mergeCell ref="BS158:BS163"/>
    <mergeCell ref="BT158:BT163"/>
    <mergeCell ref="BU158:BU163"/>
    <mergeCell ref="BV158:BV163"/>
    <mergeCell ref="BW158:BW163"/>
    <mergeCell ref="BL158:BL163"/>
    <mergeCell ref="BM158:BM163"/>
    <mergeCell ref="BN158:BN163"/>
    <mergeCell ref="BO158:BO163"/>
    <mergeCell ref="BP158:BP163"/>
    <mergeCell ref="BQ158:BQ163"/>
    <mergeCell ref="CZ158:CZ163"/>
    <mergeCell ref="DA158:DA163"/>
    <mergeCell ref="CP158:CP163"/>
    <mergeCell ref="CQ158:CQ163"/>
    <mergeCell ref="CR158:CR163"/>
    <mergeCell ref="CS158:CS163"/>
    <mergeCell ref="CT158:CT163"/>
    <mergeCell ref="CU158:CU163"/>
    <mergeCell ref="CJ158:CJ163"/>
    <mergeCell ref="CK158:CK163"/>
    <mergeCell ref="CL158:CL163"/>
    <mergeCell ref="CM158:CM163"/>
    <mergeCell ref="CN158:CN163"/>
    <mergeCell ref="CO158:CO163"/>
    <mergeCell ref="CD158:CD163"/>
    <mergeCell ref="CE158:CE163"/>
    <mergeCell ref="CF158:CF163"/>
    <mergeCell ref="CG158:CG163"/>
    <mergeCell ref="CH158:CH163"/>
    <mergeCell ref="CI158:CI163"/>
    <mergeCell ref="Q164:Q169"/>
    <mergeCell ref="R164:R169"/>
    <mergeCell ref="S164:S169"/>
    <mergeCell ref="T164:T169"/>
    <mergeCell ref="U164:U169"/>
    <mergeCell ref="V164:V169"/>
    <mergeCell ref="K164:K169"/>
    <mergeCell ref="L164:L169"/>
    <mergeCell ref="M164:M169"/>
    <mergeCell ref="N164:N169"/>
    <mergeCell ref="O164:O169"/>
    <mergeCell ref="P164:P169"/>
    <mergeCell ref="DH158:DH163"/>
    <mergeCell ref="DI158:DI163"/>
    <mergeCell ref="DJ158:DJ163"/>
    <mergeCell ref="A164:A169"/>
    <mergeCell ref="B164:B169"/>
    <mergeCell ref="C164:C169"/>
    <mergeCell ref="D164:D169"/>
    <mergeCell ref="G164:G169"/>
    <mergeCell ref="I164:I169"/>
    <mergeCell ref="J164:J169"/>
    <mergeCell ref="DB158:DB163"/>
    <mergeCell ref="DC158:DC163"/>
    <mergeCell ref="DD158:DD163"/>
    <mergeCell ref="DE158:DE163"/>
    <mergeCell ref="DF158:DF163"/>
    <mergeCell ref="DG158:DG163"/>
    <mergeCell ref="CV158:CV163"/>
    <mergeCell ref="CW158:CW163"/>
    <mergeCell ref="CX158:CX163"/>
    <mergeCell ref="CY158:CY163"/>
    <mergeCell ref="AI164:AI169"/>
    <mergeCell ref="AJ164:AJ169"/>
    <mergeCell ref="AK164:AK169"/>
    <mergeCell ref="AL164:AL169"/>
    <mergeCell ref="AM164:AM169"/>
    <mergeCell ref="AN164:AN169"/>
    <mergeCell ref="AC164:AC169"/>
    <mergeCell ref="AD164:AD169"/>
    <mergeCell ref="AE164:AE169"/>
    <mergeCell ref="AF164:AF169"/>
    <mergeCell ref="AG164:AG169"/>
    <mergeCell ref="AH164:AH169"/>
    <mergeCell ref="W164:W169"/>
    <mergeCell ref="X164:X169"/>
    <mergeCell ref="Y164:Y169"/>
    <mergeCell ref="Z164:Z169"/>
    <mergeCell ref="AA164:AA169"/>
    <mergeCell ref="AB164:AB169"/>
    <mergeCell ref="BA164:BA169"/>
    <mergeCell ref="BB164:BB169"/>
    <mergeCell ref="BC164:BC169"/>
    <mergeCell ref="BD164:BD169"/>
    <mergeCell ref="BE164:BE169"/>
    <mergeCell ref="BF164:BF169"/>
    <mergeCell ref="AU164:AU169"/>
    <mergeCell ref="AV164:AV169"/>
    <mergeCell ref="AW164:AW169"/>
    <mergeCell ref="AX164:AX169"/>
    <mergeCell ref="AY164:AY169"/>
    <mergeCell ref="AZ164:AZ169"/>
    <mergeCell ref="AO164:AO169"/>
    <mergeCell ref="AP164:AP169"/>
    <mergeCell ref="AQ164:AQ169"/>
    <mergeCell ref="AR164:AR169"/>
    <mergeCell ref="AS164:AS169"/>
    <mergeCell ref="AT164:AT169"/>
    <mergeCell ref="BS164:BS169"/>
    <mergeCell ref="BT164:BT169"/>
    <mergeCell ref="BU164:BU169"/>
    <mergeCell ref="BV164:BV169"/>
    <mergeCell ref="BW164:BW169"/>
    <mergeCell ref="BX164:BX169"/>
    <mergeCell ref="BM164:BM169"/>
    <mergeCell ref="BN164:BN169"/>
    <mergeCell ref="BO164:BO169"/>
    <mergeCell ref="BP164:BP169"/>
    <mergeCell ref="BQ164:BQ169"/>
    <mergeCell ref="BR164:BR169"/>
    <mergeCell ref="BG164:BG169"/>
    <mergeCell ref="BH164:BH169"/>
    <mergeCell ref="BI164:BI169"/>
    <mergeCell ref="BJ164:BJ169"/>
    <mergeCell ref="BK164:BK169"/>
    <mergeCell ref="BL164:BL169"/>
    <mergeCell ref="CU164:CU169"/>
    <mergeCell ref="CV164:CV169"/>
    <mergeCell ref="CK164:CK169"/>
    <mergeCell ref="CL164:CL169"/>
    <mergeCell ref="CM164:CM169"/>
    <mergeCell ref="CN164:CN169"/>
    <mergeCell ref="CO164:CO169"/>
    <mergeCell ref="CP164:CP169"/>
    <mergeCell ref="CE164:CE169"/>
    <mergeCell ref="CF164:CF169"/>
    <mergeCell ref="CG164:CG169"/>
    <mergeCell ref="CH164:CH169"/>
    <mergeCell ref="CI164:CI169"/>
    <mergeCell ref="CJ164:CJ169"/>
    <mergeCell ref="BY164:BY169"/>
    <mergeCell ref="BZ164:BZ169"/>
    <mergeCell ref="CA164:CA169"/>
    <mergeCell ref="CB164:CB169"/>
    <mergeCell ref="CC164:CC169"/>
    <mergeCell ref="CD164:CD169"/>
    <mergeCell ref="L170:L175"/>
    <mergeCell ref="M170:M175"/>
    <mergeCell ref="N170:N175"/>
    <mergeCell ref="O170:O175"/>
    <mergeCell ref="P170:P175"/>
    <mergeCell ref="Q170:Q175"/>
    <mergeCell ref="DI164:DI169"/>
    <mergeCell ref="DJ164:DJ169"/>
    <mergeCell ref="A170:A175"/>
    <mergeCell ref="B170:B175"/>
    <mergeCell ref="C170:C175"/>
    <mergeCell ref="D170:D175"/>
    <mergeCell ref="G170:G175"/>
    <mergeCell ref="I170:I175"/>
    <mergeCell ref="J170:J175"/>
    <mergeCell ref="K170:K175"/>
    <mergeCell ref="DC164:DC169"/>
    <mergeCell ref="DD164:DD169"/>
    <mergeCell ref="DE164:DE169"/>
    <mergeCell ref="DF164:DF169"/>
    <mergeCell ref="DG164:DG169"/>
    <mergeCell ref="DH164:DH169"/>
    <mergeCell ref="CW164:CW169"/>
    <mergeCell ref="CX164:CX169"/>
    <mergeCell ref="CY164:CY169"/>
    <mergeCell ref="CZ164:CZ169"/>
    <mergeCell ref="DA164:DA169"/>
    <mergeCell ref="DB164:DB169"/>
    <mergeCell ref="CQ164:CQ169"/>
    <mergeCell ref="CR164:CR169"/>
    <mergeCell ref="CS164:CS169"/>
    <mergeCell ref="CT164:CT169"/>
    <mergeCell ref="AD170:AD175"/>
    <mergeCell ref="AE170:AE175"/>
    <mergeCell ref="AF170:AF175"/>
    <mergeCell ref="AG170:AG175"/>
    <mergeCell ref="AH170:AH175"/>
    <mergeCell ref="AI170:AI175"/>
    <mergeCell ref="X170:X175"/>
    <mergeCell ref="Y170:Y175"/>
    <mergeCell ref="Z170:Z175"/>
    <mergeCell ref="AA170:AA175"/>
    <mergeCell ref="AB170:AB175"/>
    <mergeCell ref="AC170:AC175"/>
    <mergeCell ref="R170:R175"/>
    <mergeCell ref="S170:S175"/>
    <mergeCell ref="T170:T175"/>
    <mergeCell ref="U170:U175"/>
    <mergeCell ref="V170:V175"/>
    <mergeCell ref="W170:W175"/>
    <mergeCell ref="AV170:AV175"/>
    <mergeCell ref="AW170:AW175"/>
    <mergeCell ref="AX170:AX175"/>
    <mergeCell ref="AY170:AY175"/>
    <mergeCell ref="AZ170:AZ175"/>
    <mergeCell ref="BA170:BA175"/>
    <mergeCell ref="AP170:AP175"/>
    <mergeCell ref="AQ170:AQ175"/>
    <mergeCell ref="AR170:AR175"/>
    <mergeCell ref="AS170:AS175"/>
    <mergeCell ref="AT170:AT175"/>
    <mergeCell ref="AU170:AU175"/>
    <mergeCell ref="AJ170:AJ175"/>
    <mergeCell ref="AK170:AK175"/>
    <mergeCell ref="AL170:AL175"/>
    <mergeCell ref="AM170:AM175"/>
    <mergeCell ref="AN170:AN175"/>
    <mergeCell ref="AO170:AO175"/>
    <mergeCell ref="BN170:BN175"/>
    <mergeCell ref="BO170:BO175"/>
    <mergeCell ref="BP170:BP175"/>
    <mergeCell ref="BQ170:BQ175"/>
    <mergeCell ref="BR170:BR175"/>
    <mergeCell ref="BS170:BS175"/>
    <mergeCell ref="BH170:BH175"/>
    <mergeCell ref="BI170:BI175"/>
    <mergeCell ref="BJ170:BJ175"/>
    <mergeCell ref="BK170:BK175"/>
    <mergeCell ref="BL170:BL175"/>
    <mergeCell ref="BM170:BM175"/>
    <mergeCell ref="BB170:BB175"/>
    <mergeCell ref="BC170:BC175"/>
    <mergeCell ref="BD170:BD175"/>
    <mergeCell ref="BE170:BE175"/>
    <mergeCell ref="BF170:BF175"/>
    <mergeCell ref="BG170:BG175"/>
    <mergeCell ref="CP170:CP175"/>
    <mergeCell ref="CQ170:CQ175"/>
    <mergeCell ref="CF170:CF175"/>
    <mergeCell ref="CG170:CG175"/>
    <mergeCell ref="CH170:CH175"/>
    <mergeCell ref="CI170:CI175"/>
    <mergeCell ref="CJ170:CJ175"/>
    <mergeCell ref="CK170:CK175"/>
    <mergeCell ref="BZ170:BZ175"/>
    <mergeCell ref="CA170:CA175"/>
    <mergeCell ref="CB170:CB175"/>
    <mergeCell ref="CC170:CC175"/>
    <mergeCell ref="CD170:CD175"/>
    <mergeCell ref="CE170:CE175"/>
    <mergeCell ref="BT170:BT175"/>
    <mergeCell ref="BU170:BU175"/>
    <mergeCell ref="BV170:BV175"/>
    <mergeCell ref="BW170:BW175"/>
    <mergeCell ref="BX170:BX175"/>
    <mergeCell ref="BY170:BY175"/>
    <mergeCell ref="DJ170:DJ175"/>
    <mergeCell ref="A176:A183"/>
    <mergeCell ref="B176:B183"/>
    <mergeCell ref="C176:C183"/>
    <mergeCell ref="D176:D183"/>
    <mergeCell ref="G176:G183"/>
    <mergeCell ref="I176:I183"/>
    <mergeCell ref="J176:J183"/>
    <mergeCell ref="K176:K183"/>
    <mergeCell ref="L176:L183"/>
    <mergeCell ref="DD170:DD175"/>
    <mergeCell ref="DE170:DE175"/>
    <mergeCell ref="DF170:DF175"/>
    <mergeCell ref="DG170:DG175"/>
    <mergeCell ref="DH170:DH175"/>
    <mergeCell ref="DI170:DI175"/>
    <mergeCell ref="CX170:CX175"/>
    <mergeCell ref="CY170:CY175"/>
    <mergeCell ref="CZ170:CZ175"/>
    <mergeCell ref="DA170:DA175"/>
    <mergeCell ref="DB170:DB175"/>
    <mergeCell ref="DC170:DC175"/>
    <mergeCell ref="CR170:CR175"/>
    <mergeCell ref="CS170:CS175"/>
    <mergeCell ref="CT170:CT175"/>
    <mergeCell ref="CU170:CU175"/>
    <mergeCell ref="CV170:CV175"/>
    <mergeCell ref="CW170:CW175"/>
    <mergeCell ref="CL170:CL175"/>
    <mergeCell ref="CM170:CM175"/>
    <mergeCell ref="CN170:CN175"/>
    <mergeCell ref="CO170:CO175"/>
    <mergeCell ref="Y176:Y183"/>
    <mergeCell ref="Z176:Z183"/>
    <mergeCell ref="AA176:AA183"/>
    <mergeCell ref="AB176:AB183"/>
    <mergeCell ref="AC176:AC183"/>
    <mergeCell ref="AD176:AD183"/>
    <mergeCell ref="S176:S183"/>
    <mergeCell ref="T176:T183"/>
    <mergeCell ref="U176:U183"/>
    <mergeCell ref="V176:V183"/>
    <mergeCell ref="W176:W183"/>
    <mergeCell ref="X176:X183"/>
    <mergeCell ref="M176:M183"/>
    <mergeCell ref="N176:N183"/>
    <mergeCell ref="O176:O183"/>
    <mergeCell ref="P176:P183"/>
    <mergeCell ref="Q176:Q183"/>
    <mergeCell ref="R176:R183"/>
    <mergeCell ref="AQ176:AQ183"/>
    <mergeCell ref="AR176:AR183"/>
    <mergeCell ref="AS176:AS183"/>
    <mergeCell ref="AT176:AT183"/>
    <mergeCell ref="AU176:AU183"/>
    <mergeCell ref="AV176:AV183"/>
    <mergeCell ref="AK176:AK183"/>
    <mergeCell ref="AL176:AL183"/>
    <mergeCell ref="AM176:AM183"/>
    <mergeCell ref="AN176:AN183"/>
    <mergeCell ref="AO176:AO183"/>
    <mergeCell ref="AP176:AP183"/>
    <mergeCell ref="AE176:AE183"/>
    <mergeCell ref="AF176:AF183"/>
    <mergeCell ref="AG176:AG183"/>
    <mergeCell ref="AH176:AH183"/>
    <mergeCell ref="AI176:AI183"/>
    <mergeCell ref="AJ176:AJ183"/>
    <mergeCell ref="BI176:BI183"/>
    <mergeCell ref="BS176:BS183"/>
    <mergeCell ref="BT176:BT183"/>
    <mergeCell ref="BU176:BU183"/>
    <mergeCell ref="BV176:BV183"/>
    <mergeCell ref="BW176:BW183"/>
    <mergeCell ref="BC176:BC183"/>
    <mergeCell ref="BD176:BD183"/>
    <mergeCell ref="BE176:BE183"/>
    <mergeCell ref="BF176:BF183"/>
    <mergeCell ref="BG176:BG183"/>
    <mergeCell ref="BH176:BH183"/>
    <mergeCell ref="AW176:AW183"/>
    <mergeCell ref="AX176:AX183"/>
    <mergeCell ref="AY176:AY183"/>
    <mergeCell ref="AZ176:AZ183"/>
    <mergeCell ref="BA176:BA183"/>
    <mergeCell ref="BB176:BB183"/>
    <mergeCell ref="CT176:CT183"/>
    <mergeCell ref="CU176:CU183"/>
    <mergeCell ref="CJ176:CJ183"/>
    <mergeCell ref="CK176:CK183"/>
    <mergeCell ref="CL176:CL183"/>
    <mergeCell ref="CM176:CM183"/>
    <mergeCell ref="CN176:CN183"/>
    <mergeCell ref="CO176:CO183"/>
    <mergeCell ref="CD176:CD183"/>
    <mergeCell ref="CE176:CE183"/>
    <mergeCell ref="CF176:CF183"/>
    <mergeCell ref="CG176:CG183"/>
    <mergeCell ref="CH176:CH183"/>
    <mergeCell ref="CI176:CI183"/>
    <mergeCell ref="BX176:BX183"/>
    <mergeCell ref="BY176:BY183"/>
    <mergeCell ref="BZ176:BZ183"/>
    <mergeCell ref="CA176:CA183"/>
    <mergeCell ref="CB176:CB183"/>
    <mergeCell ref="CC176:CC183"/>
    <mergeCell ref="K184:K186"/>
    <mergeCell ref="L184:L186"/>
    <mergeCell ref="M184:M186"/>
    <mergeCell ref="N184:N186"/>
    <mergeCell ref="O184:O186"/>
    <mergeCell ref="P184:P186"/>
    <mergeCell ref="DH176:DH183"/>
    <mergeCell ref="DI176:DI183"/>
    <mergeCell ref="DJ176:DJ183"/>
    <mergeCell ref="A184:A186"/>
    <mergeCell ref="B184:B186"/>
    <mergeCell ref="C184:C186"/>
    <mergeCell ref="D184:D186"/>
    <mergeCell ref="G184:G186"/>
    <mergeCell ref="I184:I186"/>
    <mergeCell ref="J184:J186"/>
    <mergeCell ref="DB176:DB183"/>
    <mergeCell ref="DC176:DC183"/>
    <mergeCell ref="DD176:DD183"/>
    <mergeCell ref="DE176:DE183"/>
    <mergeCell ref="DF176:DF183"/>
    <mergeCell ref="DG176:DG183"/>
    <mergeCell ref="CV176:CV183"/>
    <mergeCell ref="CW176:CW183"/>
    <mergeCell ref="CX176:CX183"/>
    <mergeCell ref="CY176:CY183"/>
    <mergeCell ref="CZ176:CZ183"/>
    <mergeCell ref="DA176:DA183"/>
    <mergeCell ref="CP176:CP183"/>
    <mergeCell ref="CQ176:CQ183"/>
    <mergeCell ref="CR176:CR183"/>
    <mergeCell ref="CS176:CS183"/>
    <mergeCell ref="AC184:AC186"/>
    <mergeCell ref="AD184:AD186"/>
    <mergeCell ref="AE184:AE186"/>
    <mergeCell ref="AF184:AF186"/>
    <mergeCell ref="AG184:AG186"/>
    <mergeCell ref="AH184:AH186"/>
    <mergeCell ref="W184:W186"/>
    <mergeCell ref="X184:X186"/>
    <mergeCell ref="Y184:Y186"/>
    <mergeCell ref="Z184:Z186"/>
    <mergeCell ref="AA184:AA186"/>
    <mergeCell ref="AB184:AB186"/>
    <mergeCell ref="Q184:Q186"/>
    <mergeCell ref="R184:R186"/>
    <mergeCell ref="S184:S186"/>
    <mergeCell ref="T184:T186"/>
    <mergeCell ref="U184:U186"/>
    <mergeCell ref="V184:V186"/>
    <mergeCell ref="AU184:AU186"/>
    <mergeCell ref="AV184:AV186"/>
    <mergeCell ref="AW184:AW186"/>
    <mergeCell ref="AX184:AX186"/>
    <mergeCell ref="AY184:AY186"/>
    <mergeCell ref="AZ184:AZ186"/>
    <mergeCell ref="AO184:AO186"/>
    <mergeCell ref="AP184:AP186"/>
    <mergeCell ref="AQ184:AQ186"/>
    <mergeCell ref="AR184:AR186"/>
    <mergeCell ref="AS184:AS186"/>
    <mergeCell ref="AT184:AT186"/>
    <mergeCell ref="AI184:AI186"/>
    <mergeCell ref="AJ184:AJ186"/>
    <mergeCell ref="AK184:AK186"/>
    <mergeCell ref="AL184:AL186"/>
    <mergeCell ref="AM184:AM186"/>
    <mergeCell ref="AN184:AN186"/>
    <mergeCell ref="BU184:BU186"/>
    <mergeCell ref="BV184:BV186"/>
    <mergeCell ref="BX184:BX186"/>
    <mergeCell ref="BY184:BY186"/>
    <mergeCell ref="BZ184:BZ186"/>
    <mergeCell ref="CA184:CA186"/>
    <mergeCell ref="BG184:BG186"/>
    <mergeCell ref="BH184:BH186"/>
    <mergeCell ref="BI184:BI186"/>
    <mergeCell ref="BJ184:BJ186"/>
    <mergeCell ref="BO184:BO186"/>
    <mergeCell ref="BP184:BP186"/>
    <mergeCell ref="BA184:BA186"/>
    <mergeCell ref="BB184:BB186"/>
    <mergeCell ref="BC184:BC186"/>
    <mergeCell ref="BD184:BD186"/>
    <mergeCell ref="BE184:BE186"/>
    <mergeCell ref="BF184:BF186"/>
    <mergeCell ref="CO184:CO186"/>
    <mergeCell ref="CP184:CP186"/>
    <mergeCell ref="CQ184:CQ186"/>
    <mergeCell ref="CR184:CR186"/>
    <mergeCell ref="CS184:CS186"/>
    <mergeCell ref="CT184:CT186"/>
    <mergeCell ref="CH184:CH186"/>
    <mergeCell ref="CI184:CI186"/>
    <mergeCell ref="CK184:CK186"/>
    <mergeCell ref="CL184:CL186"/>
    <mergeCell ref="CM184:CM186"/>
    <mergeCell ref="CN184:CN186"/>
    <mergeCell ref="CB184:CB186"/>
    <mergeCell ref="CC184:CC186"/>
    <mergeCell ref="CD184:CD186"/>
    <mergeCell ref="CE184:CE186"/>
    <mergeCell ref="CF184:CF186"/>
    <mergeCell ref="CG184:CG186"/>
    <mergeCell ref="Q187:Q195"/>
    <mergeCell ref="R187:R195"/>
    <mergeCell ref="S187:S195"/>
    <mergeCell ref="T187:T195"/>
    <mergeCell ref="U187:U195"/>
    <mergeCell ref="V187:V195"/>
    <mergeCell ref="K187:K195"/>
    <mergeCell ref="L187:L195"/>
    <mergeCell ref="M187:M195"/>
    <mergeCell ref="N187:N195"/>
    <mergeCell ref="O187:O195"/>
    <mergeCell ref="P187:P195"/>
    <mergeCell ref="DH184:DH186"/>
    <mergeCell ref="DI184:DI186"/>
    <mergeCell ref="DJ184:DJ186"/>
    <mergeCell ref="A187:A195"/>
    <mergeCell ref="B187:B195"/>
    <mergeCell ref="C187:C195"/>
    <mergeCell ref="D187:D195"/>
    <mergeCell ref="G187:G195"/>
    <mergeCell ref="I187:I195"/>
    <mergeCell ref="J187:J195"/>
    <mergeCell ref="DB184:DB186"/>
    <mergeCell ref="DC184:DC186"/>
    <mergeCell ref="DD184:DD186"/>
    <mergeCell ref="DE184:DE186"/>
    <mergeCell ref="DF184:DF186"/>
    <mergeCell ref="DG184:DG186"/>
    <mergeCell ref="CU184:CU186"/>
    <mergeCell ref="CV184:CV186"/>
    <mergeCell ref="CX184:CX186"/>
    <mergeCell ref="CY184:CY186"/>
    <mergeCell ref="AI187:AI195"/>
    <mergeCell ref="AJ187:AJ195"/>
    <mergeCell ref="AK187:AK195"/>
    <mergeCell ref="AL187:AL195"/>
    <mergeCell ref="AM187:AM195"/>
    <mergeCell ref="AN187:AN195"/>
    <mergeCell ref="AC187:AC195"/>
    <mergeCell ref="AD187:AD195"/>
    <mergeCell ref="AE187:AE195"/>
    <mergeCell ref="AF187:AF195"/>
    <mergeCell ref="AG187:AG195"/>
    <mergeCell ref="AH187:AH195"/>
    <mergeCell ref="W187:W195"/>
    <mergeCell ref="X187:X195"/>
    <mergeCell ref="Y187:Y195"/>
    <mergeCell ref="Z187:Z195"/>
    <mergeCell ref="AA187:AA195"/>
    <mergeCell ref="AB187:AB195"/>
    <mergeCell ref="BA187:BA195"/>
    <mergeCell ref="BB187:BB195"/>
    <mergeCell ref="BC187:BC195"/>
    <mergeCell ref="BD187:BD195"/>
    <mergeCell ref="BE187:BE195"/>
    <mergeCell ref="BF187:BF195"/>
    <mergeCell ref="AU187:AU195"/>
    <mergeCell ref="AV187:AV195"/>
    <mergeCell ref="AW187:AW195"/>
    <mergeCell ref="AX187:AX195"/>
    <mergeCell ref="AY187:AY195"/>
    <mergeCell ref="AZ187:AZ195"/>
    <mergeCell ref="AO187:AO195"/>
    <mergeCell ref="AP187:AP195"/>
    <mergeCell ref="AQ187:AQ195"/>
    <mergeCell ref="AR187:AR195"/>
    <mergeCell ref="AS187:AS195"/>
    <mergeCell ref="AT187:AT195"/>
    <mergeCell ref="BS187:BS195"/>
    <mergeCell ref="BT187:BT195"/>
    <mergeCell ref="BU187:BU195"/>
    <mergeCell ref="BV187:BV195"/>
    <mergeCell ref="BW187:BW195"/>
    <mergeCell ref="BX187:BX195"/>
    <mergeCell ref="BM187:BM195"/>
    <mergeCell ref="BN187:BN195"/>
    <mergeCell ref="BO187:BO195"/>
    <mergeCell ref="BP187:BP195"/>
    <mergeCell ref="BQ187:BQ195"/>
    <mergeCell ref="BR187:BR195"/>
    <mergeCell ref="BG187:BG195"/>
    <mergeCell ref="BH187:BH195"/>
    <mergeCell ref="BI187:BI195"/>
    <mergeCell ref="BJ187:BJ195"/>
    <mergeCell ref="BK187:BK195"/>
    <mergeCell ref="BL187:BL195"/>
    <mergeCell ref="CK187:CK195"/>
    <mergeCell ref="CL187:CL195"/>
    <mergeCell ref="CM187:CM195"/>
    <mergeCell ref="CN187:CN195"/>
    <mergeCell ref="CO187:CO195"/>
    <mergeCell ref="CP187:CP195"/>
    <mergeCell ref="CE187:CE195"/>
    <mergeCell ref="CF187:CF195"/>
    <mergeCell ref="CG187:CG195"/>
    <mergeCell ref="CH187:CH195"/>
    <mergeCell ref="CI187:CI195"/>
    <mergeCell ref="CJ187:CJ195"/>
    <mergeCell ref="BY187:BY195"/>
    <mergeCell ref="BZ187:BZ195"/>
    <mergeCell ref="CA187:CA195"/>
    <mergeCell ref="CB187:CB195"/>
    <mergeCell ref="CC187:CC195"/>
    <mergeCell ref="CD187:CD195"/>
    <mergeCell ref="L196:L198"/>
    <mergeCell ref="M196:M198"/>
    <mergeCell ref="N196:N198"/>
    <mergeCell ref="O196:O198"/>
    <mergeCell ref="P196:P198"/>
    <mergeCell ref="Q196:Q198"/>
    <mergeCell ref="DI187:DI195"/>
    <mergeCell ref="DJ187:DJ195"/>
    <mergeCell ref="A196:A198"/>
    <mergeCell ref="B196:B198"/>
    <mergeCell ref="C196:C198"/>
    <mergeCell ref="D196:D198"/>
    <mergeCell ref="G196:G198"/>
    <mergeCell ref="I196:I198"/>
    <mergeCell ref="J196:J198"/>
    <mergeCell ref="K196:K198"/>
    <mergeCell ref="DC187:DC195"/>
    <mergeCell ref="DD187:DD195"/>
    <mergeCell ref="DE187:DE195"/>
    <mergeCell ref="DF187:DF195"/>
    <mergeCell ref="DG187:DG195"/>
    <mergeCell ref="DH187:DH195"/>
    <mergeCell ref="CW187:CW195"/>
    <mergeCell ref="CX187:CX195"/>
    <mergeCell ref="CY187:CY195"/>
    <mergeCell ref="CZ187:CZ195"/>
    <mergeCell ref="DA187:DA195"/>
    <mergeCell ref="DB187:DB195"/>
    <mergeCell ref="CQ187:CQ195"/>
    <mergeCell ref="CR187:CR195"/>
    <mergeCell ref="CS187:CS195"/>
    <mergeCell ref="CT187:CT195"/>
    <mergeCell ref="AD196:AD198"/>
    <mergeCell ref="AE196:AE198"/>
    <mergeCell ref="AF196:AF198"/>
    <mergeCell ref="AG196:AG198"/>
    <mergeCell ref="AH196:AH198"/>
    <mergeCell ref="AI196:AI198"/>
    <mergeCell ref="X196:X198"/>
    <mergeCell ref="Y196:Y198"/>
    <mergeCell ref="Z196:Z198"/>
    <mergeCell ref="AA196:AA198"/>
    <mergeCell ref="AB196:AB198"/>
    <mergeCell ref="AC196:AC198"/>
    <mergeCell ref="R196:R198"/>
    <mergeCell ref="S196:S198"/>
    <mergeCell ref="T196:T198"/>
    <mergeCell ref="U196:U198"/>
    <mergeCell ref="V196:V198"/>
    <mergeCell ref="W196:W198"/>
    <mergeCell ref="AV196:AV198"/>
    <mergeCell ref="AW196:AW198"/>
    <mergeCell ref="AX196:AX198"/>
    <mergeCell ref="AY196:AY198"/>
    <mergeCell ref="AZ196:AZ198"/>
    <mergeCell ref="BA196:BA198"/>
    <mergeCell ref="AP196:AP198"/>
    <mergeCell ref="AQ196:AQ198"/>
    <mergeCell ref="AR196:AR198"/>
    <mergeCell ref="AS196:AS198"/>
    <mergeCell ref="AT196:AT198"/>
    <mergeCell ref="AU196:AU198"/>
    <mergeCell ref="AJ196:AJ198"/>
    <mergeCell ref="AK196:AK198"/>
    <mergeCell ref="AL196:AL198"/>
    <mergeCell ref="AM196:AM198"/>
    <mergeCell ref="AN196:AN198"/>
    <mergeCell ref="AO196:AO198"/>
    <mergeCell ref="BV196:BV198"/>
    <mergeCell ref="BX196:BX198"/>
    <mergeCell ref="BY196:BY198"/>
    <mergeCell ref="BZ196:BZ198"/>
    <mergeCell ref="CA196:CA198"/>
    <mergeCell ref="CB196:CB198"/>
    <mergeCell ref="BH196:BH198"/>
    <mergeCell ref="BI196:BI198"/>
    <mergeCell ref="BJ196:BJ198"/>
    <mergeCell ref="BO196:BO198"/>
    <mergeCell ref="BP196:BP198"/>
    <mergeCell ref="BU196:BU198"/>
    <mergeCell ref="BB196:BB198"/>
    <mergeCell ref="BC196:BC198"/>
    <mergeCell ref="BD196:BD198"/>
    <mergeCell ref="BE196:BE198"/>
    <mergeCell ref="BF196:BF198"/>
    <mergeCell ref="BG196:BG198"/>
    <mergeCell ref="CP196:CP198"/>
    <mergeCell ref="CQ196:CQ198"/>
    <mergeCell ref="CR196:CR198"/>
    <mergeCell ref="CS196:CS198"/>
    <mergeCell ref="CT196:CT198"/>
    <mergeCell ref="CU196:CU198"/>
    <mergeCell ref="CI196:CI198"/>
    <mergeCell ref="CK196:CK198"/>
    <mergeCell ref="CL196:CL198"/>
    <mergeCell ref="CM196:CM198"/>
    <mergeCell ref="CN196:CN198"/>
    <mergeCell ref="CO196:CO198"/>
    <mergeCell ref="CC196:CC198"/>
    <mergeCell ref="CD196:CD198"/>
    <mergeCell ref="CE196:CE198"/>
    <mergeCell ref="CF196:CF198"/>
    <mergeCell ref="CG196:CG198"/>
    <mergeCell ref="CH196:CH198"/>
    <mergeCell ref="R199:R201"/>
    <mergeCell ref="S199:S201"/>
    <mergeCell ref="T199:T201"/>
    <mergeCell ref="U199:U201"/>
    <mergeCell ref="V199:V201"/>
    <mergeCell ref="W199:W201"/>
    <mergeCell ref="L199:L201"/>
    <mergeCell ref="M199:M201"/>
    <mergeCell ref="N199:N201"/>
    <mergeCell ref="O199:O201"/>
    <mergeCell ref="P199:P201"/>
    <mergeCell ref="Q199:Q201"/>
    <mergeCell ref="DI196:DI198"/>
    <mergeCell ref="DJ196:DJ198"/>
    <mergeCell ref="A199:A201"/>
    <mergeCell ref="C199:C201"/>
    <mergeCell ref="D199:D201"/>
    <mergeCell ref="G199:G201"/>
    <mergeCell ref="I199:I201"/>
    <mergeCell ref="J199:J201"/>
    <mergeCell ref="K199:K201"/>
    <mergeCell ref="DC196:DC198"/>
    <mergeCell ref="DD196:DD198"/>
    <mergeCell ref="DE196:DE198"/>
    <mergeCell ref="DF196:DF198"/>
    <mergeCell ref="DG196:DG198"/>
    <mergeCell ref="DH196:DH198"/>
    <mergeCell ref="CV196:CV198"/>
    <mergeCell ref="CX196:CX198"/>
    <mergeCell ref="CY196:CY198"/>
    <mergeCell ref="CZ196:CZ198"/>
    <mergeCell ref="DA196:DA198"/>
    <mergeCell ref="AJ199:AJ201"/>
    <mergeCell ref="AK199:AK201"/>
    <mergeCell ref="AL199:AL201"/>
    <mergeCell ref="AM199:AM201"/>
    <mergeCell ref="AN199:AN201"/>
    <mergeCell ref="AO199:AO201"/>
    <mergeCell ref="AD199:AD201"/>
    <mergeCell ref="AE199:AE201"/>
    <mergeCell ref="AF199:AF201"/>
    <mergeCell ref="AG199:AG201"/>
    <mergeCell ref="AH199:AH201"/>
    <mergeCell ref="AI199:AI201"/>
    <mergeCell ref="X199:X201"/>
    <mergeCell ref="Y199:Y201"/>
    <mergeCell ref="Z199:Z201"/>
    <mergeCell ref="AA199:AA201"/>
    <mergeCell ref="AB199:AB201"/>
    <mergeCell ref="AC199:AC201"/>
    <mergeCell ref="BB199:BB201"/>
    <mergeCell ref="BC199:BC201"/>
    <mergeCell ref="BD199:BD201"/>
    <mergeCell ref="BE199:BE201"/>
    <mergeCell ref="BF199:BF201"/>
    <mergeCell ref="BG199:BG201"/>
    <mergeCell ref="AV199:AV201"/>
    <mergeCell ref="AW199:AW201"/>
    <mergeCell ref="AX199:AX201"/>
    <mergeCell ref="AY199:AY201"/>
    <mergeCell ref="AZ199:AZ201"/>
    <mergeCell ref="BA199:BA201"/>
    <mergeCell ref="AP199:AP201"/>
    <mergeCell ref="AQ199:AQ201"/>
    <mergeCell ref="AR199:AR201"/>
    <mergeCell ref="AS199:AS201"/>
    <mergeCell ref="AT199:AT201"/>
    <mergeCell ref="AU199:AU201"/>
    <mergeCell ref="BT199:BT201"/>
    <mergeCell ref="BU199:BU201"/>
    <mergeCell ref="BV199:BV201"/>
    <mergeCell ref="BW199:BW201"/>
    <mergeCell ref="BX199:BX201"/>
    <mergeCell ref="BY199:BY201"/>
    <mergeCell ref="BN199:BN201"/>
    <mergeCell ref="BO199:BO201"/>
    <mergeCell ref="BP199:BP201"/>
    <mergeCell ref="BQ199:BQ201"/>
    <mergeCell ref="BR199:BR201"/>
    <mergeCell ref="BS199:BS201"/>
    <mergeCell ref="BH199:BH201"/>
    <mergeCell ref="BI199:BI201"/>
    <mergeCell ref="BJ199:BJ201"/>
    <mergeCell ref="BK199:BK201"/>
    <mergeCell ref="BL199:BL201"/>
    <mergeCell ref="BM199:BM201"/>
    <mergeCell ref="CL199:CL201"/>
    <mergeCell ref="CM199:CM201"/>
    <mergeCell ref="CN199:CN201"/>
    <mergeCell ref="CO199:CO201"/>
    <mergeCell ref="CP199:CP201"/>
    <mergeCell ref="CQ199:CQ201"/>
    <mergeCell ref="CF199:CF201"/>
    <mergeCell ref="CG199:CG201"/>
    <mergeCell ref="CH199:CH201"/>
    <mergeCell ref="CI199:CI201"/>
    <mergeCell ref="CJ199:CJ201"/>
    <mergeCell ref="CK199:CK201"/>
    <mergeCell ref="BZ199:BZ201"/>
    <mergeCell ref="CA199:CA201"/>
    <mergeCell ref="CB199:CB201"/>
    <mergeCell ref="CC199:CC201"/>
    <mergeCell ref="CD199:CD201"/>
    <mergeCell ref="CE199:CE201"/>
    <mergeCell ref="M202:M209"/>
    <mergeCell ref="N202:N209"/>
    <mergeCell ref="O202:O209"/>
    <mergeCell ref="P202:P209"/>
    <mergeCell ref="Q202:Q209"/>
    <mergeCell ref="R202:R209"/>
    <mergeCell ref="DJ199:DJ201"/>
    <mergeCell ref="A202:A209"/>
    <mergeCell ref="B202:B210"/>
    <mergeCell ref="C202:C209"/>
    <mergeCell ref="D202:D210"/>
    <mergeCell ref="G202:G210"/>
    <mergeCell ref="I202:I210"/>
    <mergeCell ref="J202:J209"/>
    <mergeCell ref="K202:K209"/>
    <mergeCell ref="L202:L209"/>
    <mergeCell ref="DD199:DD201"/>
    <mergeCell ref="DE199:DE201"/>
    <mergeCell ref="DF199:DF201"/>
    <mergeCell ref="DG199:DG201"/>
    <mergeCell ref="DH199:DH201"/>
    <mergeCell ref="DI199:DI201"/>
    <mergeCell ref="CX199:CX201"/>
    <mergeCell ref="CY199:CY201"/>
    <mergeCell ref="CZ199:CZ201"/>
    <mergeCell ref="DA199:DA201"/>
    <mergeCell ref="DB199:DB201"/>
    <mergeCell ref="DC199:DC201"/>
    <mergeCell ref="CR199:CR201"/>
    <mergeCell ref="CS199:CS201"/>
    <mergeCell ref="CT199:CT201"/>
    <mergeCell ref="CU199:CU201"/>
    <mergeCell ref="AE202:AE209"/>
    <mergeCell ref="AF202:AF209"/>
    <mergeCell ref="AG202:AG209"/>
    <mergeCell ref="AH202:AH209"/>
    <mergeCell ref="AI202:AI210"/>
    <mergeCell ref="AJ202:AJ209"/>
    <mergeCell ref="Y202:Y209"/>
    <mergeCell ref="Z202:Z209"/>
    <mergeCell ref="AA202:AA209"/>
    <mergeCell ref="AB202:AB209"/>
    <mergeCell ref="AC202:AC209"/>
    <mergeCell ref="AD202:AD209"/>
    <mergeCell ref="S202:S209"/>
    <mergeCell ref="T202:T209"/>
    <mergeCell ref="U202:U209"/>
    <mergeCell ref="V202:V210"/>
    <mergeCell ref="W202:W209"/>
    <mergeCell ref="X202:X209"/>
    <mergeCell ref="AW202:AW209"/>
    <mergeCell ref="AX202:AX209"/>
    <mergeCell ref="AY202:AY209"/>
    <mergeCell ref="AZ202:AZ209"/>
    <mergeCell ref="BA202:BA209"/>
    <mergeCell ref="BB202:BB209"/>
    <mergeCell ref="AQ202:AQ209"/>
    <mergeCell ref="AR202:AR209"/>
    <mergeCell ref="AS202:AS209"/>
    <mergeCell ref="AT202:AT209"/>
    <mergeCell ref="AU202:AU209"/>
    <mergeCell ref="AV202:AV210"/>
    <mergeCell ref="AK202:AK209"/>
    <mergeCell ref="AL202:AL209"/>
    <mergeCell ref="AM202:AM209"/>
    <mergeCell ref="AN202:AN209"/>
    <mergeCell ref="AO202:AO209"/>
    <mergeCell ref="AP202:AP209"/>
    <mergeCell ref="BO202:BO209"/>
    <mergeCell ref="BP202:BP209"/>
    <mergeCell ref="BQ202:BQ209"/>
    <mergeCell ref="BR202:BR209"/>
    <mergeCell ref="BS202:BS209"/>
    <mergeCell ref="BT202:BT209"/>
    <mergeCell ref="BI202:BI210"/>
    <mergeCell ref="BJ202:BJ209"/>
    <mergeCell ref="BK202:BK209"/>
    <mergeCell ref="BL202:BL209"/>
    <mergeCell ref="BM202:BM209"/>
    <mergeCell ref="BN202:BN209"/>
    <mergeCell ref="BC202:BC209"/>
    <mergeCell ref="BD202:BD209"/>
    <mergeCell ref="BE202:BE209"/>
    <mergeCell ref="BF202:BF209"/>
    <mergeCell ref="BG202:BG209"/>
    <mergeCell ref="BH202:BH209"/>
    <mergeCell ref="CQ202:CQ209"/>
    <mergeCell ref="CR202:CR209"/>
    <mergeCell ref="CG202:CG209"/>
    <mergeCell ref="CH202:CH209"/>
    <mergeCell ref="CI202:CI210"/>
    <mergeCell ref="CJ202:CJ209"/>
    <mergeCell ref="CK202:CK209"/>
    <mergeCell ref="CL202:CL209"/>
    <mergeCell ref="CA202:CA209"/>
    <mergeCell ref="CB202:CB209"/>
    <mergeCell ref="CC202:CC209"/>
    <mergeCell ref="CD202:CD209"/>
    <mergeCell ref="CE202:CE209"/>
    <mergeCell ref="CF202:CF209"/>
    <mergeCell ref="BU202:BU209"/>
    <mergeCell ref="BV202:BV210"/>
    <mergeCell ref="BW202:BW209"/>
    <mergeCell ref="BX202:BX209"/>
    <mergeCell ref="BY202:BY209"/>
    <mergeCell ref="BZ202:BZ209"/>
    <mergeCell ref="J211:J216"/>
    <mergeCell ref="K211:K216"/>
    <mergeCell ref="L211:L216"/>
    <mergeCell ref="M211:M216"/>
    <mergeCell ref="N211:N216"/>
    <mergeCell ref="O211:O216"/>
    <mergeCell ref="A211:A216"/>
    <mergeCell ref="B211:B216"/>
    <mergeCell ref="C211:C216"/>
    <mergeCell ref="D211:D216"/>
    <mergeCell ref="G211:G216"/>
    <mergeCell ref="I211:I216"/>
    <mergeCell ref="DI202:DI210"/>
    <mergeCell ref="DJ202:DJ210"/>
    <mergeCell ref="CX229:CX234"/>
    <mergeCell ref="CW229:CW234"/>
    <mergeCell ref="CY202:CY210"/>
    <mergeCell ref="CZ202:CZ210"/>
    <mergeCell ref="DA202:DA210"/>
    <mergeCell ref="DC202:DC210"/>
    <mergeCell ref="CW211:CW216"/>
    <mergeCell ref="CX211:CX216"/>
    <mergeCell ref="CS202:CS209"/>
    <mergeCell ref="CT202:CT209"/>
    <mergeCell ref="CU202:CU209"/>
    <mergeCell ref="CV202:CV210"/>
    <mergeCell ref="CW202:CW210"/>
    <mergeCell ref="CX202:CX210"/>
    <mergeCell ref="CM202:CM209"/>
    <mergeCell ref="CN202:CN209"/>
    <mergeCell ref="CO202:CO209"/>
    <mergeCell ref="CP202:CP209"/>
    <mergeCell ref="AB211:AB216"/>
    <mergeCell ref="AC211:AC216"/>
    <mergeCell ref="AD211:AD216"/>
    <mergeCell ref="AE211:AE216"/>
    <mergeCell ref="AF211:AF216"/>
    <mergeCell ref="AG211:AG216"/>
    <mergeCell ref="V211:V216"/>
    <mergeCell ref="W211:W216"/>
    <mergeCell ref="X211:X216"/>
    <mergeCell ref="Y211:Y216"/>
    <mergeCell ref="Z211:Z216"/>
    <mergeCell ref="AA211:AA216"/>
    <mergeCell ref="P211:P216"/>
    <mergeCell ref="Q211:Q216"/>
    <mergeCell ref="R211:R216"/>
    <mergeCell ref="S211:S216"/>
    <mergeCell ref="T211:T216"/>
    <mergeCell ref="U211:U216"/>
    <mergeCell ref="AT211:AT216"/>
    <mergeCell ref="AU211:AU216"/>
    <mergeCell ref="AV211:AV216"/>
    <mergeCell ref="AW211:AW216"/>
    <mergeCell ref="AX211:AX216"/>
    <mergeCell ref="AY211:AY216"/>
    <mergeCell ref="AN211:AN216"/>
    <mergeCell ref="AO211:AO216"/>
    <mergeCell ref="AP211:AP216"/>
    <mergeCell ref="AQ211:AQ216"/>
    <mergeCell ref="AR211:AR216"/>
    <mergeCell ref="AS211:AS216"/>
    <mergeCell ref="AH211:AH216"/>
    <mergeCell ref="AI211:AI216"/>
    <mergeCell ref="AJ211:AJ216"/>
    <mergeCell ref="AK211:AK216"/>
    <mergeCell ref="AL211:AL216"/>
    <mergeCell ref="AM211:AM216"/>
    <mergeCell ref="BP211:BP216"/>
    <mergeCell ref="BU211:BU216"/>
    <mergeCell ref="BV211:BV216"/>
    <mergeCell ref="BX211:BX216"/>
    <mergeCell ref="CI211:CI216"/>
    <mergeCell ref="CJ211:CJ216"/>
    <mergeCell ref="BF211:BF216"/>
    <mergeCell ref="BG211:BG216"/>
    <mergeCell ref="BH211:BH216"/>
    <mergeCell ref="BI211:BI216"/>
    <mergeCell ref="BJ211:BJ216"/>
    <mergeCell ref="BO211:BO216"/>
    <mergeCell ref="AZ211:AZ216"/>
    <mergeCell ref="BA211:BA216"/>
    <mergeCell ref="BB211:BB216"/>
    <mergeCell ref="BC211:BC216"/>
    <mergeCell ref="BD211:BD216"/>
    <mergeCell ref="BE211:BE216"/>
    <mergeCell ref="DI211:DI216"/>
    <mergeCell ref="DJ211:DJ216"/>
    <mergeCell ref="CY211:CY216"/>
    <mergeCell ref="CZ211:CZ216"/>
    <mergeCell ref="DA211:DA216"/>
    <mergeCell ref="DB211:DB216"/>
    <mergeCell ref="DC211:DC216"/>
    <mergeCell ref="DD211:DD216"/>
    <mergeCell ref="CQ211:CQ216"/>
    <mergeCell ref="CR211:CR216"/>
    <mergeCell ref="CS211:CS216"/>
    <mergeCell ref="CT211:CT216"/>
    <mergeCell ref="CU211:CU216"/>
    <mergeCell ref="CV211:CV216"/>
    <mergeCell ref="CK211:CK216"/>
    <mergeCell ref="CL211:CL216"/>
    <mergeCell ref="CM211:CM216"/>
    <mergeCell ref="CN211:CN216"/>
    <mergeCell ref="CO211:CO216"/>
    <mergeCell ref="CP211:CP216"/>
    <mergeCell ref="P217:P222"/>
    <mergeCell ref="Q217:Q222"/>
    <mergeCell ref="R217:R222"/>
    <mergeCell ref="S217:S222"/>
    <mergeCell ref="T217:T222"/>
    <mergeCell ref="U217:U222"/>
    <mergeCell ref="J217:J222"/>
    <mergeCell ref="K217:K222"/>
    <mergeCell ref="L217:L222"/>
    <mergeCell ref="M217:M222"/>
    <mergeCell ref="N217:N222"/>
    <mergeCell ref="O217:O222"/>
    <mergeCell ref="A217:A222"/>
    <mergeCell ref="B217:B222"/>
    <mergeCell ref="C217:C222"/>
    <mergeCell ref="D217:D222"/>
    <mergeCell ref="G217:G222"/>
    <mergeCell ref="I217:I222"/>
    <mergeCell ref="AH217:AH222"/>
    <mergeCell ref="AI217:AI222"/>
    <mergeCell ref="AJ217:AJ222"/>
    <mergeCell ref="AK217:AK222"/>
    <mergeCell ref="AL217:AL222"/>
    <mergeCell ref="AM217:AM222"/>
    <mergeCell ref="AB217:AB222"/>
    <mergeCell ref="AC217:AC222"/>
    <mergeCell ref="AD217:AD222"/>
    <mergeCell ref="AE217:AE222"/>
    <mergeCell ref="AF217:AF222"/>
    <mergeCell ref="AG217:AG222"/>
    <mergeCell ref="V217:V222"/>
    <mergeCell ref="W217:W222"/>
    <mergeCell ref="X217:X222"/>
    <mergeCell ref="Y217:Y222"/>
    <mergeCell ref="Z217:Z222"/>
    <mergeCell ref="AA217:AA222"/>
    <mergeCell ref="AZ217:AZ222"/>
    <mergeCell ref="BA217:BA222"/>
    <mergeCell ref="BB217:BB222"/>
    <mergeCell ref="BC217:BC222"/>
    <mergeCell ref="BD217:BD222"/>
    <mergeCell ref="BE217:BE222"/>
    <mergeCell ref="AT217:AT222"/>
    <mergeCell ref="AU217:AU222"/>
    <mergeCell ref="AV217:AV222"/>
    <mergeCell ref="AW217:AW222"/>
    <mergeCell ref="AX217:AX222"/>
    <mergeCell ref="AY217:AY222"/>
    <mergeCell ref="AN217:AN222"/>
    <mergeCell ref="AO217:AO222"/>
    <mergeCell ref="AP217:AP222"/>
    <mergeCell ref="AQ217:AQ222"/>
    <mergeCell ref="AR217:AR222"/>
    <mergeCell ref="AS217:AS222"/>
    <mergeCell ref="BR217:BR222"/>
    <mergeCell ref="BS217:BS222"/>
    <mergeCell ref="BT217:BT222"/>
    <mergeCell ref="BU217:BU222"/>
    <mergeCell ref="BV217:BV222"/>
    <mergeCell ref="BW217:BW222"/>
    <mergeCell ref="BL217:BL222"/>
    <mergeCell ref="BM217:BM222"/>
    <mergeCell ref="BN217:BN222"/>
    <mergeCell ref="BO217:BO222"/>
    <mergeCell ref="BP217:BP222"/>
    <mergeCell ref="BQ217:BQ222"/>
    <mergeCell ref="BF217:BF222"/>
    <mergeCell ref="BG217:BG222"/>
    <mergeCell ref="BH217:BH222"/>
    <mergeCell ref="BI217:BI222"/>
    <mergeCell ref="BJ217:BJ222"/>
    <mergeCell ref="BK217:BK222"/>
    <mergeCell ref="CJ217:CJ222"/>
    <mergeCell ref="CK217:CK222"/>
    <mergeCell ref="CL217:CL222"/>
    <mergeCell ref="CM217:CM222"/>
    <mergeCell ref="CN217:CN222"/>
    <mergeCell ref="CO217:CO222"/>
    <mergeCell ref="CD217:CD222"/>
    <mergeCell ref="CE217:CE222"/>
    <mergeCell ref="CF217:CF222"/>
    <mergeCell ref="CG217:CG222"/>
    <mergeCell ref="CH217:CH222"/>
    <mergeCell ref="CI217:CI222"/>
    <mergeCell ref="BX217:BX222"/>
    <mergeCell ref="BY217:BY222"/>
    <mergeCell ref="BZ217:BZ222"/>
    <mergeCell ref="CA217:CA222"/>
    <mergeCell ref="CB217:CB222"/>
    <mergeCell ref="CC217:CC222"/>
    <mergeCell ref="K223:K225"/>
    <mergeCell ref="L223:L225"/>
    <mergeCell ref="M223:M225"/>
    <mergeCell ref="N223:N225"/>
    <mergeCell ref="O223:O225"/>
    <mergeCell ref="P223:P225"/>
    <mergeCell ref="DH217:DH222"/>
    <mergeCell ref="DI217:DI222"/>
    <mergeCell ref="DJ217:DJ222"/>
    <mergeCell ref="A223:A225"/>
    <mergeCell ref="B223:B225"/>
    <mergeCell ref="C223:C225"/>
    <mergeCell ref="D223:D225"/>
    <mergeCell ref="G223:G225"/>
    <mergeCell ref="I223:I225"/>
    <mergeCell ref="J223:J225"/>
    <mergeCell ref="DB217:DB222"/>
    <mergeCell ref="DC217:DC222"/>
    <mergeCell ref="DD217:DD222"/>
    <mergeCell ref="DE217:DE222"/>
    <mergeCell ref="DF217:DF222"/>
    <mergeCell ref="DG217:DG222"/>
    <mergeCell ref="CV217:CV222"/>
    <mergeCell ref="CW217:CW222"/>
    <mergeCell ref="CX217:CX222"/>
    <mergeCell ref="CY217:CY222"/>
    <mergeCell ref="CZ217:CZ222"/>
    <mergeCell ref="DA217:DA222"/>
    <mergeCell ref="CP217:CP222"/>
    <mergeCell ref="CQ217:CQ222"/>
    <mergeCell ref="CR217:CR222"/>
    <mergeCell ref="CS217:CS222"/>
    <mergeCell ref="AC223:AC225"/>
    <mergeCell ref="AD223:AD225"/>
    <mergeCell ref="AE223:AE225"/>
    <mergeCell ref="AF223:AF225"/>
    <mergeCell ref="AG223:AG225"/>
    <mergeCell ref="AH223:AH225"/>
    <mergeCell ref="W223:W225"/>
    <mergeCell ref="X223:X225"/>
    <mergeCell ref="Y223:Y225"/>
    <mergeCell ref="Z223:Z225"/>
    <mergeCell ref="AA223:AA225"/>
    <mergeCell ref="AB223:AB225"/>
    <mergeCell ref="Q223:Q225"/>
    <mergeCell ref="R223:R225"/>
    <mergeCell ref="S223:S225"/>
    <mergeCell ref="T223:T225"/>
    <mergeCell ref="U223:U225"/>
    <mergeCell ref="V223:V225"/>
    <mergeCell ref="AU223:AU225"/>
    <mergeCell ref="AV223:AV225"/>
    <mergeCell ref="AW223:AW225"/>
    <mergeCell ref="AX223:AX225"/>
    <mergeCell ref="AY223:AY225"/>
    <mergeCell ref="AZ223:AZ225"/>
    <mergeCell ref="AO223:AO225"/>
    <mergeCell ref="AP223:AP225"/>
    <mergeCell ref="AQ223:AQ225"/>
    <mergeCell ref="AR223:AR225"/>
    <mergeCell ref="AS223:AS225"/>
    <mergeCell ref="AT223:AT225"/>
    <mergeCell ref="AI223:AI225"/>
    <mergeCell ref="AJ223:AJ225"/>
    <mergeCell ref="AK223:AK225"/>
    <mergeCell ref="AL223:AL225"/>
    <mergeCell ref="AM223:AM225"/>
    <mergeCell ref="AN223:AN225"/>
    <mergeCell ref="BU223:BU225"/>
    <mergeCell ref="BV223:BV225"/>
    <mergeCell ref="BX223:BX225"/>
    <mergeCell ref="BY223:BY225"/>
    <mergeCell ref="BZ223:BZ225"/>
    <mergeCell ref="CA223:CA225"/>
    <mergeCell ref="BW223:BW225"/>
    <mergeCell ref="BG223:BG225"/>
    <mergeCell ref="BH223:BH225"/>
    <mergeCell ref="BI223:BI225"/>
    <mergeCell ref="BJ223:BJ225"/>
    <mergeCell ref="BO223:BO225"/>
    <mergeCell ref="BP223:BP225"/>
    <mergeCell ref="BA223:BA225"/>
    <mergeCell ref="BB223:BB225"/>
    <mergeCell ref="BC223:BC225"/>
    <mergeCell ref="BD223:BD225"/>
    <mergeCell ref="BE223:BE225"/>
    <mergeCell ref="BF223:BF225"/>
    <mergeCell ref="CN223:CN225"/>
    <mergeCell ref="CO223:CO225"/>
    <mergeCell ref="CP223:CP225"/>
    <mergeCell ref="CQ223:CQ225"/>
    <mergeCell ref="CR223:CR225"/>
    <mergeCell ref="CS223:CS225"/>
    <mergeCell ref="CH223:CH225"/>
    <mergeCell ref="CI223:CI225"/>
    <mergeCell ref="CJ223:CJ225"/>
    <mergeCell ref="CK223:CK225"/>
    <mergeCell ref="CL223:CL225"/>
    <mergeCell ref="CM223:CM225"/>
    <mergeCell ref="CB223:CB225"/>
    <mergeCell ref="CC223:CC225"/>
    <mergeCell ref="CD223:CD225"/>
    <mergeCell ref="CE223:CE225"/>
    <mergeCell ref="CF223:CF225"/>
    <mergeCell ref="CG223:CG225"/>
    <mergeCell ref="O226:O228"/>
    <mergeCell ref="P226:P228"/>
    <mergeCell ref="Q226:Q228"/>
    <mergeCell ref="R226:R228"/>
    <mergeCell ref="S226:S228"/>
    <mergeCell ref="T226:T228"/>
    <mergeCell ref="I226:I228"/>
    <mergeCell ref="J226:J228"/>
    <mergeCell ref="K226:K228"/>
    <mergeCell ref="L226:L228"/>
    <mergeCell ref="M226:M228"/>
    <mergeCell ref="N226:N228"/>
    <mergeCell ref="DH223:DH225"/>
    <mergeCell ref="DI223:DI225"/>
    <mergeCell ref="DJ223:DJ225"/>
    <mergeCell ref="A226:A228"/>
    <mergeCell ref="B226:B228"/>
    <mergeCell ref="C226:C228"/>
    <mergeCell ref="D226:D228"/>
    <mergeCell ref="G226:G228"/>
    <mergeCell ref="CZ223:CZ225"/>
    <mergeCell ref="DA223:DA225"/>
    <mergeCell ref="DB223:DB225"/>
    <mergeCell ref="DC223:DC225"/>
    <mergeCell ref="DD223:DD225"/>
    <mergeCell ref="DE223:DE225"/>
    <mergeCell ref="CT223:CT225"/>
    <mergeCell ref="CU223:CU225"/>
    <mergeCell ref="CV223:CV225"/>
    <mergeCell ref="CW223:CW225"/>
    <mergeCell ref="CX223:CX225"/>
    <mergeCell ref="CY223:CY225"/>
    <mergeCell ref="AG226:AG228"/>
    <mergeCell ref="AH226:AH228"/>
    <mergeCell ref="AI226:AI228"/>
    <mergeCell ref="AJ226:AJ228"/>
    <mergeCell ref="AK226:AK228"/>
    <mergeCell ref="AL226:AL228"/>
    <mergeCell ref="AA226:AA228"/>
    <mergeCell ref="AB226:AB228"/>
    <mergeCell ref="AC226:AC228"/>
    <mergeCell ref="AD226:AD228"/>
    <mergeCell ref="AE226:AE228"/>
    <mergeCell ref="AF226:AF228"/>
    <mergeCell ref="U226:U228"/>
    <mergeCell ref="V226:V228"/>
    <mergeCell ref="W226:W228"/>
    <mergeCell ref="X226:X228"/>
    <mergeCell ref="Y226:Y228"/>
    <mergeCell ref="Z226:Z228"/>
    <mergeCell ref="AY226:AY228"/>
    <mergeCell ref="AZ226:AZ228"/>
    <mergeCell ref="BA226:BA228"/>
    <mergeCell ref="BB226:BB228"/>
    <mergeCell ref="BC226:BC228"/>
    <mergeCell ref="BD226:BD228"/>
    <mergeCell ref="AS226:AS228"/>
    <mergeCell ref="AT226:AT228"/>
    <mergeCell ref="AU226:AU228"/>
    <mergeCell ref="AV226:AV228"/>
    <mergeCell ref="AW226:AW228"/>
    <mergeCell ref="AX226:AX228"/>
    <mergeCell ref="AM226:AM228"/>
    <mergeCell ref="AN226:AN228"/>
    <mergeCell ref="AO226:AO228"/>
    <mergeCell ref="AP226:AP228"/>
    <mergeCell ref="AQ226:AQ228"/>
    <mergeCell ref="AR226:AR228"/>
    <mergeCell ref="CI226:CI228"/>
    <mergeCell ref="CJ226:CJ228"/>
    <mergeCell ref="BY226:BY228"/>
    <mergeCell ref="BZ226:BZ228"/>
    <mergeCell ref="CA226:CA228"/>
    <mergeCell ref="CB226:CB228"/>
    <mergeCell ref="CC226:CC228"/>
    <mergeCell ref="CD226:CD228"/>
    <mergeCell ref="BO226:BO228"/>
    <mergeCell ref="BP226:BP228"/>
    <mergeCell ref="BU226:BU228"/>
    <mergeCell ref="BV226:BV228"/>
    <mergeCell ref="CE226:CE228"/>
    <mergeCell ref="BX226:BX228"/>
    <mergeCell ref="BW226:BW228"/>
    <mergeCell ref="BE226:BE228"/>
    <mergeCell ref="BF226:BF228"/>
    <mergeCell ref="BG226:BG228"/>
    <mergeCell ref="BH226:BH228"/>
    <mergeCell ref="BI226:BI228"/>
    <mergeCell ref="BJ226:BJ228"/>
    <mergeCell ref="DI226:DI228"/>
    <mergeCell ref="DJ226:DJ228"/>
    <mergeCell ref="A229:A233"/>
    <mergeCell ref="B229:B234"/>
    <mergeCell ref="C229:C233"/>
    <mergeCell ref="D229:D234"/>
    <mergeCell ref="G229:G234"/>
    <mergeCell ref="J229:J233"/>
    <mergeCell ref="K229:K233"/>
    <mergeCell ref="L229:L233"/>
    <mergeCell ref="DH226:DH228"/>
    <mergeCell ref="CW226:CW228"/>
    <mergeCell ref="CX226:CX228"/>
    <mergeCell ref="CY226:CY228"/>
    <mergeCell ref="CZ226:CZ228"/>
    <mergeCell ref="DA226:DA228"/>
    <mergeCell ref="DB226:DB228"/>
    <mergeCell ref="CQ226:CQ228"/>
    <mergeCell ref="CR226:CR228"/>
    <mergeCell ref="CS226:CS228"/>
    <mergeCell ref="CT226:CT228"/>
    <mergeCell ref="CU226:CU228"/>
    <mergeCell ref="CV226:CV228"/>
    <mergeCell ref="CK226:CK228"/>
    <mergeCell ref="CL226:CL228"/>
    <mergeCell ref="CM226:CM228"/>
    <mergeCell ref="CN226:CN228"/>
    <mergeCell ref="CO226:CO228"/>
    <mergeCell ref="CP226:CP228"/>
    <mergeCell ref="CF226:CF228"/>
    <mergeCell ref="CG226:CG228"/>
    <mergeCell ref="CH226:CH228"/>
    <mergeCell ref="Y229:Y233"/>
    <mergeCell ref="Z229:Z233"/>
    <mergeCell ref="AA229:AA233"/>
    <mergeCell ref="AB229:AB233"/>
    <mergeCell ref="AC229:AC233"/>
    <mergeCell ref="AD229:AD233"/>
    <mergeCell ref="S229:S233"/>
    <mergeCell ref="T229:T233"/>
    <mergeCell ref="U229:U233"/>
    <mergeCell ref="V229:V234"/>
    <mergeCell ref="W229:W233"/>
    <mergeCell ref="X229:X233"/>
    <mergeCell ref="M229:M233"/>
    <mergeCell ref="N229:N233"/>
    <mergeCell ref="O229:O233"/>
    <mergeCell ref="P229:P233"/>
    <mergeCell ref="Q229:Q233"/>
    <mergeCell ref="R229:R233"/>
    <mergeCell ref="AQ229:AQ233"/>
    <mergeCell ref="AR229:AR233"/>
    <mergeCell ref="AS229:AS233"/>
    <mergeCell ref="AT229:AT233"/>
    <mergeCell ref="AU229:AU233"/>
    <mergeCell ref="AV229:AV234"/>
    <mergeCell ref="AK229:AK233"/>
    <mergeCell ref="AL229:AL233"/>
    <mergeCell ref="AM229:AM233"/>
    <mergeCell ref="AN229:AN233"/>
    <mergeCell ref="AO229:AO233"/>
    <mergeCell ref="AP229:AP233"/>
    <mergeCell ref="AE229:AE233"/>
    <mergeCell ref="AF229:AF233"/>
    <mergeCell ref="AG229:AG233"/>
    <mergeCell ref="AH229:AH233"/>
    <mergeCell ref="AI229:AI234"/>
    <mergeCell ref="AJ229:AJ233"/>
    <mergeCell ref="BI229:BI234"/>
    <mergeCell ref="BJ229:BJ233"/>
    <mergeCell ref="BK229:BK233"/>
    <mergeCell ref="BL229:BL233"/>
    <mergeCell ref="BM229:BM233"/>
    <mergeCell ref="BN229:BN233"/>
    <mergeCell ref="BC229:BC233"/>
    <mergeCell ref="BD229:BD233"/>
    <mergeCell ref="BE229:BE233"/>
    <mergeCell ref="BF229:BF233"/>
    <mergeCell ref="BG229:BG233"/>
    <mergeCell ref="BH229:BH233"/>
    <mergeCell ref="AW229:AW233"/>
    <mergeCell ref="AX229:AX233"/>
    <mergeCell ref="AY229:AY233"/>
    <mergeCell ref="AZ229:AZ233"/>
    <mergeCell ref="BA229:BA233"/>
    <mergeCell ref="BB229:BB233"/>
    <mergeCell ref="CA229:CA233"/>
    <mergeCell ref="CB229:CB233"/>
    <mergeCell ref="CC229:CC233"/>
    <mergeCell ref="CD229:CD233"/>
    <mergeCell ref="CE229:CE233"/>
    <mergeCell ref="CF229:CF233"/>
    <mergeCell ref="BU229:BU233"/>
    <mergeCell ref="BV229:BV234"/>
    <mergeCell ref="BW229:BW233"/>
    <mergeCell ref="BX229:BX233"/>
    <mergeCell ref="BY229:BY233"/>
    <mergeCell ref="BZ229:BZ233"/>
    <mergeCell ref="BO229:BO233"/>
    <mergeCell ref="BP229:BP233"/>
    <mergeCell ref="BQ229:BQ233"/>
    <mergeCell ref="BR229:BR233"/>
    <mergeCell ref="BS229:BS233"/>
    <mergeCell ref="BT229:BT233"/>
    <mergeCell ref="DI229:DI234"/>
    <mergeCell ref="DJ229:DJ234"/>
    <mergeCell ref="CM229:CM233"/>
    <mergeCell ref="CN229:CN233"/>
    <mergeCell ref="CO229:CO233"/>
    <mergeCell ref="CP229:CP233"/>
    <mergeCell ref="DB229:DB234"/>
    <mergeCell ref="DA229:DA234"/>
    <mergeCell ref="CZ229:CZ234"/>
    <mergeCell ref="CY229:CY234"/>
    <mergeCell ref="CQ229:CQ233"/>
    <mergeCell ref="CR229:CR233"/>
    <mergeCell ref="CG229:CG233"/>
    <mergeCell ref="CH229:CH233"/>
    <mergeCell ref="CI229:CI234"/>
    <mergeCell ref="CJ229:CJ233"/>
    <mergeCell ref="CK229:CK233"/>
    <mergeCell ref="CL229:CL233"/>
    <mergeCell ref="DA142:DA145"/>
    <mergeCell ref="DB142:DB145"/>
    <mergeCell ref="DH146:DH154"/>
    <mergeCell ref="DG146:DG154"/>
    <mergeCell ref="DF146:DF154"/>
    <mergeCell ref="DD146:DD154"/>
    <mergeCell ref="CZ146:CZ154"/>
    <mergeCell ref="DE146:DE154"/>
    <mergeCell ref="DB202:DB210"/>
    <mergeCell ref="DH202:DH210"/>
    <mergeCell ref="CS229:CS233"/>
    <mergeCell ref="CT229:CT233"/>
    <mergeCell ref="CU229:CU233"/>
    <mergeCell ref="CV229:CV234"/>
    <mergeCell ref="DC226:DC228"/>
    <mergeCell ref="DD226:DD228"/>
    <mergeCell ref="DE226:DE228"/>
    <mergeCell ref="DF226:DF228"/>
    <mergeCell ref="CT217:CT222"/>
    <mergeCell ref="CU217:CU222"/>
    <mergeCell ref="DF211:DF216"/>
    <mergeCell ref="DG211:DG216"/>
    <mergeCell ref="DH211:DH216"/>
    <mergeCell ref="CV199:CV201"/>
    <mergeCell ref="CW199:CW201"/>
    <mergeCell ref="DB196:DB198"/>
    <mergeCell ref="CW196:CW198"/>
    <mergeCell ref="CU187:CU195"/>
    <mergeCell ref="CV187:CV195"/>
    <mergeCell ref="CZ184:CZ186"/>
    <mergeCell ref="DA184:DA186"/>
    <mergeCell ref="CW184:CW186"/>
    <mergeCell ref="I5:I8"/>
    <mergeCell ref="G5:G8"/>
    <mergeCell ref="C5:C8"/>
    <mergeCell ref="A5:A8"/>
    <mergeCell ref="B5:B8"/>
    <mergeCell ref="DJ5:DJ8"/>
    <mergeCell ref="D5:D8"/>
    <mergeCell ref="DF5:DF8"/>
    <mergeCell ref="DG5:DG8"/>
    <mergeCell ref="DH5:DH8"/>
    <mergeCell ref="H3:H4"/>
    <mergeCell ref="B199:B201"/>
    <mergeCell ref="B128:B132"/>
    <mergeCell ref="CX18:CX21"/>
    <mergeCell ref="CW69:CW77"/>
    <mergeCell ref="DH229:DH234"/>
    <mergeCell ref="DG229:DG234"/>
    <mergeCell ref="DF229:DF234"/>
    <mergeCell ref="DE229:DE234"/>
    <mergeCell ref="DD229:DD234"/>
    <mergeCell ref="DC229:DC234"/>
    <mergeCell ref="DF26:DF31"/>
    <mergeCell ref="DG202:DG210"/>
    <mergeCell ref="DF202:DF210"/>
    <mergeCell ref="DE202:DE210"/>
    <mergeCell ref="DD202:DD210"/>
    <mergeCell ref="DG226:DG228"/>
    <mergeCell ref="DF223:DF225"/>
    <mergeCell ref="DG223:DG225"/>
    <mergeCell ref="DE211:DE216"/>
    <mergeCell ref="CZ18:CZ21"/>
    <mergeCell ref="CY18:CY2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landscape" verticalDpi="4294967295" r:id="rId1"/>
  <rowBreaks count="4" manualBreakCount="4">
    <brk id="59" min="1" max="114" man="1"/>
    <brk id="112" min="1" max="114" man="1"/>
    <brk id="163" min="1" max="114" man="1"/>
    <brk id="216" min="1" max="1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view="pageBreakPreview" topLeftCell="B1" zoomScale="60" zoomScaleNormal="100" workbookViewId="0">
      <selection activeCell="D16" sqref="D16"/>
    </sheetView>
  </sheetViews>
  <sheetFormatPr baseColWidth="10" defaultColWidth="8.85546875" defaultRowHeight="15.75" x14ac:dyDescent="0.25"/>
  <cols>
    <col min="1" max="1" width="3.140625" style="124" hidden="1" customWidth="1"/>
    <col min="2" max="2" width="8.85546875" style="130"/>
    <col min="3" max="3" width="40.28515625" style="125" customWidth="1"/>
    <col min="4" max="4" width="18.7109375" style="125" customWidth="1"/>
    <col min="5" max="16384" width="8.85546875" style="125"/>
  </cols>
  <sheetData>
    <row r="1" spans="1:4" ht="29.25" customHeight="1" x14ac:dyDescent="0.25">
      <c r="D1" s="225">
        <v>44119</v>
      </c>
    </row>
    <row r="2" spans="1:4" s="130" customFormat="1" ht="46.5" customHeight="1" x14ac:dyDescent="0.25">
      <c r="A2" s="129"/>
      <c r="B2" s="1168" t="s">
        <v>349</v>
      </c>
      <c r="C2" s="1169"/>
      <c r="D2" s="171" t="s">
        <v>345</v>
      </c>
    </row>
    <row r="3" spans="1:4" s="130" customFormat="1" ht="15.75" customHeight="1" x14ac:dyDescent="0.25">
      <c r="A3" s="133">
        <v>24</v>
      </c>
      <c r="B3" s="172">
        <v>1</v>
      </c>
      <c r="C3" s="222" t="s">
        <v>85</v>
      </c>
      <c r="D3" s="221">
        <f>'Reporte de vacaciones 1'!DK6</f>
        <v>59</v>
      </c>
    </row>
    <row r="4" spans="1:4" ht="15.75" customHeight="1" x14ac:dyDescent="0.25">
      <c r="A4" s="133">
        <v>32</v>
      </c>
      <c r="B4" s="172">
        <v>2</v>
      </c>
      <c r="C4" s="223" t="s">
        <v>86</v>
      </c>
      <c r="D4" s="172">
        <f>'Reporte de vacaciones 1'!DK9</f>
        <v>66</v>
      </c>
    </row>
    <row r="5" spans="1:4" ht="15.75" customHeight="1" x14ac:dyDescent="0.25">
      <c r="A5" s="133">
        <v>34</v>
      </c>
      <c r="B5" s="172">
        <v>3</v>
      </c>
      <c r="C5" s="224" t="s">
        <v>49</v>
      </c>
      <c r="D5" s="172">
        <f>'Reporte de vacaciones 1'!DK12</f>
        <v>21</v>
      </c>
    </row>
    <row r="6" spans="1:4" ht="15.75" customHeight="1" x14ac:dyDescent="0.25">
      <c r="A6" s="133">
        <v>31</v>
      </c>
      <c r="B6" s="172">
        <v>4</v>
      </c>
      <c r="C6" s="224" t="s">
        <v>107</v>
      </c>
      <c r="D6" s="173">
        <f>'Reporte de vacaciones 1'!DK18</f>
        <v>46</v>
      </c>
    </row>
    <row r="7" spans="1:4" ht="15.75" customHeight="1" x14ac:dyDescent="0.25">
      <c r="A7" s="133">
        <v>16</v>
      </c>
      <c r="B7" s="172">
        <v>5</v>
      </c>
      <c r="C7" s="224" t="s">
        <v>16</v>
      </c>
      <c r="D7" s="173">
        <f>'Reporte de vacaciones 1'!DK22</f>
        <v>-8</v>
      </c>
    </row>
    <row r="8" spans="1:4" ht="15.75" customHeight="1" x14ac:dyDescent="0.25">
      <c r="A8" s="133">
        <v>7</v>
      </c>
      <c r="B8" s="172">
        <v>6</v>
      </c>
      <c r="C8" s="224" t="s">
        <v>57</v>
      </c>
      <c r="D8" s="172">
        <f>'Reporte de vacaciones 1'!DK26</f>
        <v>72</v>
      </c>
    </row>
    <row r="9" spans="1:4" ht="15.75" customHeight="1" x14ac:dyDescent="0.25">
      <c r="A9" s="133">
        <v>13</v>
      </c>
      <c r="B9" s="172">
        <v>7</v>
      </c>
      <c r="C9" s="224" t="s">
        <v>18</v>
      </c>
      <c r="D9" s="172">
        <f>'Reporte de vacaciones 1'!DK32</f>
        <v>80</v>
      </c>
    </row>
    <row r="10" spans="1:4" ht="15.75" customHeight="1" x14ac:dyDescent="0.25">
      <c r="A10" s="133">
        <v>33</v>
      </c>
      <c r="B10" s="172">
        <v>8</v>
      </c>
      <c r="C10" s="224" t="s">
        <v>19</v>
      </c>
      <c r="D10" s="172">
        <f>'Reporte de vacaciones 1'!DK42</f>
        <v>61</v>
      </c>
    </row>
    <row r="11" spans="1:4" ht="15.75" customHeight="1" x14ac:dyDescent="0.25">
      <c r="A11" s="133">
        <v>6</v>
      </c>
      <c r="B11" s="172">
        <v>9</v>
      </c>
      <c r="C11" s="224" t="s">
        <v>20</v>
      </c>
      <c r="D11" s="172">
        <f>'Reporte de vacaciones 1'!DK51</f>
        <v>205</v>
      </c>
    </row>
    <row r="12" spans="1:4" ht="15.75" customHeight="1" x14ac:dyDescent="0.25">
      <c r="A12" s="133">
        <v>22</v>
      </c>
      <c r="B12" s="172">
        <v>10</v>
      </c>
      <c r="C12" s="224" t="s">
        <v>50</v>
      </c>
      <c r="D12" s="172">
        <f>'Reporte de vacaciones 1'!DK60</f>
        <v>264</v>
      </c>
    </row>
    <row r="13" spans="1:4" ht="15.75" customHeight="1" x14ac:dyDescent="0.25">
      <c r="A13" s="133">
        <v>9</v>
      </c>
      <c r="B13" s="172">
        <v>11</v>
      </c>
      <c r="C13" s="224" t="s">
        <v>74</v>
      </c>
      <c r="D13" s="172">
        <f>'Reporte de vacaciones 1'!DK69</f>
        <v>0</v>
      </c>
    </row>
    <row r="14" spans="1:4" ht="15.75" customHeight="1" x14ac:dyDescent="0.25">
      <c r="A14" s="133">
        <v>4</v>
      </c>
      <c r="B14" s="172">
        <v>12</v>
      </c>
      <c r="C14" s="224" t="s">
        <v>22</v>
      </c>
      <c r="D14" s="172">
        <f>'Reporte de vacaciones 1'!DK78</f>
        <v>70</v>
      </c>
    </row>
    <row r="15" spans="1:4" ht="15.75" customHeight="1" x14ac:dyDescent="0.25">
      <c r="A15" s="133">
        <v>27</v>
      </c>
      <c r="B15" s="172">
        <v>13</v>
      </c>
      <c r="C15" s="224" t="s">
        <v>21</v>
      </c>
      <c r="D15" s="172">
        <f>'Reporte de vacaciones 1'!DK87</f>
        <v>0</v>
      </c>
    </row>
    <row r="16" spans="1:4" ht="15.75" customHeight="1" x14ac:dyDescent="0.25">
      <c r="A16" s="133">
        <v>5</v>
      </c>
      <c r="B16" s="172">
        <v>14</v>
      </c>
      <c r="C16" s="224" t="s">
        <v>126</v>
      </c>
      <c r="D16" s="172">
        <f>'Reporte de vacaciones 1'!DK96</f>
        <v>-10</v>
      </c>
    </row>
    <row r="17" spans="1:4" ht="15.75" customHeight="1" x14ac:dyDescent="0.25">
      <c r="A17" s="133">
        <v>4</v>
      </c>
      <c r="B17" s="172">
        <v>15</v>
      </c>
      <c r="C17" s="224" t="s">
        <v>156</v>
      </c>
      <c r="D17" s="172"/>
    </row>
    <row r="18" spans="1:4" ht="15.75" customHeight="1" x14ac:dyDescent="0.25">
      <c r="A18" s="133">
        <v>3</v>
      </c>
      <c r="B18" s="172">
        <v>16</v>
      </c>
      <c r="C18" s="224" t="s">
        <v>149</v>
      </c>
      <c r="D18" s="172">
        <f>'Reporte de vacaciones 1'!DK101</f>
        <v>-18</v>
      </c>
    </row>
    <row r="19" spans="1:4" ht="15.75" customHeight="1" x14ac:dyDescent="0.25">
      <c r="A19" s="133">
        <v>10</v>
      </c>
      <c r="B19" s="172">
        <v>17</v>
      </c>
      <c r="C19" s="224" t="s">
        <v>51</v>
      </c>
      <c r="D19" s="172">
        <f>'Reporte de vacaciones 1'!DK107</f>
        <v>63</v>
      </c>
    </row>
    <row r="20" spans="1:4" ht="15.75" customHeight="1" x14ac:dyDescent="0.25">
      <c r="A20" s="133">
        <v>18</v>
      </c>
      <c r="B20" s="172">
        <v>18</v>
      </c>
      <c r="C20" s="224" t="s">
        <v>150</v>
      </c>
      <c r="D20" s="172">
        <f>'Reporte de vacaciones 1'!DK113</f>
        <v>30</v>
      </c>
    </row>
    <row r="21" spans="1:4" ht="15.75" customHeight="1" x14ac:dyDescent="0.25">
      <c r="A21" s="133">
        <v>17</v>
      </c>
      <c r="B21" s="172">
        <v>19</v>
      </c>
      <c r="C21" s="223" t="s">
        <v>58</v>
      </c>
      <c r="D21" s="172">
        <f>'Reporte de vacaciones 1'!DK119</f>
        <v>180</v>
      </c>
    </row>
    <row r="22" spans="1:4" ht="15.75" customHeight="1" x14ac:dyDescent="0.25">
      <c r="A22" s="133">
        <v>23</v>
      </c>
      <c r="B22" s="172">
        <v>20</v>
      </c>
      <c r="C22" s="223" t="s">
        <v>52</v>
      </c>
      <c r="D22" s="172">
        <f>'Reporte de vacaciones 1'!DK128</f>
        <v>142</v>
      </c>
    </row>
    <row r="23" spans="1:4" ht="15.75" customHeight="1" x14ac:dyDescent="0.25">
      <c r="A23" s="133">
        <v>1</v>
      </c>
      <c r="B23" s="172">
        <v>21</v>
      </c>
      <c r="C23" s="223" t="s">
        <v>53</v>
      </c>
      <c r="D23" s="172">
        <f>'Reporte de vacaciones 1'!DK133</f>
        <v>91</v>
      </c>
    </row>
    <row r="24" spans="1:4" ht="15.75" customHeight="1" x14ac:dyDescent="0.25">
      <c r="A24" s="133">
        <v>2</v>
      </c>
      <c r="B24" s="172">
        <v>22</v>
      </c>
      <c r="C24" s="223" t="s">
        <v>157</v>
      </c>
      <c r="D24" s="172"/>
    </row>
    <row r="25" spans="1:4" ht="15.75" customHeight="1" x14ac:dyDescent="0.25">
      <c r="A25" s="133"/>
      <c r="B25" s="172">
        <v>23</v>
      </c>
      <c r="C25" s="224" t="s">
        <v>108</v>
      </c>
      <c r="D25" s="173">
        <f>'Reporte de vacaciones 1'!DK142</f>
        <v>13</v>
      </c>
    </row>
    <row r="26" spans="1:4" ht="15.75" customHeight="1" x14ac:dyDescent="0.25">
      <c r="A26" s="133">
        <v>8</v>
      </c>
      <c r="B26" s="172">
        <v>24</v>
      </c>
      <c r="C26" s="223" t="s">
        <v>87</v>
      </c>
      <c r="D26" s="172">
        <f>'Reporte de vacaciones 1'!DK146</f>
        <v>-9</v>
      </c>
    </row>
    <row r="27" spans="1:4" ht="15.75" customHeight="1" x14ac:dyDescent="0.25">
      <c r="A27" s="133">
        <v>19</v>
      </c>
      <c r="B27" s="172">
        <v>25</v>
      </c>
      <c r="C27" s="224" t="s">
        <v>127</v>
      </c>
      <c r="D27" s="173">
        <f>'Reporte de vacaciones 1'!DK155</f>
        <v>-8</v>
      </c>
    </row>
    <row r="28" spans="1:4" ht="15.75" customHeight="1" x14ac:dyDescent="0.25">
      <c r="A28" s="133">
        <v>33</v>
      </c>
      <c r="B28" s="172">
        <v>26</v>
      </c>
      <c r="C28" s="224" t="s">
        <v>151</v>
      </c>
      <c r="D28" s="172">
        <f>'Reporte de vacaciones 1'!DK158</f>
        <v>30</v>
      </c>
    </row>
    <row r="29" spans="1:4" ht="15.75" customHeight="1" x14ac:dyDescent="0.25">
      <c r="A29" s="133">
        <v>29</v>
      </c>
      <c r="B29" s="172">
        <v>27</v>
      </c>
      <c r="C29" s="224" t="s">
        <v>346</v>
      </c>
      <c r="D29" s="172">
        <f>'Reporte de vacaciones 1'!DK164</f>
        <v>0</v>
      </c>
    </row>
    <row r="30" spans="1:4" ht="15.75" customHeight="1" x14ac:dyDescent="0.25">
      <c r="A30" s="126">
        <v>12</v>
      </c>
      <c r="B30" s="172">
        <v>28</v>
      </c>
      <c r="C30" s="224" t="s">
        <v>152</v>
      </c>
      <c r="D30" s="172">
        <f>'Reporte de vacaciones 1'!DK170</f>
        <v>0</v>
      </c>
    </row>
    <row r="31" spans="1:4" ht="15.75" customHeight="1" x14ac:dyDescent="0.25">
      <c r="A31" s="133">
        <v>221</v>
      </c>
      <c r="B31" s="172">
        <v>29</v>
      </c>
      <c r="C31" s="224" t="s">
        <v>59</v>
      </c>
      <c r="D31" s="172">
        <f>'Reporte de vacaciones 1'!DK176</f>
        <v>56</v>
      </c>
    </row>
    <row r="32" spans="1:4" ht="15.75" customHeight="1" x14ac:dyDescent="0.25">
      <c r="A32" s="133">
        <v>24</v>
      </c>
      <c r="B32" s="172">
        <v>30</v>
      </c>
      <c r="C32" s="224" t="s">
        <v>97</v>
      </c>
      <c r="D32" s="173">
        <f>'Reporte de vacaciones 1'!DK184</f>
        <v>74</v>
      </c>
    </row>
    <row r="33" spans="2:4" ht="15.75" customHeight="1" x14ac:dyDescent="0.25">
      <c r="B33" s="172">
        <v>31</v>
      </c>
      <c r="C33" s="224" t="s">
        <v>54</v>
      </c>
      <c r="D33" s="172">
        <f>'Reporte de vacaciones 1'!DK187</f>
        <v>152</v>
      </c>
    </row>
    <row r="34" spans="2:4" ht="15.75" customHeight="1" x14ac:dyDescent="0.25">
      <c r="B34" s="172">
        <v>32</v>
      </c>
      <c r="C34" s="224" t="s">
        <v>96</v>
      </c>
      <c r="D34" s="172">
        <f>'Reporte de vacaciones 1'!DK196</f>
        <v>-18</v>
      </c>
    </row>
    <row r="35" spans="2:4" ht="15.75" customHeight="1" x14ac:dyDescent="0.25">
      <c r="B35" s="172">
        <v>33</v>
      </c>
      <c r="C35" s="224" t="s">
        <v>347</v>
      </c>
      <c r="D35" s="172">
        <f>'Reporte de vacaciones 1'!DK199</f>
        <v>0</v>
      </c>
    </row>
    <row r="36" spans="2:4" ht="15.75" customHeight="1" x14ac:dyDescent="0.25">
      <c r="B36" s="172">
        <v>34</v>
      </c>
      <c r="C36" s="224" t="s">
        <v>55</v>
      </c>
      <c r="D36" s="172">
        <f>'Reporte de vacaciones 1'!DK202</f>
        <v>127</v>
      </c>
    </row>
    <row r="37" spans="2:4" ht="15.75" customHeight="1" x14ac:dyDescent="0.25">
      <c r="B37" s="172">
        <v>35</v>
      </c>
      <c r="C37" s="224" t="s">
        <v>56</v>
      </c>
      <c r="D37" s="172">
        <f>'Reporte de vacaciones 1'!DK211</f>
        <v>137</v>
      </c>
    </row>
    <row r="38" spans="2:4" ht="15.75" customHeight="1" x14ac:dyDescent="0.25">
      <c r="B38" s="172">
        <v>36</v>
      </c>
      <c r="C38" s="224" t="s">
        <v>153</v>
      </c>
      <c r="D38" s="172">
        <f>'Reporte de vacaciones 1'!DK217</f>
        <v>30</v>
      </c>
    </row>
    <row r="39" spans="2:4" ht="15.75" customHeight="1" x14ac:dyDescent="0.25">
      <c r="B39" s="172">
        <v>37</v>
      </c>
      <c r="C39" s="224" t="s">
        <v>95</v>
      </c>
      <c r="D39" s="172">
        <f>'Reporte de vacaciones 1'!DK223</f>
        <v>-19</v>
      </c>
    </row>
    <row r="40" spans="2:4" ht="15.75" customHeight="1" x14ac:dyDescent="0.25">
      <c r="B40" s="172">
        <v>38</v>
      </c>
      <c r="C40" s="224" t="s">
        <v>109</v>
      </c>
      <c r="D40" s="172">
        <f>'Reporte de vacaciones 1'!DK226</f>
        <v>6</v>
      </c>
    </row>
    <row r="41" spans="2:4" ht="15.75" customHeight="1" x14ac:dyDescent="0.25">
      <c r="B41" s="172">
        <v>39</v>
      </c>
      <c r="C41" s="224" t="s">
        <v>61</v>
      </c>
      <c r="D41" s="173">
        <f>'Reporte de vacaciones 1'!DK229</f>
        <v>83</v>
      </c>
    </row>
  </sheetData>
  <mergeCells count="1">
    <mergeCell ref="B2:C2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85"/>
  <sheetViews>
    <sheetView view="pageBreakPreview" topLeftCell="D1" zoomScale="60" zoomScaleNormal="100" workbookViewId="0">
      <selection activeCell="M5" sqref="M5"/>
    </sheetView>
  </sheetViews>
  <sheetFormatPr baseColWidth="10" defaultColWidth="8.85546875" defaultRowHeight="23.25" outlineLevelCol="2" x14ac:dyDescent="0.35"/>
  <cols>
    <col min="1" max="1" width="3.7109375" style="343" hidden="1" customWidth="1"/>
    <col min="2" max="2" width="90.140625" style="345" customWidth="1"/>
    <col min="3" max="3" width="20.7109375" style="263" hidden="1" customWidth="1"/>
    <col min="4" max="4" width="24.42578125" style="263" customWidth="1"/>
    <col min="5" max="5" width="37.7109375" style="346" hidden="1" customWidth="1"/>
    <col min="6" max="6" width="11.7109375" style="263" hidden="1" customWidth="1"/>
    <col min="7" max="7" width="13.5703125" style="347" hidden="1" customWidth="1"/>
    <col min="8" max="8" width="25.140625" style="347" hidden="1" customWidth="1"/>
    <col min="9" max="9" width="25" style="347" customWidth="1"/>
    <col min="10" max="10" width="22.42578125" style="347" customWidth="1"/>
    <col min="11" max="12" width="25" style="347" customWidth="1"/>
    <col min="13" max="13" width="22.42578125" style="347" customWidth="1"/>
    <col min="14" max="15" width="25" style="347" customWidth="1"/>
    <col min="16" max="16" width="22.42578125" style="347" customWidth="1"/>
    <col min="17" max="17" width="9.7109375" style="263" hidden="1" customWidth="1"/>
    <col min="18" max="28" width="6.7109375" style="263" hidden="1" customWidth="1" outlineLevel="1"/>
    <col min="29" max="29" width="8" style="263" hidden="1" customWidth="1" outlineLevel="1"/>
    <col min="30" max="30" width="9.7109375" style="263" hidden="1" customWidth="1" collapsed="1"/>
    <col min="31" max="42" width="6.7109375" style="263" hidden="1" customWidth="1" outlineLevel="2"/>
    <col min="43" max="43" width="9.7109375" style="263" hidden="1" customWidth="1" collapsed="1"/>
    <col min="44" max="55" width="5.85546875" style="263" hidden="1" customWidth="1" outlineLevel="1"/>
    <col min="56" max="56" width="9.7109375" style="263" hidden="1" customWidth="1" collapsed="1"/>
    <col min="57" max="57" width="6" style="263" hidden="1" customWidth="1" outlineLevel="1"/>
    <col min="58" max="68" width="5.85546875" style="263" hidden="1" customWidth="1" outlineLevel="1"/>
    <col min="69" max="69" width="9.5703125" style="263" hidden="1" customWidth="1" collapsed="1"/>
    <col min="70" max="80" width="6.140625" style="263" hidden="1" customWidth="1" outlineLevel="1"/>
    <col min="81" max="81" width="6.28515625" style="263" hidden="1" customWidth="1" outlineLevel="1"/>
    <col min="82" max="82" width="9.7109375" style="263" hidden="1" customWidth="1" collapsed="1"/>
    <col min="83" max="83" width="5.7109375" style="263" hidden="1" customWidth="1" outlineLevel="1"/>
    <col min="84" max="94" width="5.5703125" style="263" hidden="1" customWidth="1" outlineLevel="1"/>
    <col min="95" max="95" width="9.5703125" style="348" hidden="1" customWidth="1" collapsed="1"/>
    <col min="96" max="96" width="5.7109375" style="263" hidden="1" customWidth="1" outlineLevel="1"/>
    <col min="97" max="107" width="5.5703125" style="263" hidden="1" customWidth="1" outlineLevel="1"/>
    <col min="108" max="108" width="9.85546875" style="348" hidden="1" customWidth="1" collapsed="1"/>
    <col min="109" max="109" width="5.7109375" style="263" hidden="1" customWidth="1" outlineLevel="1"/>
    <col min="110" max="120" width="5.5703125" style="263" hidden="1" customWidth="1" outlineLevel="1"/>
    <col min="121" max="121" width="9.85546875" style="348" hidden="1" customWidth="1" collapsed="1"/>
    <col min="122" max="122" width="9.85546875" style="348" customWidth="1"/>
    <col min="123" max="123" width="22.42578125" style="347" customWidth="1"/>
    <col min="124" max="125" width="26.28515625" style="347" customWidth="1"/>
    <col min="126" max="126" width="26" style="348" customWidth="1"/>
    <col min="127" max="127" width="24.140625" style="348" customWidth="1"/>
    <col min="128" max="128" width="18.85546875" style="349" customWidth="1"/>
    <col min="129" max="129" width="21.7109375" style="347" customWidth="1"/>
    <col min="130" max="143" width="10.42578125" style="350" customWidth="1"/>
    <col min="144" max="144" width="17.28515625" style="349" customWidth="1"/>
    <col min="145" max="16384" width="8.85546875" style="263"/>
  </cols>
  <sheetData>
    <row r="1" spans="1:144" ht="61.5" customHeight="1" x14ac:dyDescent="0.35">
      <c r="B1" s="359" t="s">
        <v>180</v>
      </c>
      <c r="C1" s="359"/>
      <c r="D1" s="359"/>
      <c r="E1" s="359"/>
      <c r="F1" s="359"/>
      <c r="G1" s="359"/>
      <c r="H1" s="359"/>
      <c r="I1" s="595">
        <v>2019</v>
      </c>
      <c r="J1" s="595"/>
      <c r="K1" s="359">
        <v>2020</v>
      </c>
      <c r="L1" s="359"/>
      <c r="M1" s="639"/>
      <c r="N1" s="594">
        <v>2021</v>
      </c>
      <c r="O1" s="666"/>
      <c r="P1" s="644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  <c r="AN1" s="359"/>
      <c r="AO1" s="359"/>
      <c r="AP1" s="359"/>
      <c r="AQ1" s="359"/>
      <c r="AR1" s="359"/>
      <c r="AS1" s="359"/>
      <c r="AT1" s="359"/>
      <c r="AU1" s="359"/>
      <c r="AV1" s="359"/>
      <c r="AW1" s="359"/>
      <c r="AX1" s="359"/>
      <c r="AY1" s="359"/>
      <c r="AZ1" s="359"/>
      <c r="BA1" s="359"/>
      <c r="BB1" s="359"/>
      <c r="BC1" s="359"/>
      <c r="BD1" s="359"/>
      <c r="BE1" s="359"/>
      <c r="BF1" s="359"/>
      <c r="BG1" s="359"/>
      <c r="BH1" s="359"/>
      <c r="BI1" s="359"/>
      <c r="BJ1" s="359"/>
      <c r="BK1" s="359"/>
      <c r="BL1" s="359"/>
      <c r="BM1" s="359"/>
      <c r="BN1" s="359"/>
      <c r="BO1" s="359"/>
      <c r="BP1" s="359"/>
      <c r="BQ1" s="359"/>
      <c r="BR1" s="359"/>
      <c r="BS1" s="359"/>
      <c r="BT1" s="359"/>
      <c r="BU1" s="359"/>
      <c r="BV1" s="359"/>
      <c r="BW1" s="359"/>
      <c r="BX1" s="359"/>
      <c r="BY1" s="359"/>
      <c r="BZ1" s="359"/>
      <c r="CA1" s="359"/>
      <c r="CB1" s="359"/>
      <c r="CC1" s="359"/>
      <c r="CD1" s="359"/>
      <c r="CE1" s="359"/>
      <c r="CF1" s="359"/>
      <c r="CG1" s="359"/>
      <c r="CH1" s="359"/>
      <c r="CI1" s="359"/>
      <c r="CJ1" s="359"/>
      <c r="CK1" s="359"/>
      <c r="CL1" s="359"/>
      <c r="CM1" s="359"/>
      <c r="CN1" s="359"/>
      <c r="CO1" s="359"/>
      <c r="CP1" s="359"/>
      <c r="CQ1" s="359"/>
      <c r="CR1" s="359"/>
      <c r="CS1" s="359"/>
      <c r="CT1" s="359"/>
      <c r="CU1" s="359"/>
      <c r="CV1" s="359"/>
      <c r="CW1" s="359"/>
      <c r="CX1" s="359"/>
      <c r="CY1" s="359"/>
      <c r="CZ1" s="359"/>
      <c r="DA1" s="359"/>
      <c r="DB1" s="359"/>
      <c r="DC1" s="359"/>
      <c r="DD1" s="359"/>
      <c r="DE1" s="359"/>
      <c r="DF1" s="359"/>
      <c r="DG1" s="359"/>
      <c r="DH1" s="359"/>
      <c r="DI1" s="359"/>
      <c r="DJ1" s="359"/>
      <c r="DK1" s="359"/>
      <c r="DL1" s="359"/>
      <c r="DM1" s="359"/>
      <c r="DN1" s="359"/>
      <c r="DO1" s="359"/>
      <c r="DP1" s="359"/>
      <c r="DQ1" s="359"/>
      <c r="DR1" s="359"/>
      <c r="DS1" s="359"/>
      <c r="DT1" s="359"/>
      <c r="DU1" s="359"/>
      <c r="DV1" s="359"/>
      <c r="DW1" s="359"/>
      <c r="DX1" s="359"/>
      <c r="DY1" s="359"/>
      <c r="DZ1" s="359"/>
      <c r="EA1" s="359"/>
      <c r="EB1" s="359"/>
      <c r="EC1" s="359"/>
      <c r="ED1" s="359"/>
      <c r="EE1" s="359"/>
      <c r="EF1" s="359"/>
      <c r="EG1" s="359"/>
      <c r="EH1" s="359"/>
      <c r="EI1" s="359"/>
      <c r="EJ1" s="359"/>
      <c r="EK1" s="359"/>
      <c r="EL1" s="359"/>
      <c r="EM1" s="359"/>
      <c r="EN1" s="359"/>
    </row>
    <row r="2" spans="1:144" s="258" customFormat="1" ht="66.75" customHeight="1" x14ac:dyDescent="0.35">
      <c r="A2" s="344"/>
      <c r="B2" s="474" t="s">
        <v>68</v>
      </c>
      <c r="C2" s="477" t="s">
        <v>0</v>
      </c>
      <c r="D2" s="1173" t="s">
        <v>181</v>
      </c>
      <c r="E2" s="477" t="s">
        <v>182</v>
      </c>
      <c r="F2" s="477" t="s">
        <v>183</v>
      </c>
      <c r="G2" s="480" t="s">
        <v>184</v>
      </c>
      <c r="H2" s="495" t="s">
        <v>373</v>
      </c>
      <c r="I2" s="1176"/>
      <c r="J2" s="1179"/>
      <c r="K2" s="1182" t="s">
        <v>381</v>
      </c>
      <c r="L2" s="1182" t="s">
        <v>382</v>
      </c>
      <c r="M2" s="1170"/>
      <c r="N2" s="645"/>
      <c r="O2" s="667"/>
      <c r="P2" s="655">
        <v>44132</v>
      </c>
      <c r="Q2" s="472" t="s">
        <v>78</v>
      </c>
      <c r="R2" s="458" t="s">
        <v>1</v>
      </c>
      <c r="S2" s="458"/>
      <c r="T2" s="458"/>
      <c r="U2" s="458"/>
      <c r="V2" s="458"/>
      <c r="W2" s="458"/>
      <c r="X2" s="458"/>
      <c r="Y2" s="458"/>
      <c r="Z2" s="458"/>
      <c r="AA2" s="458"/>
      <c r="AB2" s="458"/>
      <c r="AC2" s="458"/>
      <c r="AD2" s="472" t="s">
        <v>79</v>
      </c>
      <c r="AE2" s="458" t="s">
        <v>2</v>
      </c>
      <c r="AF2" s="458"/>
      <c r="AG2" s="458"/>
      <c r="AH2" s="458"/>
      <c r="AI2" s="458"/>
      <c r="AJ2" s="458"/>
      <c r="AK2" s="458"/>
      <c r="AL2" s="458"/>
      <c r="AM2" s="458"/>
      <c r="AN2" s="458"/>
      <c r="AO2" s="458"/>
      <c r="AP2" s="458"/>
      <c r="AQ2" s="472" t="s">
        <v>80</v>
      </c>
      <c r="AR2" s="458" t="s">
        <v>60</v>
      </c>
      <c r="AS2" s="458"/>
      <c r="AT2" s="458"/>
      <c r="AU2" s="458"/>
      <c r="AV2" s="458"/>
      <c r="AW2" s="458"/>
      <c r="AX2" s="458"/>
      <c r="AY2" s="458"/>
      <c r="AZ2" s="458"/>
      <c r="BA2" s="458"/>
      <c r="BB2" s="458"/>
      <c r="BC2" s="458"/>
      <c r="BD2" s="472" t="s">
        <v>81</v>
      </c>
      <c r="BE2" s="458" t="s">
        <v>72</v>
      </c>
      <c r="BF2" s="458"/>
      <c r="BG2" s="458"/>
      <c r="BH2" s="458"/>
      <c r="BI2" s="458"/>
      <c r="BJ2" s="458"/>
      <c r="BK2" s="458"/>
      <c r="BL2" s="458"/>
      <c r="BM2" s="458"/>
      <c r="BN2" s="458"/>
      <c r="BO2" s="458"/>
      <c r="BP2" s="458"/>
      <c r="BQ2" s="472" t="s">
        <v>82</v>
      </c>
      <c r="BR2" s="458" t="s">
        <v>73</v>
      </c>
      <c r="BS2" s="458"/>
      <c r="BT2" s="458"/>
      <c r="BU2" s="458"/>
      <c r="BV2" s="458"/>
      <c r="BW2" s="458"/>
      <c r="BX2" s="458"/>
      <c r="BY2" s="458"/>
      <c r="BZ2" s="458"/>
      <c r="CA2" s="458"/>
      <c r="CB2" s="458"/>
      <c r="CC2" s="458"/>
      <c r="CD2" s="472" t="s">
        <v>83</v>
      </c>
      <c r="CE2" s="458" t="s">
        <v>88</v>
      </c>
      <c r="CF2" s="458"/>
      <c r="CG2" s="458"/>
      <c r="CH2" s="458"/>
      <c r="CI2" s="458"/>
      <c r="CJ2" s="458"/>
      <c r="CK2" s="458"/>
      <c r="CL2" s="458"/>
      <c r="CM2" s="458"/>
      <c r="CN2" s="458"/>
      <c r="CO2" s="458"/>
      <c r="CP2" s="458"/>
      <c r="CQ2" s="460" t="s">
        <v>89</v>
      </c>
      <c r="CR2" s="458" t="s">
        <v>98</v>
      </c>
      <c r="CS2" s="458"/>
      <c r="CT2" s="458"/>
      <c r="CU2" s="458"/>
      <c r="CV2" s="458"/>
      <c r="CW2" s="458"/>
      <c r="CX2" s="458"/>
      <c r="CY2" s="458"/>
      <c r="CZ2" s="458"/>
      <c r="DA2" s="458"/>
      <c r="DB2" s="458"/>
      <c r="DC2" s="458"/>
      <c r="DD2" s="460" t="s">
        <v>99</v>
      </c>
      <c r="DE2" s="518" t="s">
        <v>148</v>
      </c>
      <c r="DF2" s="518"/>
      <c r="DG2" s="518"/>
      <c r="DH2" s="518"/>
      <c r="DI2" s="518"/>
      <c r="DJ2" s="518"/>
      <c r="DK2" s="518"/>
      <c r="DL2" s="518"/>
      <c r="DM2" s="518"/>
      <c r="DN2" s="518"/>
      <c r="DO2" s="518"/>
      <c r="DP2" s="518"/>
      <c r="DQ2" s="519" t="s">
        <v>185</v>
      </c>
      <c r="DR2" s="573"/>
      <c r="DS2" s="504" t="s">
        <v>380</v>
      </c>
      <c r="DT2" s="483" t="s">
        <v>373</v>
      </c>
      <c r="DU2" s="483">
        <v>2021</v>
      </c>
      <c r="DV2" s="573"/>
      <c r="DW2" s="354">
        <v>44130</v>
      </c>
      <c r="DX2" s="360" t="s">
        <v>3</v>
      </c>
      <c r="DY2" s="462" t="s">
        <v>186</v>
      </c>
      <c r="DZ2" s="359" t="s">
        <v>372</v>
      </c>
      <c r="EA2" s="359"/>
      <c r="EB2" s="359"/>
      <c r="EC2" s="359"/>
      <c r="ED2" s="359"/>
      <c r="EE2" s="359"/>
      <c r="EF2" s="359"/>
      <c r="EG2" s="359"/>
      <c r="EH2" s="359"/>
      <c r="EI2" s="359"/>
      <c r="EJ2" s="359"/>
      <c r="EK2" s="359"/>
      <c r="EL2" s="359"/>
      <c r="EM2" s="359"/>
      <c r="EN2" s="360" t="s">
        <v>3</v>
      </c>
    </row>
    <row r="3" spans="1:144" s="258" customFormat="1" ht="53.25" customHeight="1" x14ac:dyDescent="0.35">
      <c r="A3" s="344"/>
      <c r="B3" s="475"/>
      <c r="C3" s="478"/>
      <c r="D3" s="1174"/>
      <c r="E3" s="478"/>
      <c r="F3" s="478"/>
      <c r="G3" s="465"/>
      <c r="H3" s="496"/>
      <c r="I3" s="1177"/>
      <c r="J3" s="1180"/>
      <c r="K3" s="1183"/>
      <c r="L3" s="1183"/>
      <c r="M3" s="1171"/>
      <c r="N3" s="646"/>
      <c r="O3" s="668"/>
      <c r="P3" s="656" t="s">
        <v>184</v>
      </c>
      <c r="Q3" s="473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73"/>
      <c r="AE3" s="459"/>
      <c r="AF3" s="459"/>
      <c r="AG3" s="459"/>
      <c r="AH3" s="459"/>
      <c r="AI3" s="459"/>
      <c r="AJ3" s="459"/>
      <c r="AK3" s="459"/>
      <c r="AL3" s="459"/>
      <c r="AM3" s="459"/>
      <c r="AN3" s="459"/>
      <c r="AO3" s="459"/>
      <c r="AP3" s="459"/>
      <c r="AQ3" s="473"/>
      <c r="AR3" s="459"/>
      <c r="AS3" s="459"/>
      <c r="AT3" s="459"/>
      <c r="AU3" s="459"/>
      <c r="AV3" s="459"/>
      <c r="AW3" s="459"/>
      <c r="AX3" s="459"/>
      <c r="AY3" s="459"/>
      <c r="AZ3" s="459"/>
      <c r="BA3" s="459"/>
      <c r="BB3" s="459"/>
      <c r="BC3" s="459"/>
      <c r="BD3" s="473"/>
      <c r="BE3" s="459"/>
      <c r="BF3" s="459"/>
      <c r="BG3" s="459"/>
      <c r="BH3" s="459"/>
      <c r="BI3" s="459"/>
      <c r="BJ3" s="459"/>
      <c r="BK3" s="459"/>
      <c r="BL3" s="459"/>
      <c r="BM3" s="459"/>
      <c r="BN3" s="459"/>
      <c r="BO3" s="459"/>
      <c r="BP3" s="459"/>
      <c r="BQ3" s="473"/>
      <c r="BR3" s="459"/>
      <c r="BS3" s="459"/>
      <c r="BT3" s="459"/>
      <c r="BU3" s="459"/>
      <c r="BV3" s="459"/>
      <c r="BW3" s="459"/>
      <c r="BX3" s="459"/>
      <c r="BY3" s="459"/>
      <c r="BZ3" s="459"/>
      <c r="CA3" s="459"/>
      <c r="CB3" s="459"/>
      <c r="CC3" s="459"/>
      <c r="CD3" s="473"/>
      <c r="CE3" s="459"/>
      <c r="CF3" s="459"/>
      <c r="CG3" s="459"/>
      <c r="CH3" s="459"/>
      <c r="CI3" s="459"/>
      <c r="CJ3" s="459"/>
      <c r="CK3" s="459"/>
      <c r="CL3" s="459"/>
      <c r="CM3" s="459"/>
      <c r="CN3" s="459"/>
      <c r="CO3" s="459"/>
      <c r="CP3" s="459"/>
      <c r="CQ3" s="461"/>
      <c r="CR3" s="459"/>
      <c r="CS3" s="459"/>
      <c r="CT3" s="459"/>
      <c r="CU3" s="459"/>
      <c r="CV3" s="459"/>
      <c r="CW3" s="459"/>
      <c r="CX3" s="459"/>
      <c r="CY3" s="459"/>
      <c r="CZ3" s="459"/>
      <c r="DA3" s="459"/>
      <c r="DB3" s="459"/>
      <c r="DC3" s="459"/>
      <c r="DD3" s="461"/>
      <c r="DE3" s="520"/>
      <c r="DF3" s="520"/>
      <c r="DG3" s="520"/>
      <c r="DH3" s="520"/>
      <c r="DI3" s="520"/>
      <c r="DJ3" s="520"/>
      <c r="DK3" s="520"/>
      <c r="DL3" s="520"/>
      <c r="DM3" s="520"/>
      <c r="DN3" s="520"/>
      <c r="DO3" s="520"/>
      <c r="DP3" s="520"/>
      <c r="DQ3" s="521"/>
      <c r="DR3" s="574"/>
      <c r="DS3" s="505"/>
      <c r="DT3" s="484"/>
      <c r="DU3" s="484"/>
      <c r="DV3" s="574"/>
      <c r="DW3" s="507" t="s">
        <v>184</v>
      </c>
      <c r="DX3" s="361"/>
      <c r="DY3" s="463"/>
      <c r="DZ3" s="365">
        <v>2020</v>
      </c>
      <c r="EA3" s="365"/>
      <c r="EB3" s="366">
        <v>2021</v>
      </c>
      <c r="EC3" s="366"/>
      <c r="ED3" s="366"/>
      <c r="EE3" s="366"/>
      <c r="EF3" s="366"/>
      <c r="EG3" s="366"/>
      <c r="EH3" s="366"/>
      <c r="EI3" s="366"/>
      <c r="EJ3" s="366"/>
      <c r="EK3" s="366"/>
      <c r="EL3" s="366"/>
      <c r="EM3" s="366"/>
      <c r="EN3" s="361"/>
    </row>
    <row r="4" spans="1:144" s="258" customFormat="1" ht="27" customHeight="1" x14ac:dyDescent="0.35">
      <c r="A4" s="344"/>
      <c r="B4" s="476"/>
      <c r="C4" s="478"/>
      <c r="D4" s="1175"/>
      <c r="E4" s="479"/>
      <c r="F4" s="478"/>
      <c r="G4" s="466"/>
      <c r="H4" s="517"/>
      <c r="I4" s="1178"/>
      <c r="J4" s="1181"/>
      <c r="K4" s="1184"/>
      <c r="L4" s="1184"/>
      <c r="M4" s="1172"/>
      <c r="N4" s="646"/>
      <c r="O4" s="668"/>
      <c r="P4" s="657"/>
      <c r="Q4" s="473"/>
      <c r="R4" s="355" t="s">
        <v>4</v>
      </c>
      <c r="S4" s="355" t="s">
        <v>5</v>
      </c>
      <c r="T4" s="355" t="s">
        <v>6</v>
      </c>
      <c r="U4" s="355" t="s">
        <v>7</v>
      </c>
      <c r="V4" s="355" t="s">
        <v>8</v>
      </c>
      <c r="W4" s="355" t="s">
        <v>9</v>
      </c>
      <c r="X4" s="355" t="s">
        <v>10</v>
      </c>
      <c r="Y4" s="355" t="s">
        <v>11</v>
      </c>
      <c r="Z4" s="355" t="s">
        <v>12</v>
      </c>
      <c r="AA4" s="355" t="s">
        <v>13</v>
      </c>
      <c r="AB4" s="355" t="s">
        <v>14</v>
      </c>
      <c r="AC4" s="356" t="s">
        <v>15</v>
      </c>
      <c r="AD4" s="473"/>
      <c r="AE4" s="355" t="s">
        <v>4</v>
      </c>
      <c r="AF4" s="355" t="s">
        <v>5</v>
      </c>
      <c r="AG4" s="355" t="s">
        <v>6</v>
      </c>
      <c r="AH4" s="355" t="s">
        <v>7</v>
      </c>
      <c r="AI4" s="355" t="s">
        <v>8</v>
      </c>
      <c r="AJ4" s="355" t="s">
        <v>9</v>
      </c>
      <c r="AK4" s="355" t="s">
        <v>10</v>
      </c>
      <c r="AL4" s="355" t="s">
        <v>11</v>
      </c>
      <c r="AM4" s="355" t="s">
        <v>12</v>
      </c>
      <c r="AN4" s="355" t="s">
        <v>13</v>
      </c>
      <c r="AO4" s="355" t="s">
        <v>14</v>
      </c>
      <c r="AP4" s="356" t="s">
        <v>15</v>
      </c>
      <c r="AQ4" s="473"/>
      <c r="AR4" s="355" t="s">
        <v>4</v>
      </c>
      <c r="AS4" s="355" t="s">
        <v>5</v>
      </c>
      <c r="AT4" s="355" t="s">
        <v>6</v>
      </c>
      <c r="AU4" s="355" t="s">
        <v>7</v>
      </c>
      <c r="AV4" s="355" t="s">
        <v>8</v>
      </c>
      <c r="AW4" s="355" t="s">
        <v>9</v>
      </c>
      <c r="AX4" s="355" t="s">
        <v>10</v>
      </c>
      <c r="AY4" s="355" t="s">
        <v>11</v>
      </c>
      <c r="AZ4" s="355" t="s">
        <v>12</v>
      </c>
      <c r="BA4" s="355" t="s">
        <v>13</v>
      </c>
      <c r="BB4" s="355" t="s">
        <v>14</v>
      </c>
      <c r="BC4" s="356" t="s">
        <v>15</v>
      </c>
      <c r="BD4" s="473"/>
      <c r="BE4" s="355" t="s">
        <v>4</v>
      </c>
      <c r="BF4" s="355" t="s">
        <v>5</v>
      </c>
      <c r="BG4" s="355" t="s">
        <v>6</v>
      </c>
      <c r="BH4" s="355" t="s">
        <v>7</v>
      </c>
      <c r="BI4" s="355" t="s">
        <v>8</v>
      </c>
      <c r="BJ4" s="355" t="s">
        <v>9</v>
      </c>
      <c r="BK4" s="355" t="s">
        <v>10</v>
      </c>
      <c r="BL4" s="355" t="s">
        <v>11</v>
      </c>
      <c r="BM4" s="355" t="s">
        <v>12</v>
      </c>
      <c r="BN4" s="355" t="s">
        <v>13</v>
      </c>
      <c r="BO4" s="355" t="s">
        <v>14</v>
      </c>
      <c r="BP4" s="356" t="s">
        <v>15</v>
      </c>
      <c r="BQ4" s="473"/>
      <c r="BR4" s="355" t="s">
        <v>4</v>
      </c>
      <c r="BS4" s="355" t="s">
        <v>5</v>
      </c>
      <c r="BT4" s="355" t="s">
        <v>6</v>
      </c>
      <c r="BU4" s="355" t="s">
        <v>7</v>
      </c>
      <c r="BV4" s="355" t="s">
        <v>8</v>
      </c>
      <c r="BW4" s="355" t="s">
        <v>9</v>
      </c>
      <c r="BX4" s="355" t="s">
        <v>10</v>
      </c>
      <c r="BY4" s="355" t="s">
        <v>11</v>
      </c>
      <c r="BZ4" s="355" t="s">
        <v>12</v>
      </c>
      <c r="CA4" s="355" t="s">
        <v>13</v>
      </c>
      <c r="CB4" s="355" t="s">
        <v>14</v>
      </c>
      <c r="CC4" s="356" t="s">
        <v>15</v>
      </c>
      <c r="CD4" s="473"/>
      <c r="CE4" s="356" t="s">
        <v>4</v>
      </c>
      <c r="CF4" s="355" t="s">
        <v>5</v>
      </c>
      <c r="CG4" s="355" t="s">
        <v>6</v>
      </c>
      <c r="CH4" s="355" t="s">
        <v>7</v>
      </c>
      <c r="CI4" s="355" t="s">
        <v>8</v>
      </c>
      <c r="CJ4" s="355" t="s">
        <v>9</v>
      </c>
      <c r="CK4" s="355" t="s">
        <v>10</v>
      </c>
      <c r="CL4" s="355" t="s">
        <v>11</v>
      </c>
      <c r="CM4" s="355" t="s">
        <v>12</v>
      </c>
      <c r="CN4" s="355" t="s">
        <v>13</v>
      </c>
      <c r="CO4" s="355" t="s">
        <v>14</v>
      </c>
      <c r="CP4" s="356" t="s">
        <v>15</v>
      </c>
      <c r="CQ4" s="461"/>
      <c r="CR4" s="356" t="s">
        <v>4</v>
      </c>
      <c r="CS4" s="355" t="s">
        <v>5</v>
      </c>
      <c r="CT4" s="355" t="s">
        <v>6</v>
      </c>
      <c r="CU4" s="355" t="s">
        <v>7</v>
      </c>
      <c r="CV4" s="355" t="s">
        <v>8</v>
      </c>
      <c r="CW4" s="355" t="s">
        <v>9</v>
      </c>
      <c r="CX4" s="355" t="s">
        <v>10</v>
      </c>
      <c r="CY4" s="355" t="s">
        <v>11</v>
      </c>
      <c r="CZ4" s="355" t="s">
        <v>12</v>
      </c>
      <c r="DA4" s="355" t="s">
        <v>13</v>
      </c>
      <c r="DB4" s="355" t="s">
        <v>14</v>
      </c>
      <c r="DC4" s="356" t="s">
        <v>15</v>
      </c>
      <c r="DD4" s="461"/>
      <c r="DE4" s="522" t="s">
        <v>4</v>
      </c>
      <c r="DF4" s="523" t="s">
        <v>5</v>
      </c>
      <c r="DG4" s="523" t="s">
        <v>6</v>
      </c>
      <c r="DH4" s="523" t="s">
        <v>7</v>
      </c>
      <c r="DI4" s="523" t="s">
        <v>8</v>
      </c>
      <c r="DJ4" s="523" t="s">
        <v>9</v>
      </c>
      <c r="DK4" s="523" t="s">
        <v>10</v>
      </c>
      <c r="DL4" s="523" t="s">
        <v>11</v>
      </c>
      <c r="DM4" s="523" t="s">
        <v>12</v>
      </c>
      <c r="DN4" s="523" t="s">
        <v>13</v>
      </c>
      <c r="DO4" s="523" t="s">
        <v>14</v>
      </c>
      <c r="DP4" s="522" t="s">
        <v>15</v>
      </c>
      <c r="DQ4" s="521"/>
      <c r="DR4" s="574"/>
      <c r="DS4" s="506"/>
      <c r="DT4" s="485"/>
      <c r="DU4" s="485"/>
      <c r="DV4" s="575"/>
      <c r="DW4" s="508"/>
      <c r="DX4" s="362"/>
      <c r="DY4" s="464"/>
      <c r="DZ4" s="365" t="s">
        <v>14</v>
      </c>
      <c r="EA4" s="365" t="s">
        <v>15</v>
      </c>
      <c r="EB4" s="366" t="s">
        <v>4</v>
      </c>
      <c r="EC4" s="366" t="s">
        <v>5</v>
      </c>
      <c r="ED4" s="366" t="s">
        <v>6</v>
      </c>
      <c r="EE4" s="366" t="s">
        <v>7</v>
      </c>
      <c r="EF4" s="366" t="s">
        <v>8</v>
      </c>
      <c r="EG4" s="366" t="s">
        <v>9</v>
      </c>
      <c r="EH4" s="366" t="s">
        <v>10</v>
      </c>
      <c r="EI4" s="366" t="s">
        <v>11</v>
      </c>
      <c r="EJ4" s="366" t="s">
        <v>368</v>
      </c>
      <c r="EK4" s="366" t="s">
        <v>13</v>
      </c>
      <c r="EL4" s="366" t="s">
        <v>14</v>
      </c>
      <c r="EM4" s="366" t="s">
        <v>15</v>
      </c>
      <c r="EN4" s="362"/>
    </row>
    <row r="5" spans="1:144" s="258" customFormat="1" ht="28.5" customHeight="1" x14ac:dyDescent="0.35">
      <c r="A5" s="380">
        <v>1</v>
      </c>
      <c r="B5" s="467" t="s">
        <v>85</v>
      </c>
      <c r="C5" s="469">
        <v>42736</v>
      </c>
      <c r="D5" s="471" t="s">
        <v>187</v>
      </c>
      <c r="E5" s="256" t="s">
        <v>188</v>
      </c>
      <c r="F5" s="257">
        <v>30</v>
      </c>
      <c r="G5" s="448" t="e">
        <f>+F5+F6+#REF!+#REF!</f>
        <v>#REF!</v>
      </c>
      <c r="H5" s="509">
        <v>42792</v>
      </c>
      <c r="I5" s="596">
        <f>+D5+3*360</f>
        <v>43816</v>
      </c>
      <c r="J5" s="597">
        <v>90</v>
      </c>
      <c r="K5" s="497">
        <f>+I5+360</f>
        <v>44176</v>
      </c>
      <c r="L5" s="437">
        <f>K5+DS5</f>
        <v>44232</v>
      </c>
      <c r="M5" s="369">
        <v>0</v>
      </c>
      <c r="N5" s="437">
        <v>44232</v>
      </c>
      <c r="O5" s="669"/>
      <c r="P5" s="658">
        <f>ROUNDDOWN((P2-D5)/365,0)*30</f>
        <v>90</v>
      </c>
      <c r="Q5" s="456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6"/>
      <c r="AD5" s="456"/>
      <c r="AE5" s="355"/>
      <c r="AF5" s="355"/>
      <c r="AG5" s="355"/>
      <c r="AH5" s="355"/>
      <c r="AI5" s="355"/>
      <c r="AJ5" s="355"/>
      <c r="AK5" s="355"/>
      <c r="AL5" s="355"/>
      <c r="AM5" s="355"/>
      <c r="AN5" s="355"/>
      <c r="AO5" s="355"/>
      <c r="AP5" s="356"/>
      <c r="AQ5" s="456"/>
      <c r="AR5" s="355"/>
      <c r="AS5" s="355"/>
      <c r="AT5" s="355"/>
      <c r="AU5" s="355"/>
      <c r="AV5" s="355"/>
      <c r="AW5" s="355"/>
      <c r="AX5" s="355"/>
      <c r="AY5" s="355"/>
      <c r="AZ5" s="355"/>
      <c r="BA5" s="355"/>
      <c r="BB5" s="355"/>
      <c r="BC5" s="356"/>
      <c r="BD5" s="456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6"/>
      <c r="BR5" s="452"/>
      <c r="BS5" s="452"/>
      <c r="BT5" s="452"/>
      <c r="BU5" s="452"/>
      <c r="BV5" s="452"/>
      <c r="BW5" s="394">
        <v>1</v>
      </c>
      <c r="BX5" s="452"/>
      <c r="BY5" s="452"/>
      <c r="BZ5" s="452"/>
      <c r="CA5" s="394">
        <v>1</v>
      </c>
      <c r="CB5" s="452"/>
      <c r="CC5" s="394">
        <v>6</v>
      </c>
      <c r="CD5" s="394">
        <f>CC5+CA5+BW5</f>
        <v>8</v>
      </c>
      <c r="CE5" s="454"/>
      <c r="CF5" s="450"/>
      <c r="CG5" s="450">
        <v>1</v>
      </c>
      <c r="CH5" s="450"/>
      <c r="CI5" s="450"/>
      <c r="CJ5" s="450">
        <v>1</v>
      </c>
      <c r="CK5" s="450">
        <v>1</v>
      </c>
      <c r="CL5" s="450"/>
      <c r="CM5" s="450">
        <v>7</v>
      </c>
      <c r="CN5" s="450">
        <f>2+1</f>
        <v>3</v>
      </c>
      <c r="CO5" s="450"/>
      <c r="CP5" s="404"/>
      <c r="CQ5" s="413">
        <f>SUM(CE5:CP6)</f>
        <v>13</v>
      </c>
      <c r="CR5" s="388"/>
      <c r="CS5" s="387"/>
      <c r="CT5" s="387"/>
      <c r="CU5" s="387"/>
      <c r="CV5" s="387"/>
      <c r="CW5" s="387"/>
      <c r="CX5" s="387"/>
      <c r="CY5" s="387"/>
      <c r="CZ5" s="387"/>
      <c r="DA5" s="387"/>
      <c r="DB5" s="387"/>
      <c r="DC5" s="404"/>
      <c r="DD5" s="413">
        <f>SUM(CR5:DC6)</f>
        <v>0</v>
      </c>
      <c r="DE5" s="524">
        <v>1</v>
      </c>
      <c r="DF5" s="525"/>
      <c r="DG5" s="525"/>
      <c r="DH5" s="525"/>
      <c r="DI5" s="525"/>
      <c r="DJ5" s="525"/>
      <c r="DK5" s="525"/>
      <c r="DL5" s="525"/>
      <c r="DM5" s="525">
        <v>9</v>
      </c>
      <c r="DN5" s="525"/>
      <c r="DO5" s="525"/>
      <c r="DP5" s="526"/>
      <c r="DQ5" s="527">
        <f>SUM(DE5:DP6)</f>
        <v>10</v>
      </c>
      <c r="DR5" s="579"/>
      <c r="DS5" s="500">
        <f>'Determ días de vacaciones'!S10</f>
        <v>56</v>
      </c>
      <c r="DT5" s="437">
        <f>K5+DS5</f>
        <v>44232</v>
      </c>
      <c r="DU5" s="582"/>
      <c r="DV5" s="527"/>
      <c r="DW5" s="413">
        <f>ROUNDDOWN(($DW$2-H5)/365,0)*30</f>
        <v>90</v>
      </c>
      <c r="DX5" s="357">
        <f>Q5+AD5+AQ5+BD5+BQ5+CD5+CQ5+DD5+DQ5</f>
        <v>31</v>
      </c>
      <c r="DY5" s="513">
        <f>P5-DX5</f>
        <v>59</v>
      </c>
      <c r="DZ5" s="363">
        <v>15</v>
      </c>
      <c r="EA5" s="363">
        <v>15</v>
      </c>
      <c r="EB5" s="367">
        <v>15</v>
      </c>
      <c r="EC5" s="367">
        <v>14</v>
      </c>
      <c r="ED5" s="367"/>
      <c r="EE5" s="367"/>
      <c r="EF5" s="367"/>
      <c r="EG5" s="367"/>
      <c r="EH5" s="367"/>
      <c r="EI5" s="367"/>
      <c r="EJ5" s="367"/>
      <c r="EK5" s="367"/>
      <c r="EL5" s="367"/>
      <c r="EM5" s="367"/>
      <c r="EN5" s="357">
        <f>SUM(DZ5:EM6)</f>
        <v>59</v>
      </c>
    </row>
    <row r="6" spans="1:144" s="258" customFormat="1" ht="28.5" customHeight="1" x14ac:dyDescent="0.35">
      <c r="A6" s="380"/>
      <c r="B6" s="468"/>
      <c r="C6" s="470"/>
      <c r="D6" s="399"/>
      <c r="E6" s="259" t="s">
        <v>189</v>
      </c>
      <c r="F6" s="260">
        <v>30</v>
      </c>
      <c r="G6" s="449"/>
      <c r="H6" s="510"/>
      <c r="I6" s="598"/>
      <c r="J6" s="599"/>
      <c r="K6" s="499"/>
      <c r="L6" s="590"/>
      <c r="M6" s="375"/>
      <c r="N6" s="648"/>
      <c r="O6" s="670"/>
      <c r="P6" s="659"/>
      <c r="Q6" s="457"/>
      <c r="R6" s="355"/>
      <c r="S6" s="355"/>
      <c r="T6" s="355"/>
      <c r="U6" s="355"/>
      <c r="V6" s="355"/>
      <c r="W6" s="355"/>
      <c r="X6" s="355"/>
      <c r="Y6" s="355"/>
      <c r="Z6" s="355"/>
      <c r="AA6" s="355"/>
      <c r="AB6" s="355"/>
      <c r="AC6" s="356"/>
      <c r="AD6" s="457"/>
      <c r="AE6" s="355"/>
      <c r="AF6" s="355"/>
      <c r="AG6" s="355"/>
      <c r="AH6" s="355"/>
      <c r="AI6" s="355"/>
      <c r="AJ6" s="355"/>
      <c r="AK6" s="355"/>
      <c r="AL6" s="355"/>
      <c r="AM6" s="355"/>
      <c r="AN6" s="355"/>
      <c r="AO6" s="355"/>
      <c r="AP6" s="356"/>
      <c r="AQ6" s="457"/>
      <c r="AR6" s="355"/>
      <c r="AS6" s="355"/>
      <c r="AT6" s="355"/>
      <c r="AU6" s="355"/>
      <c r="AV6" s="355"/>
      <c r="AW6" s="355"/>
      <c r="AX6" s="355"/>
      <c r="AY6" s="355"/>
      <c r="AZ6" s="355"/>
      <c r="BA6" s="355"/>
      <c r="BB6" s="355"/>
      <c r="BC6" s="356"/>
      <c r="BD6" s="457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7"/>
      <c r="BR6" s="453"/>
      <c r="BS6" s="453"/>
      <c r="BT6" s="453"/>
      <c r="BU6" s="453"/>
      <c r="BV6" s="453"/>
      <c r="BW6" s="395"/>
      <c r="BX6" s="453"/>
      <c r="BY6" s="453"/>
      <c r="BZ6" s="453"/>
      <c r="CA6" s="395"/>
      <c r="CB6" s="453"/>
      <c r="CC6" s="395"/>
      <c r="CD6" s="395"/>
      <c r="CE6" s="455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05"/>
      <c r="CQ6" s="431"/>
      <c r="CR6" s="389"/>
      <c r="CS6" s="377"/>
      <c r="CT6" s="377"/>
      <c r="CU6" s="377"/>
      <c r="CV6" s="377"/>
      <c r="CW6" s="377"/>
      <c r="CX6" s="377"/>
      <c r="CY6" s="377"/>
      <c r="CZ6" s="377"/>
      <c r="DA6" s="377"/>
      <c r="DB6" s="377"/>
      <c r="DC6" s="405"/>
      <c r="DD6" s="431"/>
      <c r="DE6" s="528"/>
      <c r="DF6" s="529"/>
      <c r="DG6" s="529"/>
      <c r="DH6" s="529"/>
      <c r="DI6" s="529"/>
      <c r="DJ6" s="529"/>
      <c r="DK6" s="529"/>
      <c r="DL6" s="529"/>
      <c r="DM6" s="529"/>
      <c r="DN6" s="529"/>
      <c r="DO6" s="529"/>
      <c r="DP6" s="530"/>
      <c r="DQ6" s="531"/>
      <c r="DR6" s="579"/>
      <c r="DS6" s="500"/>
      <c r="DT6" s="438"/>
      <c r="DU6" s="582"/>
      <c r="DV6" s="531"/>
      <c r="DW6" s="418"/>
      <c r="DX6" s="358"/>
      <c r="DY6" s="514"/>
      <c r="DZ6" s="364"/>
      <c r="EA6" s="364"/>
      <c r="EB6" s="368"/>
      <c r="EC6" s="368"/>
      <c r="ED6" s="368"/>
      <c r="EE6" s="368"/>
      <c r="EF6" s="368"/>
      <c r="EG6" s="368"/>
      <c r="EH6" s="368"/>
      <c r="EI6" s="368"/>
      <c r="EJ6" s="368"/>
      <c r="EK6" s="368"/>
      <c r="EL6" s="368"/>
      <c r="EM6" s="368"/>
      <c r="EN6" s="358"/>
    </row>
    <row r="7" spans="1:144" ht="28.5" customHeight="1" x14ac:dyDescent="0.35">
      <c r="A7" s="396">
        <v>2</v>
      </c>
      <c r="B7" s="434" t="s">
        <v>86</v>
      </c>
      <c r="C7" s="397" t="s">
        <v>192</v>
      </c>
      <c r="D7" s="381" t="s">
        <v>192</v>
      </c>
      <c r="E7" s="261" t="s">
        <v>350</v>
      </c>
      <c r="F7" s="262">
        <v>30</v>
      </c>
      <c r="G7" s="448" t="e">
        <f>F7+F8+#REF!</f>
        <v>#REF!</v>
      </c>
      <c r="H7" s="509">
        <v>43071</v>
      </c>
      <c r="I7" s="596">
        <f>+D7+2*360</f>
        <v>43699</v>
      </c>
      <c r="J7" s="597">
        <v>60</v>
      </c>
      <c r="K7" s="497">
        <f>I7+360</f>
        <v>44059</v>
      </c>
      <c r="L7" s="437">
        <f>K7+DS7</f>
        <v>44151</v>
      </c>
      <c r="M7" s="369">
        <v>0</v>
      </c>
      <c r="N7" s="649">
        <f>+L7+360</f>
        <v>44511</v>
      </c>
      <c r="O7" s="671"/>
      <c r="P7" s="658">
        <f>ROUNDDOWN(($P$2-D7)/365,0)*30</f>
        <v>90</v>
      </c>
      <c r="Q7" s="442"/>
      <c r="R7" s="393"/>
      <c r="S7" s="393"/>
      <c r="T7" s="393"/>
      <c r="U7" s="393"/>
      <c r="V7" s="393"/>
      <c r="W7" s="393"/>
      <c r="X7" s="393"/>
      <c r="Y7" s="393"/>
      <c r="Z7" s="393"/>
      <c r="AA7" s="393"/>
      <c r="AB7" s="393"/>
      <c r="AC7" s="393"/>
      <c r="AD7" s="394"/>
      <c r="AE7" s="393"/>
      <c r="AF7" s="393"/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4"/>
      <c r="AR7" s="393"/>
      <c r="AS7" s="393"/>
      <c r="AT7" s="393"/>
      <c r="AU7" s="393"/>
      <c r="AV7" s="393"/>
      <c r="AW7" s="393"/>
      <c r="AX7" s="393"/>
      <c r="AY7" s="393"/>
      <c r="AZ7" s="393"/>
      <c r="BA7" s="393"/>
      <c r="BB7" s="393"/>
      <c r="BC7" s="393"/>
      <c r="BD7" s="394"/>
      <c r="BE7" s="394"/>
      <c r="BF7" s="394"/>
      <c r="BG7" s="394"/>
      <c r="BH7" s="394"/>
      <c r="BI7" s="394"/>
      <c r="BJ7" s="394"/>
      <c r="BK7" s="394"/>
      <c r="BL7" s="394"/>
      <c r="BM7" s="394"/>
      <c r="BN7" s="394"/>
      <c r="BO7" s="394"/>
      <c r="BP7" s="394"/>
      <c r="BQ7" s="394"/>
      <c r="BR7" s="395"/>
      <c r="BS7" s="395"/>
      <c r="BT7" s="395"/>
      <c r="BU7" s="395"/>
      <c r="BV7" s="395"/>
      <c r="BW7" s="395"/>
      <c r="BX7" s="395"/>
      <c r="BY7" s="395"/>
      <c r="BZ7" s="395"/>
      <c r="CA7" s="394">
        <v>1</v>
      </c>
      <c r="CB7" s="395"/>
      <c r="CC7" s="394"/>
      <c r="CD7" s="394">
        <f>SUM(BR8:CC8)</f>
        <v>1</v>
      </c>
      <c r="CE7" s="388"/>
      <c r="CF7" s="387"/>
      <c r="CG7" s="387">
        <v>1</v>
      </c>
      <c r="CH7" s="387">
        <v>2</v>
      </c>
      <c r="CI7" s="387">
        <v>2</v>
      </c>
      <c r="CJ7" s="387">
        <v>2</v>
      </c>
      <c r="CK7" s="387"/>
      <c r="CL7" s="387"/>
      <c r="CM7" s="387"/>
      <c r="CN7" s="387"/>
      <c r="CO7" s="387"/>
      <c r="CP7" s="404"/>
      <c r="CQ7" s="413">
        <f>SUM(CE7:CP8)</f>
        <v>7</v>
      </c>
      <c r="CR7" s="388"/>
      <c r="CS7" s="387"/>
      <c r="CT7" s="387"/>
      <c r="CU7" s="387"/>
      <c r="CV7" s="387"/>
      <c r="CW7" s="387"/>
      <c r="CX7" s="387">
        <v>1</v>
      </c>
      <c r="CY7" s="387"/>
      <c r="CZ7" s="387"/>
      <c r="DA7" s="387"/>
      <c r="DB7" s="387"/>
      <c r="DC7" s="404">
        <v>1</v>
      </c>
      <c r="DD7" s="413">
        <f>SUM(CR7:DC8)</f>
        <v>2</v>
      </c>
      <c r="DE7" s="524"/>
      <c r="DF7" s="525"/>
      <c r="DG7" s="525"/>
      <c r="DH7" s="525"/>
      <c r="DI7" s="525"/>
      <c r="DJ7" s="525"/>
      <c r="DK7" s="525"/>
      <c r="DL7" s="525"/>
      <c r="DM7" s="525">
        <v>13</v>
      </c>
      <c r="DN7" s="525">
        <v>1</v>
      </c>
      <c r="DO7" s="525"/>
      <c r="DP7" s="526"/>
      <c r="DQ7" s="527">
        <f>SUM(DE7:DP8)</f>
        <v>14</v>
      </c>
      <c r="DR7" s="579"/>
      <c r="DS7" s="500">
        <f>'Determ días de vacaciones'!S11</f>
        <v>92</v>
      </c>
      <c r="DT7" s="263"/>
      <c r="DU7" s="582"/>
      <c r="DV7" s="527"/>
      <c r="DW7" s="413">
        <f>ROUNDDOWN(($DW$2-H7)/365,0)*30</f>
        <v>60</v>
      </c>
      <c r="DX7" s="357">
        <f>Q7+AD7+AQ7+BD7+BQ7+CD7+CQ7+DD7+DQ7</f>
        <v>24</v>
      </c>
      <c r="DY7" s="513">
        <f>P7-DX7</f>
        <v>66</v>
      </c>
      <c r="DZ7" s="363">
        <v>15</v>
      </c>
      <c r="EA7" s="363">
        <v>15</v>
      </c>
      <c r="EB7" s="363">
        <v>15</v>
      </c>
      <c r="EC7" s="363">
        <v>15</v>
      </c>
      <c r="ED7" s="363">
        <v>6</v>
      </c>
      <c r="EE7" s="363"/>
      <c r="EF7" s="363"/>
      <c r="EG7" s="363"/>
      <c r="EH7" s="363"/>
      <c r="EI7" s="363"/>
      <c r="EJ7" s="363"/>
      <c r="EK7" s="363"/>
      <c r="EL7" s="363"/>
      <c r="EM7" s="363"/>
      <c r="EN7" s="357">
        <f>SUM(DZ7:EM8)</f>
        <v>66</v>
      </c>
    </row>
    <row r="8" spans="1:144" ht="28.5" customHeight="1" x14ac:dyDescent="0.35">
      <c r="A8" s="396"/>
      <c r="B8" s="435"/>
      <c r="C8" s="397"/>
      <c r="D8" s="432"/>
      <c r="E8" s="261" t="s">
        <v>351</v>
      </c>
      <c r="F8" s="260">
        <v>30</v>
      </c>
      <c r="G8" s="449"/>
      <c r="H8" s="510"/>
      <c r="I8" s="600"/>
      <c r="J8" s="599"/>
      <c r="K8" s="498"/>
      <c r="L8" s="591"/>
      <c r="M8" s="375"/>
      <c r="N8" s="654"/>
      <c r="O8" s="672"/>
      <c r="P8" s="659"/>
      <c r="Q8" s="443"/>
      <c r="R8" s="393"/>
      <c r="S8" s="393"/>
      <c r="T8" s="393"/>
      <c r="U8" s="393"/>
      <c r="V8" s="393"/>
      <c r="W8" s="393"/>
      <c r="X8" s="393"/>
      <c r="Y8" s="393"/>
      <c r="Z8" s="393"/>
      <c r="AA8" s="393"/>
      <c r="AB8" s="393"/>
      <c r="AC8" s="393"/>
      <c r="AD8" s="395"/>
      <c r="AE8" s="393"/>
      <c r="AF8" s="393"/>
      <c r="AG8" s="393"/>
      <c r="AH8" s="393"/>
      <c r="AI8" s="393"/>
      <c r="AJ8" s="393"/>
      <c r="AK8" s="393"/>
      <c r="AL8" s="393"/>
      <c r="AM8" s="393"/>
      <c r="AN8" s="393"/>
      <c r="AO8" s="393"/>
      <c r="AP8" s="393"/>
      <c r="AQ8" s="395"/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  <c r="BC8" s="393"/>
      <c r="BD8" s="395"/>
      <c r="BE8" s="395"/>
      <c r="BF8" s="395"/>
      <c r="BG8" s="395"/>
      <c r="BH8" s="395"/>
      <c r="BI8" s="395"/>
      <c r="BJ8" s="395"/>
      <c r="BK8" s="395"/>
      <c r="BL8" s="395"/>
      <c r="BM8" s="395"/>
      <c r="BN8" s="395"/>
      <c r="BO8" s="395"/>
      <c r="BP8" s="395"/>
      <c r="BQ8" s="395"/>
      <c r="BR8" s="395"/>
      <c r="BS8" s="395"/>
      <c r="BT8" s="395"/>
      <c r="BU8" s="395"/>
      <c r="BV8" s="395"/>
      <c r="BW8" s="395"/>
      <c r="BX8" s="395"/>
      <c r="BY8" s="395"/>
      <c r="BZ8" s="395"/>
      <c r="CA8" s="395"/>
      <c r="CB8" s="395"/>
      <c r="CC8" s="395">
        <v>1</v>
      </c>
      <c r="CD8" s="395"/>
      <c r="CE8" s="389"/>
      <c r="CF8" s="377"/>
      <c r="CG8" s="377"/>
      <c r="CH8" s="377"/>
      <c r="CI8" s="377"/>
      <c r="CJ8" s="377"/>
      <c r="CK8" s="377"/>
      <c r="CL8" s="377"/>
      <c r="CM8" s="377"/>
      <c r="CN8" s="377"/>
      <c r="CO8" s="377"/>
      <c r="CP8" s="405"/>
      <c r="CQ8" s="431"/>
      <c r="CR8" s="389"/>
      <c r="CS8" s="377"/>
      <c r="CT8" s="377"/>
      <c r="CU8" s="377"/>
      <c r="CV8" s="377"/>
      <c r="CW8" s="377"/>
      <c r="CX8" s="377"/>
      <c r="CY8" s="377"/>
      <c r="CZ8" s="377"/>
      <c r="DA8" s="377"/>
      <c r="DB8" s="377"/>
      <c r="DC8" s="405"/>
      <c r="DD8" s="431"/>
      <c r="DE8" s="528"/>
      <c r="DF8" s="529"/>
      <c r="DG8" s="529"/>
      <c r="DH8" s="529"/>
      <c r="DI8" s="529"/>
      <c r="DJ8" s="529"/>
      <c r="DK8" s="529"/>
      <c r="DL8" s="529"/>
      <c r="DM8" s="529"/>
      <c r="DN8" s="529"/>
      <c r="DO8" s="529"/>
      <c r="DP8" s="530"/>
      <c r="DQ8" s="531"/>
      <c r="DR8" s="579"/>
      <c r="DS8" s="500"/>
      <c r="DT8" s="438"/>
      <c r="DU8" s="582"/>
      <c r="DV8" s="531"/>
      <c r="DW8" s="418"/>
      <c r="DX8" s="358"/>
      <c r="DY8" s="514"/>
      <c r="DZ8" s="364"/>
      <c r="EA8" s="364"/>
      <c r="EB8" s="364"/>
      <c r="EC8" s="364"/>
      <c r="ED8" s="364"/>
      <c r="EE8" s="364"/>
      <c r="EF8" s="364"/>
      <c r="EG8" s="364"/>
      <c r="EH8" s="364"/>
      <c r="EI8" s="364"/>
      <c r="EJ8" s="364"/>
      <c r="EK8" s="364"/>
      <c r="EL8" s="364"/>
      <c r="EM8" s="364"/>
      <c r="EN8" s="358"/>
    </row>
    <row r="9" spans="1:144" ht="28.5" customHeight="1" x14ac:dyDescent="0.35">
      <c r="A9" s="396">
        <v>3</v>
      </c>
      <c r="B9" s="608" t="s">
        <v>49</v>
      </c>
      <c r="C9" s="606"/>
      <c r="D9" s="399" t="s">
        <v>193</v>
      </c>
      <c r="E9" s="264" t="s">
        <v>194</v>
      </c>
      <c r="F9" s="265">
        <v>30</v>
      </c>
      <c r="G9" s="428" t="e">
        <f>F9+F10+#REF!+#REF!+#REF!+#REF!</f>
        <v>#REF!</v>
      </c>
      <c r="H9" s="511">
        <v>41975</v>
      </c>
      <c r="I9" s="596">
        <f>+D9+5*360</f>
        <v>43683</v>
      </c>
      <c r="J9" s="597">
        <v>150</v>
      </c>
      <c r="K9" s="490">
        <f>I9+360</f>
        <v>44043</v>
      </c>
      <c r="L9" s="437">
        <f>K9+DS9</f>
        <v>44135</v>
      </c>
      <c r="M9" s="369">
        <v>0</v>
      </c>
      <c r="N9" s="649">
        <f>+L9+360</f>
        <v>44495</v>
      </c>
      <c r="O9" s="671"/>
      <c r="P9" s="658">
        <f>ROUNDDOWN(($P$2-D9)/365,0)*30</f>
        <v>180</v>
      </c>
      <c r="Q9" s="442"/>
      <c r="R9" s="393"/>
      <c r="S9" s="393"/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3">
        <f>SUM(R9:AC10)</f>
        <v>0</v>
      </c>
      <c r="AE9" s="393"/>
      <c r="AF9" s="393"/>
      <c r="AG9" s="393"/>
      <c r="AH9" s="393"/>
      <c r="AI9" s="393"/>
      <c r="AJ9" s="393"/>
      <c r="AK9" s="393"/>
      <c r="AL9" s="393"/>
      <c r="AM9" s="393"/>
      <c r="AN9" s="393">
        <v>5</v>
      </c>
      <c r="AO9" s="393"/>
      <c r="AP9" s="393">
        <v>10</v>
      </c>
      <c r="AQ9" s="393">
        <f>SUM(AE9:AP10)</f>
        <v>15</v>
      </c>
      <c r="AR9" s="393"/>
      <c r="AS9" s="393">
        <v>1</v>
      </c>
      <c r="AT9" s="393"/>
      <c r="AU9" s="393">
        <v>3</v>
      </c>
      <c r="AV9" s="393"/>
      <c r="AW9" s="393">
        <v>6</v>
      </c>
      <c r="AX9" s="393">
        <v>2</v>
      </c>
      <c r="AY9" s="393">
        <v>1</v>
      </c>
      <c r="AZ9" s="393"/>
      <c r="BA9" s="393"/>
      <c r="BB9" s="393"/>
      <c r="BC9" s="393"/>
      <c r="BD9" s="393">
        <f>SUM(AR9:BC10)</f>
        <v>13</v>
      </c>
      <c r="BE9" s="393"/>
      <c r="BF9" s="393"/>
      <c r="BG9" s="393"/>
      <c r="BH9" s="393"/>
      <c r="BI9" s="393"/>
      <c r="BJ9" s="393"/>
      <c r="BK9" s="393"/>
      <c r="BL9" s="393"/>
      <c r="BM9" s="393"/>
      <c r="BN9" s="393"/>
      <c r="BO9" s="393">
        <v>1</v>
      </c>
      <c r="BP9" s="393">
        <v>15</v>
      </c>
      <c r="BQ9" s="393">
        <f>SUM(BE9:BP10)</f>
        <v>16</v>
      </c>
      <c r="BR9" s="394"/>
      <c r="BS9" s="394"/>
      <c r="BT9" s="394"/>
      <c r="BU9" s="394">
        <v>2</v>
      </c>
      <c r="BV9" s="394"/>
      <c r="BW9" s="394"/>
      <c r="BX9" s="394"/>
      <c r="BY9" s="394"/>
      <c r="BZ9" s="394"/>
      <c r="CA9" s="394"/>
      <c r="CB9" s="394"/>
      <c r="CC9" s="394">
        <v>6</v>
      </c>
      <c r="CD9" s="393">
        <f>SUM(BR9:CC10)</f>
        <v>8</v>
      </c>
      <c r="CE9" s="388"/>
      <c r="CF9" s="387">
        <v>2</v>
      </c>
      <c r="CG9" s="445"/>
      <c r="CH9" s="387">
        <v>7</v>
      </c>
      <c r="CI9" s="445"/>
      <c r="CJ9" s="445"/>
      <c r="CK9" s="445"/>
      <c r="CL9" s="387">
        <v>1</v>
      </c>
      <c r="CM9" s="445"/>
      <c r="CN9" s="387">
        <v>3</v>
      </c>
      <c r="CO9" s="404"/>
      <c r="CP9" s="404">
        <v>11</v>
      </c>
      <c r="CQ9" s="447">
        <f>SUM(CE9:CP10)</f>
        <v>24</v>
      </c>
      <c r="CR9" s="388"/>
      <c r="CS9" s="387"/>
      <c r="CT9" s="445"/>
      <c r="CU9" s="387"/>
      <c r="CV9" s="387"/>
      <c r="CW9" s="387">
        <v>15</v>
      </c>
      <c r="CX9" s="387">
        <v>7</v>
      </c>
      <c r="CY9" s="387"/>
      <c r="CZ9" s="387">
        <v>14</v>
      </c>
      <c r="DA9" s="387"/>
      <c r="DB9" s="387"/>
      <c r="DC9" s="404">
        <v>12</v>
      </c>
      <c r="DD9" s="412">
        <f>SUM(CR9:DC10)</f>
        <v>48</v>
      </c>
      <c r="DE9" s="524"/>
      <c r="DF9" s="525">
        <v>4</v>
      </c>
      <c r="DG9" s="532"/>
      <c r="DH9" s="525"/>
      <c r="DI9" s="525"/>
      <c r="DJ9" s="525"/>
      <c r="DK9" s="525"/>
      <c r="DL9" s="525"/>
      <c r="DM9" s="525"/>
      <c r="DN9" s="525">
        <v>31</v>
      </c>
      <c r="DO9" s="525"/>
      <c r="DP9" s="526"/>
      <c r="DQ9" s="533">
        <f>SUM(DE9:DP10)</f>
        <v>35</v>
      </c>
      <c r="DR9" s="579"/>
      <c r="DS9" s="481">
        <f>'Determ días de vacaciones'!S12</f>
        <v>92</v>
      </c>
      <c r="DU9" s="582"/>
      <c r="DV9" s="527"/>
      <c r="DW9" s="413">
        <f>ROUNDDOWN(($DW$2-H9)/365,0)*30</f>
        <v>150</v>
      </c>
      <c r="DX9" s="357">
        <f>Q9+AD9+AQ9+BD9+BQ9+CD9+CQ9+DD9+DQ9</f>
        <v>159</v>
      </c>
      <c r="DY9" s="513">
        <f>P9-DX9</f>
        <v>21</v>
      </c>
      <c r="DZ9" s="363">
        <v>21</v>
      </c>
      <c r="EA9" s="363"/>
      <c r="EB9" s="363"/>
      <c r="EC9" s="363"/>
      <c r="ED9" s="363"/>
      <c r="EE9" s="363"/>
      <c r="EF9" s="363"/>
      <c r="EG9" s="363"/>
      <c r="EH9" s="363"/>
      <c r="EI9" s="363"/>
      <c r="EJ9" s="363"/>
      <c r="EK9" s="363"/>
      <c r="EL9" s="363"/>
      <c r="EM9" s="363"/>
      <c r="EN9" s="357">
        <f>SUM(DZ9:EM10)</f>
        <v>21</v>
      </c>
    </row>
    <row r="10" spans="1:144" ht="28.5" customHeight="1" x14ac:dyDescent="0.35">
      <c r="A10" s="396"/>
      <c r="B10" s="612"/>
      <c r="C10" s="607"/>
      <c r="D10" s="399"/>
      <c r="E10" s="266" t="s">
        <v>195</v>
      </c>
      <c r="F10" s="267">
        <v>30</v>
      </c>
      <c r="G10" s="429"/>
      <c r="H10" s="512"/>
      <c r="I10" s="601"/>
      <c r="J10" s="602"/>
      <c r="K10" s="492"/>
      <c r="L10" s="429"/>
      <c r="M10" s="370"/>
      <c r="N10" s="653"/>
      <c r="O10" s="673"/>
      <c r="P10" s="660"/>
      <c r="Q10" s="44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  <c r="AB10" s="393"/>
      <c r="AC10" s="393"/>
      <c r="AD10" s="393"/>
      <c r="AE10" s="393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/>
      <c r="AP10" s="393"/>
      <c r="AQ10" s="393"/>
      <c r="AR10" s="393"/>
      <c r="AS10" s="393"/>
      <c r="AT10" s="393"/>
      <c r="AU10" s="393"/>
      <c r="AV10" s="393"/>
      <c r="AW10" s="393"/>
      <c r="AX10" s="393"/>
      <c r="AY10" s="393"/>
      <c r="AZ10" s="393"/>
      <c r="BA10" s="393"/>
      <c r="BB10" s="393"/>
      <c r="BC10" s="393"/>
      <c r="BD10" s="393"/>
      <c r="BE10" s="393"/>
      <c r="BF10" s="393"/>
      <c r="BG10" s="393"/>
      <c r="BH10" s="393"/>
      <c r="BI10" s="393"/>
      <c r="BJ10" s="393"/>
      <c r="BK10" s="393"/>
      <c r="BL10" s="393"/>
      <c r="BM10" s="393"/>
      <c r="BN10" s="393"/>
      <c r="BO10" s="393"/>
      <c r="BP10" s="393"/>
      <c r="BQ10" s="393"/>
      <c r="BR10" s="395"/>
      <c r="BS10" s="395"/>
      <c r="BT10" s="395"/>
      <c r="BU10" s="395"/>
      <c r="BV10" s="395"/>
      <c r="BW10" s="395"/>
      <c r="BX10" s="395"/>
      <c r="BY10" s="395"/>
      <c r="BZ10" s="395"/>
      <c r="CA10" s="395"/>
      <c r="CB10" s="395"/>
      <c r="CC10" s="395"/>
      <c r="CD10" s="393"/>
      <c r="CE10" s="389"/>
      <c r="CF10" s="377"/>
      <c r="CG10" s="446"/>
      <c r="CH10" s="377"/>
      <c r="CI10" s="446"/>
      <c r="CJ10" s="446"/>
      <c r="CK10" s="446"/>
      <c r="CL10" s="377"/>
      <c r="CM10" s="446"/>
      <c r="CN10" s="377"/>
      <c r="CO10" s="405"/>
      <c r="CP10" s="405"/>
      <c r="CQ10" s="447"/>
      <c r="CR10" s="389"/>
      <c r="CS10" s="377"/>
      <c r="CT10" s="446"/>
      <c r="CU10" s="377"/>
      <c r="CV10" s="377"/>
      <c r="CW10" s="377"/>
      <c r="CX10" s="377"/>
      <c r="CY10" s="377"/>
      <c r="CZ10" s="377"/>
      <c r="DA10" s="377"/>
      <c r="DB10" s="377"/>
      <c r="DC10" s="405"/>
      <c r="DD10" s="412"/>
      <c r="DE10" s="528"/>
      <c r="DF10" s="529"/>
      <c r="DG10" s="534"/>
      <c r="DH10" s="529"/>
      <c r="DI10" s="529"/>
      <c r="DJ10" s="529"/>
      <c r="DK10" s="529"/>
      <c r="DL10" s="529"/>
      <c r="DM10" s="529"/>
      <c r="DN10" s="529"/>
      <c r="DO10" s="529"/>
      <c r="DP10" s="530"/>
      <c r="DQ10" s="533"/>
      <c r="DR10" s="579"/>
      <c r="DS10" s="482"/>
      <c r="DT10" s="438"/>
      <c r="DU10" s="582"/>
      <c r="DV10" s="576"/>
      <c r="DW10" s="418"/>
      <c r="DX10" s="358"/>
      <c r="DY10" s="514"/>
      <c r="DZ10" s="364"/>
      <c r="EA10" s="364"/>
      <c r="EB10" s="364"/>
      <c r="EC10" s="364"/>
      <c r="ED10" s="364"/>
      <c r="EE10" s="364"/>
      <c r="EF10" s="364"/>
      <c r="EG10" s="364"/>
      <c r="EH10" s="364"/>
      <c r="EI10" s="364"/>
      <c r="EJ10" s="364"/>
      <c r="EK10" s="364"/>
      <c r="EL10" s="364"/>
      <c r="EM10" s="364"/>
      <c r="EN10" s="358"/>
    </row>
    <row r="11" spans="1:144" ht="28.5" customHeight="1" x14ac:dyDescent="0.35">
      <c r="A11" s="396">
        <v>4</v>
      </c>
      <c r="B11" s="608" t="s">
        <v>107</v>
      </c>
      <c r="C11" s="610" t="s">
        <v>106</v>
      </c>
      <c r="D11" s="444" t="s">
        <v>355</v>
      </c>
      <c r="E11" s="261" t="s">
        <v>199</v>
      </c>
      <c r="F11" s="268">
        <v>30</v>
      </c>
      <c r="G11" s="426" t="e">
        <f>F11+F12+#REF!+#REF!</f>
        <v>#REF!</v>
      </c>
      <c r="H11" s="511">
        <v>43375</v>
      </c>
      <c r="I11" s="596">
        <f>+D11+360</f>
        <v>43673</v>
      </c>
      <c r="J11" s="597">
        <v>30</v>
      </c>
      <c r="K11" s="490">
        <f>I11+360</f>
        <v>44033</v>
      </c>
      <c r="L11" s="437">
        <f>K11+DS11</f>
        <v>44095</v>
      </c>
      <c r="M11" s="369">
        <v>30</v>
      </c>
      <c r="N11" s="649">
        <f>+L11+360</f>
        <v>44455</v>
      </c>
      <c r="O11" s="671"/>
      <c r="P11" s="658">
        <f>ROUNDDOWN(($P$2-D11)/365,0)*30</f>
        <v>60</v>
      </c>
      <c r="Q11" s="442"/>
      <c r="R11" s="393"/>
      <c r="S11" s="393"/>
      <c r="T11" s="393"/>
      <c r="U11" s="393"/>
      <c r="V11" s="393"/>
      <c r="W11" s="393"/>
      <c r="X11" s="393"/>
      <c r="Y11" s="393"/>
      <c r="Z11" s="393"/>
      <c r="AA11" s="393"/>
      <c r="AB11" s="393"/>
      <c r="AC11" s="393"/>
      <c r="AD11" s="393">
        <f>SUM(R11:AC12)</f>
        <v>0</v>
      </c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>
        <f>SUM(AE11:AP12)</f>
        <v>0</v>
      </c>
      <c r="AR11" s="393"/>
      <c r="AS11" s="393"/>
      <c r="AT11" s="393"/>
      <c r="AU11" s="393"/>
      <c r="AV11" s="393"/>
      <c r="AW11" s="393"/>
      <c r="AX11" s="393"/>
      <c r="AY11" s="393"/>
      <c r="AZ11" s="393"/>
      <c r="BA11" s="393"/>
      <c r="BB11" s="393"/>
      <c r="BC11" s="393"/>
      <c r="BD11" s="393">
        <f>SUM(AR11:BC12)</f>
        <v>0</v>
      </c>
      <c r="BE11" s="393"/>
      <c r="BF11" s="393"/>
      <c r="BG11" s="393"/>
      <c r="BH11" s="393"/>
      <c r="BI11" s="393"/>
      <c r="BJ11" s="393"/>
      <c r="BK11" s="393"/>
      <c r="BL11" s="393"/>
      <c r="BM11" s="393"/>
      <c r="BN11" s="393"/>
      <c r="BO11" s="393">
        <v>1</v>
      </c>
      <c r="BP11" s="393">
        <v>7</v>
      </c>
      <c r="BQ11" s="393"/>
      <c r="BR11" s="394"/>
      <c r="BS11" s="394"/>
      <c r="BT11" s="394"/>
      <c r="BU11" s="394"/>
      <c r="BV11" s="394"/>
      <c r="BW11" s="394"/>
      <c r="BX11" s="394"/>
      <c r="BY11" s="394"/>
      <c r="BZ11" s="394"/>
      <c r="CA11" s="394"/>
      <c r="CB11" s="394"/>
      <c r="CC11" s="394"/>
      <c r="CD11" s="393"/>
      <c r="CE11" s="388"/>
      <c r="CF11" s="387"/>
      <c r="CG11" s="387"/>
      <c r="CH11" s="387"/>
      <c r="CI11" s="387"/>
      <c r="CJ11" s="387"/>
      <c r="CK11" s="387"/>
      <c r="CL11" s="387"/>
      <c r="CM11" s="387"/>
      <c r="CN11" s="387"/>
      <c r="CO11" s="387"/>
      <c r="CP11" s="390"/>
      <c r="CQ11" s="433"/>
      <c r="CR11" s="388">
        <v>14</v>
      </c>
      <c r="CS11" s="387"/>
      <c r="CT11" s="387"/>
      <c r="CU11" s="387"/>
      <c r="CV11" s="387"/>
      <c r="CW11" s="387"/>
      <c r="CX11" s="387"/>
      <c r="CY11" s="387"/>
      <c r="CZ11" s="387"/>
      <c r="DA11" s="387"/>
      <c r="DB11" s="387"/>
      <c r="DC11" s="390"/>
      <c r="DD11" s="433">
        <f>SUM(CR11:DC12)</f>
        <v>14</v>
      </c>
      <c r="DE11" s="524"/>
      <c r="DF11" s="525"/>
      <c r="DG11" s="525"/>
      <c r="DH11" s="525"/>
      <c r="DI11" s="525"/>
      <c r="DJ11" s="525"/>
      <c r="DK11" s="525"/>
      <c r="DL11" s="525"/>
      <c r="DM11" s="525"/>
      <c r="DN11" s="525"/>
      <c r="DO11" s="525"/>
      <c r="DP11" s="535"/>
      <c r="DQ11" s="536">
        <f>SUM(DE11:DP12)</f>
        <v>0</v>
      </c>
      <c r="DR11" s="681"/>
      <c r="DS11" s="481">
        <f>'Determ días de vacaciones'!S13</f>
        <v>62</v>
      </c>
      <c r="DU11" s="582"/>
      <c r="DV11" s="577"/>
      <c r="DW11" s="413">
        <f>ROUNDDOWN(($DW$2-H11)/365,0)*30</f>
        <v>60</v>
      </c>
      <c r="DX11" s="357">
        <f>DD11</f>
        <v>14</v>
      </c>
      <c r="DY11" s="513">
        <f>P11-DX11</f>
        <v>46</v>
      </c>
      <c r="DZ11" s="363">
        <v>30</v>
      </c>
      <c r="EA11" s="363">
        <v>16</v>
      </c>
      <c r="EB11" s="363"/>
      <c r="EC11" s="363"/>
      <c r="ED11" s="363"/>
      <c r="EE11" s="363"/>
      <c r="EF11" s="363"/>
      <c r="EG11" s="363"/>
      <c r="EH11" s="363"/>
      <c r="EI11" s="363"/>
      <c r="EJ11" s="363"/>
      <c r="EK11" s="363"/>
      <c r="EL11" s="363"/>
      <c r="EM11" s="363"/>
      <c r="EN11" s="357">
        <f>SUM(DZ11:EM12)</f>
        <v>46</v>
      </c>
    </row>
    <row r="12" spans="1:144" ht="28.5" customHeight="1" x14ac:dyDescent="0.35">
      <c r="A12" s="396"/>
      <c r="B12" s="613"/>
      <c r="C12" s="611" t="s">
        <v>200</v>
      </c>
      <c r="D12" s="444"/>
      <c r="E12" s="259" t="s">
        <v>201</v>
      </c>
      <c r="F12" s="269">
        <v>30</v>
      </c>
      <c r="G12" s="416"/>
      <c r="H12" s="512"/>
      <c r="I12" s="601"/>
      <c r="J12" s="602"/>
      <c r="K12" s="492"/>
      <c r="L12" s="429"/>
      <c r="M12" s="370"/>
      <c r="N12" s="653"/>
      <c r="O12" s="673"/>
      <c r="P12" s="660"/>
      <c r="Q12" s="443"/>
      <c r="R12" s="393"/>
      <c r="S12" s="393"/>
      <c r="T12" s="393"/>
      <c r="U12" s="393"/>
      <c r="V12" s="393"/>
      <c r="W12" s="393"/>
      <c r="X12" s="393"/>
      <c r="Y12" s="393"/>
      <c r="Z12" s="393"/>
      <c r="AA12" s="393"/>
      <c r="AB12" s="393"/>
      <c r="AC12" s="393"/>
      <c r="AD12" s="393"/>
      <c r="AE12" s="393"/>
      <c r="AF12" s="393"/>
      <c r="AG12" s="393"/>
      <c r="AH12" s="393"/>
      <c r="AI12" s="393"/>
      <c r="AJ12" s="393"/>
      <c r="AK12" s="393"/>
      <c r="AL12" s="393"/>
      <c r="AM12" s="393"/>
      <c r="AN12" s="393"/>
      <c r="AO12" s="393"/>
      <c r="AP12" s="393"/>
      <c r="AQ12" s="393"/>
      <c r="AR12" s="393"/>
      <c r="AS12" s="393"/>
      <c r="AT12" s="393"/>
      <c r="AU12" s="393"/>
      <c r="AV12" s="393"/>
      <c r="AW12" s="393"/>
      <c r="AX12" s="393"/>
      <c r="AY12" s="393"/>
      <c r="AZ12" s="393"/>
      <c r="BA12" s="393"/>
      <c r="BB12" s="393"/>
      <c r="BC12" s="393"/>
      <c r="BD12" s="393"/>
      <c r="BE12" s="393"/>
      <c r="BF12" s="393"/>
      <c r="BG12" s="393"/>
      <c r="BH12" s="393"/>
      <c r="BI12" s="393"/>
      <c r="BJ12" s="393"/>
      <c r="BK12" s="393"/>
      <c r="BL12" s="393"/>
      <c r="BM12" s="393"/>
      <c r="BN12" s="393"/>
      <c r="BO12" s="393"/>
      <c r="BP12" s="393"/>
      <c r="BQ12" s="393"/>
      <c r="BR12" s="395"/>
      <c r="BS12" s="395"/>
      <c r="BT12" s="395"/>
      <c r="BU12" s="395"/>
      <c r="BV12" s="395"/>
      <c r="BW12" s="395"/>
      <c r="BX12" s="395"/>
      <c r="BY12" s="395"/>
      <c r="BZ12" s="395"/>
      <c r="CA12" s="395"/>
      <c r="CB12" s="395"/>
      <c r="CC12" s="395"/>
      <c r="CD12" s="393"/>
      <c r="CE12" s="389"/>
      <c r="CF12" s="377"/>
      <c r="CG12" s="377"/>
      <c r="CH12" s="377"/>
      <c r="CI12" s="377"/>
      <c r="CJ12" s="377"/>
      <c r="CK12" s="377"/>
      <c r="CL12" s="377"/>
      <c r="CM12" s="377"/>
      <c r="CN12" s="377"/>
      <c r="CO12" s="377"/>
      <c r="CP12" s="391"/>
      <c r="CQ12" s="433"/>
      <c r="CR12" s="389"/>
      <c r="CS12" s="377"/>
      <c r="CT12" s="377"/>
      <c r="CU12" s="377"/>
      <c r="CV12" s="377"/>
      <c r="CW12" s="377"/>
      <c r="CX12" s="377"/>
      <c r="CY12" s="377"/>
      <c r="CZ12" s="377"/>
      <c r="DA12" s="377"/>
      <c r="DB12" s="377"/>
      <c r="DC12" s="391"/>
      <c r="DD12" s="433"/>
      <c r="DE12" s="528"/>
      <c r="DF12" s="529"/>
      <c r="DG12" s="529"/>
      <c r="DH12" s="529"/>
      <c r="DI12" s="529"/>
      <c r="DJ12" s="529"/>
      <c r="DK12" s="529"/>
      <c r="DL12" s="529"/>
      <c r="DM12" s="529"/>
      <c r="DN12" s="529"/>
      <c r="DO12" s="529"/>
      <c r="DP12" s="537"/>
      <c r="DQ12" s="536"/>
      <c r="DR12" s="681"/>
      <c r="DS12" s="482"/>
      <c r="DT12" s="438"/>
      <c r="DU12" s="582"/>
      <c r="DV12" s="578"/>
      <c r="DW12" s="418"/>
      <c r="DX12" s="358"/>
      <c r="DY12" s="514"/>
      <c r="DZ12" s="364"/>
      <c r="EA12" s="364"/>
      <c r="EB12" s="364"/>
      <c r="EC12" s="364"/>
      <c r="ED12" s="364"/>
      <c r="EE12" s="364"/>
      <c r="EF12" s="364"/>
      <c r="EG12" s="364"/>
      <c r="EH12" s="364"/>
      <c r="EI12" s="364"/>
      <c r="EJ12" s="364"/>
      <c r="EK12" s="364"/>
      <c r="EL12" s="364"/>
      <c r="EM12" s="364"/>
      <c r="EN12" s="358"/>
    </row>
    <row r="13" spans="1:144" ht="28.5" customHeight="1" x14ac:dyDescent="0.35">
      <c r="A13" s="396">
        <v>5</v>
      </c>
      <c r="B13" s="608" t="s">
        <v>16</v>
      </c>
      <c r="C13" s="610" t="s">
        <v>106</v>
      </c>
      <c r="D13" s="444" t="s">
        <v>202</v>
      </c>
      <c r="E13" s="256" t="s">
        <v>203</v>
      </c>
      <c r="F13" s="270">
        <v>30</v>
      </c>
      <c r="G13" s="426" t="e">
        <f>F13+F14+#REF!+#REF!</f>
        <v>#REF!</v>
      </c>
      <c r="H13" s="511">
        <v>43986</v>
      </c>
      <c r="I13" s="596"/>
      <c r="J13" s="597"/>
      <c r="K13" s="490">
        <f>+D13+360</f>
        <v>43916</v>
      </c>
      <c r="L13" s="437">
        <f>K13+DS13</f>
        <v>43980</v>
      </c>
      <c r="M13" s="369">
        <v>30</v>
      </c>
      <c r="N13" s="649">
        <f>+L13+360</f>
        <v>44340</v>
      </c>
      <c r="O13" s="671"/>
      <c r="P13" s="658">
        <f>ROUNDDOWN(($P$2-D13)/365,0)*30</f>
        <v>30</v>
      </c>
      <c r="Q13" s="442"/>
      <c r="R13" s="393"/>
      <c r="S13" s="393"/>
      <c r="T13" s="393"/>
      <c r="U13" s="393"/>
      <c r="V13" s="393"/>
      <c r="W13" s="393"/>
      <c r="X13" s="393"/>
      <c r="Y13" s="393"/>
      <c r="Z13" s="393"/>
      <c r="AA13" s="393"/>
      <c r="AB13" s="393"/>
      <c r="AC13" s="393"/>
      <c r="AD13" s="393">
        <f>SUM(R13:AC14)</f>
        <v>0</v>
      </c>
      <c r="AE13" s="393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>
        <f>SUM(AE13:AP14)</f>
        <v>0</v>
      </c>
      <c r="AR13" s="393"/>
      <c r="AS13" s="393"/>
      <c r="AT13" s="393"/>
      <c r="AU13" s="393"/>
      <c r="AV13" s="393"/>
      <c r="AW13" s="393"/>
      <c r="AX13" s="393"/>
      <c r="AY13" s="393"/>
      <c r="AZ13" s="393"/>
      <c r="BA13" s="393"/>
      <c r="BB13" s="393"/>
      <c r="BC13" s="393"/>
      <c r="BD13" s="393">
        <f>SUM(AR13:BC14)</f>
        <v>0</v>
      </c>
      <c r="BE13" s="393"/>
      <c r="BF13" s="393"/>
      <c r="BG13" s="393"/>
      <c r="BH13" s="393"/>
      <c r="BI13" s="393"/>
      <c r="BJ13" s="393"/>
      <c r="BK13" s="393"/>
      <c r="BL13" s="393"/>
      <c r="BM13" s="393"/>
      <c r="BN13" s="393"/>
      <c r="BO13" s="393">
        <v>1</v>
      </c>
      <c r="BP13" s="393">
        <v>7</v>
      </c>
      <c r="BQ13" s="393"/>
      <c r="BR13" s="394"/>
      <c r="BS13" s="394"/>
      <c r="BT13" s="394"/>
      <c r="BU13" s="394"/>
      <c r="BV13" s="394"/>
      <c r="BW13" s="394"/>
      <c r="BX13" s="394"/>
      <c r="BY13" s="394"/>
      <c r="BZ13" s="394"/>
      <c r="CA13" s="394"/>
      <c r="CB13" s="394"/>
      <c r="CC13" s="394"/>
      <c r="CD13" s="393"/>
      <c r="CE13" s="388"/>
      <c r="CF13" s="387"/>
      <c r="CG13" s="387"/>
      <c r="CH13" s="387"/>
      <c r="CI13" s="387"/>
      <c r="CJ13" s="387"/>
      <c r="CK13" s="387"/>
      <c r="CL13" s="387"/>
      <c r="CM13" s="387"/>
      <c r="CN13" s="387"/>
      <c r="CO13" s="387"/>
      <c r="CP13" s="390"/>
      <c r="CQ13" s="433"/>
      <c r="CR13" s="388"/>
      <c r="CS13" s="387"/>
      <c r="CT13" s="387"/>
      <c r="CU13" s="387"/>
      <c r="CV13" s="387"/>
      <c r="CW13" s="387"/>
      <c r="CX13" s="387">
        <v>10</v>
      </c>
      <c r="CY13" s="387">
        <v>7</v>
      </c>
      <c r="CZ13" s="387"/>
      <c r="DA13" s="387"/>
      <c r="DB13" s="387"/>
      <c r="DC13" s="390"/>
      <c r="DD13" s="433">
        <f>SUM(CR13:DC14)</f>
        <v>17</v>
      </c>
      <c r="DE13" s="524"/>
      <c r="DF13" s="525">
        <v>10</v>
      </c>
      <c r="DG13" s="525">
        <v>11</v>
      </c>
      <c r="DH13" s="525"/>
      <c r="DI13" s="525"/>
      <c r="DJ13" s="525"/>
      <c r="DK13" s="525"/>
      <c r="DL13" s="525"/>
      <c r="DM13" s="525"/>
      <c r="DN13" s="525"/>
      <c r="DO13" s="525"/>
      <c r="DP13" s="535"/>
      <c r="DQ13" s="536">
        <f>SUM(DE13:DP14)</f>
        <v>21</v>
      </c>
      <c r="DR13" s="681"/>
      <c r="DS13" s="481">
        <v>64</v>
      </c>
      <c r="DU13" s="582"/>
      <c r="DV13" s="577"/>
      <c r="DW13" s="413">
        <f>ROUNDDOWN(($DW$2-H13)/365,0)*30</f>
        <v>0</v>
      </c>
      <c r="DX13" s="357">
        <f>DD13+DQ13</f>
        <v>38</v>
      </c>
      <c r="DY13" s="513">
        <f>P13-DX13</f>
        <v>-8</v>
      </c>
      <c r="DZ13" s="363"/>
      <c r="EA13" s="363"/>
      <c r="EB13" s="363"/>
      <c r="EC13" s="363"/>
      <c r="ED13" s="363"/>
      <c r="EE13" s="363"/>
      <c r="EF13" s="363"/>
      <c r="EG13" s="363"/>
      <c r="EH13" s="363"/>
      <c r="EI13" s="363"/>
      <c r="EJ13" s="363"/>
      <c r="EK13" s="363"/>
      <c r="EL13" s="363"/>
      <c r="EM13" s="363"/>
      <c r="EN13" s="357">
        <f>SUM(DZ13:EM14)</f>
        <v>0</v>
      </c>
    </row>
    <row r="14" spans="1:144" ht="28.5" customHeight="1" x14ac:dyDescent="0.35">
      <c r="A14" s="396"/>
      <c r="B14" s="613"/>
      <c r="C14" s="611" t="s">
        <v>200</v>
      </c>
      <c r="D14" s="444"/>
      <c r="E14" s="271"/>
      <c r="F14" s="269"/>
      <c r="G14" s="416"/>
      <c r="H14" s="512"/>
      <c r="I14" s="601"/>
      <c r="J14" s="602"/>
      <c r="K14" s="492"/>
      <c r="L14" s="429"/>
      <c r="M14" s="370"/>
      <c r="N14" s="653"/>
      <c r="O14" s="673"/>
      <c r="P14" s="660"/>
      <c r="Q14" s="443"/>
      <c r="R14" s="393"/>
      <c r="S14" s="393"/>
      <c r="T14" s="393"/>
      <c r="U14" s="393"/>
      <c r="V14" s="393"/>
      <c r="W14" s="393"/>
      <c r="X14" s="393"/>
      <c r="Y14" s="393"/>
      <c r="Z14" s="393"/>
      <c r="AA14" s="393"/>
      <c r="AB14" s="393"/>
      <c r="AC14" s="393"/>
      <c r="AD14" s="393"/>
      <c r="AE14" s="393"/>
      <c r="AF14" s="393"/>
      <c r="AG14" s="393"/>
      <c r="AH14" s="393"/>
      <c r="AI14" s="393"/>
      <c r="AJ14" s="393"/>
      <c r="AK14" s="393"/>
      <c r="AL14" s="393"/>
      <c r="AM14" s="393"/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93"/>
      <c r="AY14" s="393"/>
      <c r="AZ14" s="393"/>
      <c r="BA14" s="393"/>
      <c r="BB14" s="393"/>
      <c r="BC14" s="393"/>
      <c r="BD14" s="393"/>
      <c r="BE14" s="393"/>
      <c r="BF14" s="393"/>
      <c r="BG14" s="393"/>
      <c r="BH14" s="393"/>
      <c r="BI14" s="393"/>
      <c r="BJ14" s="393"/>
      <c r="BK14" s="393"/>
      <c r="BL14" s="393"/>
      <c r="BM14" s="393"/>
      <c r="BN14" s="393"/>
      <c r="BO14" s="393"/>
      <c r="BP14" s="393"/>
      <c r="BQ14" s="393"/>
      <c r="BR14" s="395"/>
      <c r="BS14" s="395"/>
      <c r="BT14" s="395"/>
      <c r="BU14" s="395"/>
      <c r="BV14" s="395"/>
      <c r="BW14" s="395"/>
      <c r="BX14" s="395"/>
      <c r="BY14" s="395"/>
      <c r="BZ14" s="395"/>
      <c r="CA14" s="395"/>
      <c r="CB14" s="395"/>
      <c r="CC14" s="395"/>
      <c r="CD14" s="393"/>
      <c r="CE14" s="389"/>
      <c r="CF14" s="377"/>
      <c r="CG14" s="377"/>
      <c r="CH14" s="377"/>
      <c r="CI14" s="377"/>
      <c r="CJ14" s="377"/>
      <c r="CK14" s="377"/>
      <c r="CL14" s="377"/>
      <c r="CM14" s="377"/>
      <c r="CN14" s="377"/>
      <c r="CO14" s="377"/>
      <c r="CP14" s="391"/>
      <c r="CQ14" s="433"/>
      <c r="CR14" s="389"/>
      <c r="CS14" s="377"/>
      <c r="CT14" s="377"/>
      <c r="CU14" s="377"/>
      <c r="CV14" s="377"/>
      <c r="CW14" s="377"/>
      <c r="CX14" s="377"/>
      <c r="CY14" s="377"/>
      <c r="CZ14" s="377"/>
      <c r="DA14" s="377"/>
      <c r="DB14" s="377"/>
      <c r="DC14" s="391"/>
      <c r="DD14" s="433"/>
      <c r="DE14" s="528"/>
      <c r="DF14" s="529"/>
      <c r="DG14" s="529"/>
      <c r="DH14" s="529"/>
      <c r="DI14" s="529"/>
      <c r="DJ14" s="529"/>
      <c r="DK14" s="529"/>
      <c r="DL14" s="529"/>
      <c r="DM14" s="529"/>
      <c r="DN14" s="529"/>
      <c r="DO14" s="529"/>
      <c r="DP14" s="537"/>
      <c r="DQ14" s="536"/>
      <c r="DR14" s="681"/>
      <c r="DS14" s="482"/>
      <c r="DT14" s="438"/>
      <c r="DU14" s="582"/>
      <c r="DV14" s="578"/>
      <c r="DW14" s="418"/>
      <c r="DX14" s="358"/>
      <c r="DY14" s="514"/>
      <c r="DZ14" s="364"/>
      <c r="EA14" s="364"/>
      <c r="EB14" s="364"/>
      <c r="EC14" s="364"/>
      <c r="ED14" s="364"/>
      <c r="EE14" s="364"/>
      <c r="EF14" s="364"/>
      <c r="EG14" s="364"/>
      <c r="EH14" s="364"/>
      <c r="EI14" s="364"/>
      <c r="EJ14" s="364"/>
      <c r="EK14" s="364"/>
      <c r="EL14" s="364"/>
      <c r="EM14" s="364"/>
      <c r="EN14" s="358"/>
    </row>
    <row r="15" spans="1:144" ht="28.5" customHeight="1" x14ac:dyDescent="0.35">
      <c r="A15" s="396">
        <v>6</v>
      </c>
      <c r="B15" s="608" t="s">
        <v>57</v>
      </c>
      <c r="C15" s="606" t="s">
        <v>204</v>
      </c>
      <c r="D15" s="399" t="s">
        <v>205</v>
      </c>
      <c r="E15" s="271" t="s">
        <v>353</v>
      </c>
      <c r="F15" s="257">
        <v>30</v>
      </c>
      <c r="G15" s="426" t="e">
        <f>F15+F16+#REF!+#REF!+#REF!+#REF!</f>
        <v>#REF!</v>
      </c>
      <c r="H15" s="511">
        <v>41406</v>
      </c>
      <c r="I15" s="596">
        <f>+D15+6*360</f>
        <v>43525</v>
      </c>
      <c r="J15" s="597">
        <v>180</v>
      </c>
      <c r="K15" s="687">
        <f>I15+360</f>
        <v>43885</v>
      </c>
      <c r="L15" s="429"/>
      <c r="M15" s="369">
        <v>30</v>
      </c>
      <c r="N15" s="687">
        <f>+K15+DS15+360</f>
        <v>44286</v>
      </c>
      <c r="O15" s="671"/>
      <c r="P15" s="658">
        <f>ROUNDDOWN(($P$2-D15)/365,0)*30</f>
        <v>210</v>
      </c>
      <c r="Q15" s="442"/>
      <c r="R15" s="395"/>
      <c r="S15" s="395"/>
      <c r="T15" s="395"/>
      <c r="U15" s="395"/>
      <c r="V15" s="393">
        <v>1</v>
      </c>
      <c r="W15" s="395"/>
      <c r="X15" s="395"/>
      <c r="Y15" s="395"/>
      <c r="Z15" s="395"/>
      <c r="AA15" s="395"/>
      <c r="AB15" s="395"/>
      <c r="AC15" s="395"/>
      <c r="AD15" s="393">
        <f>SUM(R15:AC16)</f>
        <v>1</v>
      </c>
      <c r="AE15" s="393"/>
      <c r="AF15" s="393"/>
      <c r="AG15" s="393"/>
      <c r="AH15" s="393"/>
      <c r="AI15" s="393"/>
      <c r="AJ15" s="393"/>
      <c r="AK15" s="393"/>
      <c r="AL15" s="393">
        <v>7</v>
      </c>
      <c r="AM15" s="393"/>
      <c r="AN15" s="393"/>
      <c r="AO15" s="393"/>
      <c r="AP15" s="393">
        <v>1</v>
      </c>
      <c r="AQ15" s="393">
        <f>SUM(AE15:AP16)</f>
        <v>8</v>
      </c>
      <c r="AR15" s="393">
        <v>1</v>
      </c>
      <c r="AS15" s="393">
        <v>4</v>
      </c>
      <c r="AT15" s="393">
        <v>2</v>
      </c>
      <c r="AU15" s="393"/>
      <c r="AV15" s="393">
        <v>1</v>
      </c>
      <c r="AW15" s="393"/>
      <c r="AX15" s="393">
        <v>1</v>
      </c>
      <c r="AY15" s="393"/>
      <c r="AZ15" s="393"/>
      <c r="BA15" s="393">
        <v>1</v>
      </c>
      <c r="BB15" s="393"/>
      <c r="BC15" s="393">
        <v>3</v>
      </c>
      <c r="BD15" s="393">
        <f>SUM(AR15:BC16)</f>
        <v>13</v>
      </c>
      <c r="BE15" s="393">
        <v>2</v>
      </c>
      <c r="BF15" s="393">
        <v>1</v>
      </c>
      <c r="BG15" s="393"/>
      <c r="BH15" s="393">
        <v>1</v>
      </c>
      <c r="BI15" s="393">
        <v>7</v>
      </c>
      <c r="BJ15" s="393"/>
      <c r="BK15" s="393">
        <v>2</v>
      </c>
      <c r="BL15" s="393">
        <v>1</v>
      </c>
      <c r="BM15" s="393"/>
      <c r="BN15" s="393"/>
      <c r="BO15" s="393">
        <v>1</v>
      </c>
      <c r="BP15" s="393">
        <v>1</v>
      </c>
      <c r="BQ15" s="393">
        <f>SUM(BE15:BP16)</f>
        <v>16</v>
      </c>
      <c r="BR15" s="394">
        <v>2</v>
      </c>
      <c r="BS15" s="394">
        <v>7</v>
      </c>
      <c r="BT15" s="394"/>
      <c r="BU15" s="394">
        <v>1</v>
      </c>
      <c r="BV15" s="394"/>
      <c r="BW15" s="394">
        <v>1</v>
      </c>
      <c r="BX15" s="394">
        <v>1</v>
      </c>
      <c r="BY15" s="394">
        <v>1</v>
      </c>
      <c r="BZ15" s="394"/>
      <c r="CA15" s="394">
        <v>2</v>
      </c>
      <c r="CB15" s="394">
        <v>1</v>
      </c>
      <c r="CC15" s="394">
        <v>8</v>
      </c>
      <c r="CD15" s="393">
        <f>SUM(BR15:CC16)</f>
        <v>24</v>
      </c>
      <c r="CE15" s="388">
        <v>13</v>
      </c>
      <c r="CF15" s="387">
        <v>1</v>
      </c>
      <c r="CG15" s="387"/>
      <c r="CH15" s="387"/>
      <c r="CI15" s="387">
        <v>1</v>
      </c>
      <c r="CJ15" s="387"/>
      <c r="CK15" s="387">
        <v>8</v>
      </c>
      <c r="CL15" s="387"/>
      <c r="CM15" s="387">
        <v>1</v>
      </c>
      <c r="CN15" s="387"/>
      <c r="CO15" s="387"/>
      <c r="CP15" s="404">
        <v>2</v>
      </c>
      <c r="CQ15" s="412">
        <f>SUM(CE15:CP16)</f>
        <v>26</v>
      </c>
      <c r="CR15" s="388"/>
      <c r="CS15" s="387">
        <v>7</v>
      </c>
      <c r="CT15" s="387"/>
      <c r="CU15" s="387"/>
      <c r="CV15" s="387"/>
      <c r="CW15" s="387">
        <v>1</v>
      </c>
      <c r="CX15" s="387">
        <v>10</v>
      </c>
      <c r="CY15" s="387">
        <v>1</v>
      </c>
      <c r="CZ15" s="387"/>
      <c r="DA15" s="387"/>
      <c r="DB15" s="387"/>
      <c r="DC15" s="404">
        <v>1</v>
      </c>
      <c r="DD15" s="412">
        <f>SUM(CR15:DC16)</f>
        <v>20</v>
      </c>
      <c r="DE15" s="524"/>
      <c r="DF15" s="525">
        <v>7</v>
      </c>
      <c r="DG15" s="525">
        <v>8</v>
      </c>
      <c r="DH15" s="525"/>
      <c r="DI15" s="525"/>
      <c r="DJ15" s="525"/>
      <c r="DK15" s="525"/>
      <c r="DL15" s="525"/>
      <c r="DM15" s="525">
        <v>15</v>
      </c>
      <c r="DN15" s="538"/>
      <c r="DO15" s="525"/>
      <c r="DP15" s="526"/>
      <c r="DQ15" s="533">
        <f>SUM(DE15:DP16)</f>
        <v>30</v>
      </c>
      <c r="DR15" s="579"/>
      <c r="DS15" s="481">
        <f>'Determ días de vacaciones'!S15</f>
        <v>41</v>
      </c>
      <c r="DU15" s="582"/>
      <c r="DV15" s="527"/>
      <c r="DW15" s="413">
        <f>ROUNDDOWN(($DW$2-H15)/365,0)*30</f>
        <v>210</v>
      </c>
      <c r="DX15" s="357">
        <f>AD15+AQ15+BD15+BQ15+CD15+CQ15+DD15+DQ15</f>
        <v>138</v>
      </c>
      <c r="DY15" s="513">
        <f>P15-DX15</f>
        <v>72</v>
      </c>
      <c r="DZ15" s="363">
        <v>15</v>
      </c>
      <c r="EA15" s="363">
        <v>15</v>
      </c>
      <c r="EB15" s="363">
        <v>15</v>
      </c>
      <c r="EC15" s="363">
        <v>15</v>
      </c>
      <c r="ED15" s="363">
        <v>12</v>
      </c>
      <c r="EE15" s="363"/>
      <c r="EF15" s="363"/>
      <c r="EG15" s="363"/>
      <c r="EH15" s="363"/>
      <c r="EI15" s="363"/>
      <c r="EJ15" s="363"/>
      <c r="EK15" s="363"/>
      <c r="EL15" s="363"/>
      <c r="EM15" s="363"/>
      <c r="EN15" s="357">
        <f>SUM(DZ15:EM16)</f>
        <v>72</v>
      </c>
    </row>
    <row r="16" spans="1:144" ht="28.5" customHeight="1" x14ac:dyDescent="0.35">
      <c r="A16" s="396"/>
      <c r="B16" s="613"/>
      <c r="C16" s="606"/>
      <c r="D16" s="399"/>
      <c r="E16" s="271" t="s">
        <v>206</v>
      </c>
      <c r="F16" s="270">
        <v>30</v>
      </c>
      <c r="G16" s="416"/>
      <c r="H16" s="512"/>
      <c r="I16" s="601"/>
      <c r="J16" s="602"/>
      <c r="K16" s="492"/>
      <c r="L16" s="429"/>
      <c r="M16" s="370"/>
      <c r="N16" s="650"/>
      <c r="O16" s="673"/>
      <c r="P16" s="660"/>
      <c r="Q16" s="443"/>
      <c r="R16" s="395"/>
      <c r="S16" s="395"/>
      <c r="T16" s="395"/>
      <c r="U16" s="395"/>
      <c r="V16" s="393"/>
      <c r="W16" s="395"/>
      <c r="X16" s="395"/>
      <c r="Y16" s="395"/>
      <c r="Z16" s="395"/>
      <c r="AA16" s="395"/>
      <c r="AB16" s="395"/>
      <c r="AC16" s="395"/>
      <c r="AD16" s="393"/>
      <c r="AE16" s="393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  <c r="BC16" s="393"/>
      <c r="BD16" s="393"/>
      <c r="BE16" s="393"/>
      <c r="BF16" s="393"/>
      <c r="BG16" s="393"/>
      <c r="BH16" s="393"/>
      <c r="BI16" s="393"/>
      <c r="BJ16" s="393"/>
      <c r="BK16" s="393"/>
      <c r="BL16" s="393"/>
      <c r="BM16" s="393"/>
      <c r="BN16" s="393"/>
      <c r="BO16" s="393"/>
      <c r="BP16" s="393"/>
      <c r="BQ16" s="393"/>
      <c r="BR16" s="395"/>
      <c r="BS16" s="395"/>
      <c r="BT16" s="395"/>
      <c r="BU16" s="395"/>
      <c r="BV16" s="395"/>
      <c r="BW16" s="395"/>
      <c r="BX16" s="395"/>
      <c r="BY16" s="395"/>
      <c r="BZ16" s="395"/>
      <c r="CA16" s="395"/>
      <c r="CB16" s="395"/>
      <c r="CC16" s="395"/>
      <c r="CD16" s="393"/>
      <c r="CE16" s="389"/>
      <c r="CF16" s="377"/>
      <c r="CG16" s="377"/>
      <c r="CH16" s="377"/>
      <c r="CI16" s="377"/>
      <c r="CJ16" s="377"/>
      <c r="CK16" s="377"/>
      <c r="CL16" s="377"/>
      <c r="CM16" s="377"/>
      <c r="CN16" s="377"/>
      <c r="CO16" s="377"/>
      <c r="CP16" s="405"/>
      <c r="CQ16" s="412"/>
      <c r="CR16" s="389"/>
      <c r="CS16" s="377"/>
      <c r="CT16" s="377"/>
      <c r="CU16" s="377"/>
      <c r="CV16" s="377"/>
      <c r="CW16" s="377"/>
      <c r="CX16" s="377"/>
      <c r="CY16" s="377"/>
      <c r="CZ16" s="377"/>
      <c r="DA16" s="377"/>
      <c r="DB16" s="377"/>
      <c r="DC16" s="405"/>
      <c r="DD16" s="412"/>
      <c r="DE16" s="528"/>
      <c r="DF16" s="529"/>
      <c r="DG16" s="529"/>
      <c r="DH16" s="529"/>
      <c r="DI16" s="529"/>
      <c r="DJ16" s="529"/>
      <c r="DK16" s="529"/>
      <c r="DL16" s="529"/>
      <c r="DM16" s="529"/>
      <c r="DN16" s="539"/>
      <c r="DO16" s="529"/>
      <c r="DP16" s="530"/>
      <c r="DQ16" s="533"/>
      <c r="DR16" s="579"/>
      <c r="DS16" s="482"/>
      <c r="DT16" s="438"/>
      <c r="DU16" s="582"/>
      <c r="DV16" s="576"/>
      <c r="DW16" s="418"/>
      <c r="DX16" s="358"/>
      <c r="DY16" s="514"/>
      <c r="DZ16" s="364"/>
      <c r="EA16" s="364"/>
      <c r="EB16" s="364"/>
      <c r="EC16" s="364"/>
      <c r="ED16" s="364"/>
      <c r="EE16" s="364"/>
      <c r="EF16" s="364"/>
      <c r="EG16" s="364"/>
      <c r="EH16" s="364"/>
      <c r="EI16" s="364"/>
      <c r="EJ16" s="364"/>
      <c r="EK16" s="364"/>
      <c r="EL16" s="364"/>
      <c r="EM16" s="364"/>
      <c r="EN16" s="358"/>
    </row>
    <row r="17" spans="1:144" ht="28.5" customHeight="1" x14ac:dyDescent="0.35">
      <c r="A17" s="396">
        <v>7</v>
      </c>
      <c r="B17" s="608" t="s">
        <v>18</v>
      </c>
      <c r="C17" s="606" t="s">
        <v>211</v>
      </c>
      <c r="D17" s="399" t="s">
        <v>212</v>
      </c>
      <c r="E17" s="272" t="s">
        <v>213</v>
      </c>
      <c r="F17" s="257">
        <v>30</v>
      </c>
      <c r="G17" s="426" t="e">
        <f>F17+F18+#REF!+#REF!+#REF!+#REF!+#REF!+#REF!+#REF!</f>
        <v>#REF!</v>
      </c>
      <c r="H17" s="511">
        <v>40605</v>
      </c>
      <c r="I17" s="596">
        <f>+D17+9*360</f>
        <v>43784</v>
      </c>
      <c r="J17" s="597">
        <v>270</v>
      </c>
      <c r="K17" s="490">
        <f>I17+360</f>
        <v>44144</v>
      </c>
      <c r="L17" s="437">
        <f>K17+DS17</f>
        <v>44206</v>
      </c>
      <c r="M17" s="369">
        <v>0</v>
      </c>
      <c r="N17" s="437">
        <v>44206</v>
      </c>
      <c r="O17" s="674"/>
      <c r="P17" s="658">
        <f>ROUNDDOWN(($P$2-D17)/365,0)*30</f>
        <v>270</v>
      </c>
      <c r="Q17" s="394">
        <v>45</v>
      </c>
      <c r="R17" s="394"/>
      <c r="S17" s="394">
        <v>1</v>
      </c>
      <c r="T17" s="394"/>
      <c r="U17" s="394">
        <v>1</v>
      </c>
      <c r="V17" s="394"/>
      <c r="W17" s="394">
        <v>4</v>
      </c>
      <c r="X17" s="394">
        <v>1</v>
      </c>
      <c r="Y17" s="394">
        <v>3</v>
      </c>
      <c r="Z17" s="394"/>
      <c r="AA17" s="394"/>
      <c r="AB17" s="394"/>
      <c r="AC17" s="394">
        <v>1</v>
      </c>
      <c r="AD17" s="394">
        <f>SUM(R17:AC18)</f>
        <v>11</v>
      </c>
      <c r="AE17" s="394">
        <v>1</v>
      </c>
      <c r="AF17" s="394">
        <v>1</v>
      </c>
      <c r="AG17" s="394"/>
      <c r="AH17" s="394">
        <v>1</v>
      </c>
      <c r="AI17" s="394">
        <v>4</v>
      </c>
      <c r="AJ17" s="394"/>
      <c r="AK17" s="394"/>
      <c r="AL17" s="394"/>
      <c r="AM17" s="394">
        <v>1</v>
      </c>
      <c r="AN17" s="394">
        <v>1</v>
      </c>
      <c r="AO17" s="394"/>
      <c r="AP17" s="394">
        <v>3</v>
      </c>
      <c r="AQ17" s="394">
        <f>SUM(AE17:AP18)</f>
        <v>12</v>
      </c>
      <c r="AR17" s="394"/>
      <c r="AS17" s="394">
        <v>4</v>
      </c>
      <c r="AT17" s="394"/>
      <c r="AU17" s="394">
        <v>1</v>
      </c>
      <c r="AV17" s="394"/>
      <c r="AW17" s="394">
        <v>4</v>
      </c>
      <c r="AX17" s="394">
        <v>2</v>
      </c>
      <c r="AY17" s="394"/>
      <c r="AZ17" s="394">
        <v>1</v>
      </c>
      <c r="BA17" s="394">
        <v>4</v>
      </c>
      <c r="BB17" s="394">
        <v>1</v>
      </c>
      <c r="BC17" s="394">
        <v>3</v>
      </c>
      <c r="BD17" s="394">
        <f>SUM(AR17:BC18)</f>
        <v>20</v>
      </c>
      <c r="BE17" s="394"/>
      <c r="BF17" s="394">
        <v>14</v>
      </c>
      <c r="BG17" s="394">
        <v>2</v>
      </c>
      <c r="BH17" s="394"/>
      <c r="BI17" s="394"/>
      <c r="BJ17" s="394"/>
      <c r="BK17" s="394"/>
      <c r="BL17" s="394"/>
      <c r="BM17" s="394"/>
      <c r="BN17" s="394">
        <v>1</v>
      </c>
      <c r="BO17" s="394">
        <v>3</v>
      </c>
      <c r="BP17" s="394">
        <v>3</v>
      </c>
      <c r="BQ17" s="394">
        <f>SUM(BE17:BP18)</f>
        <v>23</v>
      </c>
      <c r="BR17" s="394"/>
      <c r="BS17" s="394"/>
      <c r="BT17" s="394"/>
      <c r="BU17" s="394"/>
      <c r="BV17" s="394"/>
      <c r="BW17" s="394"/>
      <c r="BX17" s="394"/>
      <c r="BY17" s="394"/>
      <c r="BZ17" s="394"/>
      <c r="CA17" s="394"/>
      <c r="CB17" s="394"/>
      <c r="CC17" s="394"/>
      <c r="CD17" s="394">
        <f>SUM(BR17:CC18)</f>
        <v>0</v>
      </c>
      <c r="CE17" s="388"/>
      <c r="CF17" s="387">
        <v>10</v>
      </c>
      <c r="CG17" s="387"/>
      <c r="CH17" s="387"/>
      <c r="CI17" s="387"/>
      <c r="CJ17" s="387"/>
      <c r="CK17" s="387">
        <v>1</v>
      </c>
      <c r="CL17" s="387">
        <v>1</v>
      </c>
      <c r="CM17" s="387"/>
      <c r="CN17" s="387"/>
      <c r="CO17" s="387"/>
      <c r="CP17" s="404"/>
      <c r="CQ17" s="413">
        <f>SUM(CE17:CP18)</f>
        <v>12</v>
      </c>
      <c r="CR17" s="388"/>
      <c r="CS17" s="387">
        <v>11</v>
      </c>
      <c r="CT17" s="387"/>
      <c r="CU17" s="387"/>
      <c r="CV17" s="387"/>
      <c r="CW17" s="387"/>
      <c r="CX17" s="387"/>
      <c r="CY17" s="387"/>
      <c r="CZ17" s="387"/>
      <c r="DA17" s="387"/>
      <c r="DB17" s="387"/>
      <c r="DC17" s="390">
        <v>14</v>
      </c>
      <c r="DD17" s="441">
        <f>SUM(CR17:DC18)</f>
        <v>25</v>
      </c>
      <c r="DE17" s="524"/>
      <c r="DF17" s="525">
        <v>12</v>
      </c>
      <c r="DG17" s="525"/>
      <c r="DH17" s="525"/>
      <c r="DI17" s="525"/>
      <c r="DJ17" s="525"/>
      <c r="DK17" s="525"/>
      <c r="DL17" s="525"/>
      <c r="DM17" s="525">
        <v>15</v>
      </c>
      <c r="DN17" s="525">
        <v>15</v>
      </c>
      <c r="DO17" s="525"/>
      <c r="DP17" s="535"/>
      <c r="DQ17" s="540">
        <f>SUM(DE17:DP18)</f>
        <v>42</v>
      </c>
      <c r="DR17" s="682"/>
      <c r="DS17" s="481">
        <f>'Determ días de vacaciones'!S16</f>
        <v>62</v>
      </c>
      <c r="DT17" s="437">
        <f>K17+DS17</f>
        <v>44206</v>
      </c>
      <c r="DU17" s="582"/>
      <c r="DV17" s="572"/>
      <c r="DW17" s="413">
        <f>ROUNDDOWN(($DW$2-H17)/365,0)*30</f>
        <v>270</v>
      </c>
      <c r="DX17" s="378">
        <f>Q17+AD17+AQ17+BD17+BQ17+CD17+CQ17+DD17+DQ17</f>
        <v>190</v>
      </c>
      <c r="DY17" s="513">
        <f>P17-DX17</f>
        <v>80</v>
      </c>
      <c r="DZ17" s="363">
        <v>15</v>
      </c>
      <c r="EA17" s="363">
        <v>15</v>
      </c>
      <c r="EB17" s="363">
        <v>15</v>
      </c>
      <c r="EC17" s="363">
        <v>15</v>
      </c>
      <c r="ED17" s="363">
        <v>15</v>
      </c>
      <c r="EE17" s="363">
        <v>5</v>
      </c>
      <c r="EF17" s="363"/>
      <c r="EG17" s="363"/>
      <c r="EH17" s="363"/>
      <c r="EI17" s="363"/>
      <c r="EJ17" s="363"/>
      <c r="EK17" s="363"/>
      <c r="EL17" s="363"/>
      <c r="EM17" s="363"/>
      <c r="EN17" s="357">
        <f>SUM(DZ17:EM18)</f>
        <v>80</v>
      </c>
    </row>
    <row r="18" spans="1:144" ht="28.5" customHeight="1" x14ac:dyDescent="0.35">
      <c r="A18" s="396"/>
      <c r="B18" s="613"/>
      <c r="C18" s="606"/>
      <c r="D18" s="399"/>
      <c r="E18" s="272" t="s">
        <v>214</v>
      </c>
      <c r="F18" s="270">
        <v>30</v>
      </c>
      <c r="G18" s="416"/>
      <c r="H18" s="512"/>
      <c r="I18" s="601"/>
      <c r="J18" s="602"/>
      <c r="K18" s="492"/>
      <c r="L18" s="429"/>
      <c r="M18" s="370"/>
      <c r="N18" s="650"/>
      <c r="O18" s="673"/>
      <c r="P18" s="660"/>
      <c r="Q18" s="395"/>
      <c r="R18" s="394"/>
      <c r="S18" s="394"/>
      <c r="T18" s="394"/>
      <c r="U18" s="394"/>
      <c r="V18" s="394"/>
      <c r="W18" s="394"/>
      <c r="X18" s="394"/>
      <c r="Y18" s="394"/>
      <c r="Z18" s="394"/>
      <c r="AA18" s="394"/>
      <c r="AB18" s="394"/>
      <c r="AC18" s="394"/>
      <c r="AD18" s="394"/>
      <c r="AE18" s="394"/>
      <c r="AF18" s="394"/>
      <c r="AG18" s="394"/>
      <c r="AH18" s="394"/>
      <c r="AI18" s="394"/>
      <c r="AJ18" s="394"/>
      <c r="AK18" s="394"/>
      <c r="AL18" s="394"/>
      <c r="AM18" s="394"/>
      <c r="AN18" s="394"/>
      <c r="AO18" s="394"/>
      <c r="AP18" s="394"/>
      <c r="AQ18" s="394"/>
      <c r="AR18" s="394"/>
      <c r="AS18" s="394"/>
      <c r="AT18" s="394"/>
      <c r="AU18" s="394"/>
      <c r="AV18" s="394"/>
      <c r="AW18" s="394"/>
      <c r="AX18" s="394"/>
      <c r="AY18" s="394"/>
      <c r="AZ18" s="394"/>
      <c r="BA18" s="394"/>
      <c r="BB18" s="394"/>
      <c r="BC18" s="394"/>
      <c r="BD18" s="394"/>
      <c r="BE18" s="394"/>
      <c r="BF18" s="394"/>
      <c r="BG18" s="394"/>
      <c r="BH18" s="394"/>
      <c r="BI18" s="394"/>
      <c r="BJ18" s="394"/>
      <c r="BK18" s="394"/>
      <c r="BL18" s="394"/>
      <c r="BM18" s="394"/>
      <c r="BN18" s="394"/>
      <c r="BO18" s="394"/>
      <c r="BP18" s="394"/>
      <c r="BQ18" s="394"/>
      <c r="BR18" s="395"/>
      <c r="BS18" s="395"/>
      <c r="BT18" s="395"/>
      <c r="BU18" s="395"/>
      <c r="BV18" s="395"/>
      <c r="BW18" s="395"/>
      <c r="BX18" s="395"/>
      <c r="BY18" s="395"/>
      <c r="BZ18" s="395"/>
      <c r="CA18" s="395"/>
      <c r="CB18" s="395"/>
      <c r="CC18" s="395"/>
      <c r="CD18" s="394"/>
      <c r="CE18" s="389"/>
      <c r="CF18" s="377"/>
      <c r="CG18" s="377"/>
      <c r="CH18" s="377"/>
      <c r="CI18" s="377"/>
      <c r="CJ18" s="377"/>
      <c r="CK18" s="377"/>
      <c r="CL18" s="377"/>
      <c r="CM18" s="377"/>
      <c r="CN18" s="377"/>
      <c r="CO18" s="377"/>
      <c r="CP18" s="405"/>
      <c r="CQ18" s="413"/>
      <c r="CR18" s="389"/>
      <c r="CS18" s="377"/>
      <c r="CT18" s="377"/>
      <c r="CU18" s="377"/>
      <c r="CV18" s="377"/>
      <c r="CW18" s="377"/>
      <c r="CX18" s="377"/>
      <c r="CY18" s="377"/>
      <c r="CZ18" s="377"/>
      <c r="DA18" s="377"/>
      <c r="DB18" s="377"/>
      <c r="DC18" s="391"/>
      <c r="DD18" s="441"/>
      <c r="DE18" s="528"/>
      <c r="DF18" s="529"/>
      <c r="DG18" s="529"/>
      <c r="DH18" s="529"/>
      <c r="DI18" s="529"/>
      <c r="DJ18" s="529"/>
      <c r="DK18" s="529"/>
      <c r="DL18" s="529"/>
      <c r="DM18" s="529"/>
      <c r="DN18" s="529"/>
      <c r="DO18" s="529"/>
      <c r="DP18" s="537"/>
      <c r="DQ18" s="540"/>
      <c r="DR18" s="682"/>
      <c r="DS18" s="482"/>
      <c r="DT18" s="438"/>
      <c r="DU18" s="582"/>
      <c r="DV18" s="579"/>
      <c r="DW18" s="418"/>
      <c r="DX18" s="379"/>
      <c r="DY18" s="514"/>
      <c r="DZ18" s="364"/>
      <c r="EA18" s="364"/>
      <c r="EB18" s="364"/>
      <c r="EC18" s="364"/>
      <c r="ED18" s="364"/>
      <c r="EE18" s="364"/>
      <c r="EF18" s="364"/>
      <c r="EG18" s="364"/>
      <c r="EH18" s="364"/>
      <c r="EI18" s="364"/>
      <c r="EJ18" s="364"/>
      <c r="EK18" s="364"/>
      <c r="EL18" s="364"/>
      <c r="EM18" s="364"/>
      <c r="EN18" s="358"/>
    </row>
    <row r="19" spans="1:144" ht="28.5" customHeight="1" x14ac:dyDescent="0.35">
      <c r="A19" s="396">
        <v>8</v>
      </c>
      <c r="B19" s="608" t="s">
        <v>19</v>
      </c>
      <c r="C19" s="411" t="s">
        <v>222</v>
      </c>
      <c r="D19" s="423" t="s">
        <v>223</v>
      </c>
      <c r="E19" s="273" t="s">
        <v>224</v>
      </c>
      <c r="F19" s="257">
        <v>30</v>
      </c>
      <c r="G19" s="426" t="e">
        <f>F19+F20+#REF!+#REF!+#REF!+#REF!+#REF!+#REF!+#REF!</f>
        <v>#REF!</v>
      </c>
      <c r="H19" s="511">
        <v>40647</v>
      </c>
      <c r="I19" s="596">
        <f>+D19+8*360</f>
        <v>43483</v>
      </c>
      <c r="J19" s="597">
        <v>240</v>
      </c>
      <c r="K19" s="687">
        <f>I19+360</f>
        <v>43843</v>
      </c>
      <c r="L19" s="592"/>
      <c r="M19" s="369">
        <v>30</v>
      </c>
      <c r="N19" s="687">
        <f>+K19+DS19+360</f>
        <v>44247</v>
      </c>
      <c r="O19" s="671"/>
      <c r="P19" s="658">
        <f>ROUNDDOWN(($P$2-D19)/365,0)*30</f>
        <v>270</v>
      </c>
      <c r="Q19" s="394">
        <v>15</v>
      </c>
      <c r="R19" s="393"/>
      <c r="S19" s="393"/>
      <c r="T19" s="393">
        <v>5</v>
      </c>
      <c r="U19" s="393"/>
      <c r="V19" s="393"/>
      <c r="W19" s="393">
        <v>5</v>
      </c>
      <c r="X19" s="393">
        <v>8</v>
      </c>
      <c r="Y19" s="393"/>
      <c r="Z19" s="393"/>
      <c r="AA19" s="393"/>
      <c r="AB19" s="393"/>
      <c r="AC19" s="393"/>
      <c r="AD19" s="393">
        <f>SUM(R19:AC20)</f>
        <v>18</v>
      </c>
      <c r="AE19" s="393"/>
      <c r="AF19" s="393"/>
      <c r="AG19" s="393"/>
      <c r="AH19" s="393"/>
      <c r="AI19" s="393"/>
      <c r="AJ19" s="393"/>
      <c r="AK19" s="393"/>
      <c r="AL19" s="393">
        <v>2</v>
      </c>
      <c r="AM19" s="393">
        <v>1</v>
      </c>
      <c r="AN19" s="393"/>
      <c r="AO19" s="393"/>
      <c r="AP19" s="393">
        <v>3</v>
      </c>
      <c r="AQ19" s="393">
        <f>SUM(AE19:AP20)</f>
        <v>6</v>
      </c>
      <c r="AR19" s="393">
        <v>1</v>
      </c>
      <c r="AS19" s="393">
        <v>15</v>
      </c>
      <c r="AT19" s="393"/>
      <c r="AU19" s="393"/>
      <c r="AV19" s="393"/>
      <c r="AW19" s="393"/>
      <c r="AX19" s="393">
        <v>4</v>
      </c>
      <c r="AY19" s="393">
        <v>1</v>
      </c>
      <c r="AZ19" s="393"/>
      <c r="BA19" s="393"/>
      <c r="BB19" s="393"/>
      <c r="BC19" s="393"/>
      <c r="BD19" s="393">
        <f>SUM(AR19:BC20)</f>
        <v>21</v>
      </c>
      <c r="BE19" s="393"/>
      <c r="BF19" s="393"/>
      <c r="BG19" s="393"/>
      <c r="BH19" s="393"/>
      <c r="BI19" s="393"/>
      <c r="BJ19" s="393">
        <v>14</v>
      </c>
      <c r="BK19" s="393"/>
      <c r="BL19" s="393">
        <v>1</v>
      </c>
      <c r="BM19" s="393"/>
      <c r="BN19" s="393"/>
      <c r="BO19" s="393"/>
      <c r="BP19" s="393">
        <v>22</v>
      </c>
      <c r="BQ19" s="393">
        <f>SUM(BE19:BP20)</f>
        <v>37</v>
      </c>
      <c r="BR19" s="394"/>
      <c r="BS19" s="394"/>
      <c r="BT19" s="394"/>
      <c r="BU19" s="394"/>
      <c r="BV19" s="394"/>
      <c r="BW19" s="394"/>
      <c r="BX19" s="394"/>
      <c r="BY19" s="394">
        <v>37</v>
      </c>
      <c r="BZ19" s="394"/>
      <c r="CA19" s="394">
        <v>1</v>
      </c>
      <c r="CB19" s="394"/>
      <c r="CC19" s="394">
        <v>14</v>
      </c>
      <c r="CD19" s="393">
        <f>SUM(BR19:CC20)</f>
        <v>52</v>
      </c>
      <c r="CE19" s="439">
        <v>4</v>
      </c>
      <c r="CF19" s="387"/>
      <c r="CG19" s="387"/>
      <c r="CH19" s="387"/>
      <c r="CI19" s="387"/>
      <c r="CJ19" s="387"/>
      <c r="CK19" s="387"/>
      <c r="CL19" s="387"/>
      <c r="CM19" s="387"/>
      <c r="CN19" s="439">
        <v>30</v>
      </c>
      <c r="CO19" s="387"/>
      <c r="CP19" s="390"/>
      <c r="CQ19" s="433">
        <f>SUM(CE19:CP20)</f>
        <v>34</v>
      </c>
      <c r="CR19" s="439"/>
      <c r="CS19" s="387"/>
      <c r="CT19" s="387"/>
      <c r="CU19" s="387">
        <v>3</v>
      </c>
      <c r="CV19" s="387"/>
      <c r="CW19" s="387"/>
      <c r="CX19" s="387"/>
      <c r="CY19" s="387"/>
      <c r="CZ19" s="387">
        <v>8</v>
      </c>
      <c r="DA19" s="387"/>
      <c r="DB19" s="387"/>
      <c r="DC19" s="404">
        <v>15</v>
      </c>
      <c r="DD19" s="412">
        <f>SUM(CR19:DC20)</f>
        <v>26</v>
      </c>
      <c r="DE19" s="541"/>
      <c r="DF19" s="525"/>
      <c r="DG19" s="525"/>
      <c r="DH19" s="525"/>
      <c r="DI19" s="525"/>
      <c r="DJ19" s="525"/>
      <c r="DK19" s="525"/>
      <c r="DL19" s="525"/>
      <c r="DM19" s="525"/>
      <c r="DN19" s="525"/>
      <c r="DO19" s="525"/>
      <c r="DP19" s="526"/>
      <c r="DQ19" s="533">
        <f>SUM(DE19:DP20)</f>
        <v>0</v>
      </c>
      <c r="DR19" s="579"/>
      <c r="DS19" s="481">
        <f>'Determ días de vacaciones'!S17</f>
        <v>44</v>
      </c>
      <c r="DT19" s="437">
        <f>K19+DS19</f>
        <v>43887</v>
      </c>
      <c r="DU19" s="582"/>
      <c r="DV19" s="527"/>
      <c r="DW19" s="413">
        <f>ROUNDDOWN(($DW$2-H19)/365,0)*30</f>
        <v>270</v>
      </c>
      <c r="DX19" s="357">
        <f>Q19+AD19+AQ19+BD19+BQ19+CD19+CQ19+DD19+DQ19</f>
        <v>209</v>
      </c>
      <c r="DY19" s="513">
        <f>P19-DX19</f>
        <v>61</v>
      </c>
      <c r="DZ19" s="363">
        <v>30</v>
      </c>
      <c r="EA19" s="363">
        <v>31</v>
      </c>
      <c r="EB19" s="363"/>
      <c r="EC19" s="363"/>
      <c r="ED19" s="363"/>
      <c r="EE19" s="363"/>
      <c r="EF19" s="363"/>
      <c r="EG19" s="363"/>
      <c r="EH19" s="363"/>
      <c r="EI19" s="363"/>
      <c r="EJ19" s="363"/>
      <c r="EK19" s="363"/>
      <c r="EL19" s="363"/>
      <c r="EM19" s="363"/>
      <c r="EN19" s="357">
        <f>SUM(DZ19:EM20)</f>
        <v>61</v>
      </c>
    </row>
    <row r="20" spans="1:144" ht="28.5" customHeight="1" x14ac:dyDescent="0.35">
      <c r="A20" s="396"/>
      <c r="B20" s="613"/>
      <c r="C20" s="411"/>
      <c r="D20" s="398"/>
      <c r="E20" s="274" t="s">
        <v>225</v>
      </c>
      <c r="F20" s="270">
        <v>30</v>
      </c>
      <c r="G20" s="416"/>
      <c r="H20" s="512"/>
      <c r="I20" s="601"/>
      <c r="J20" s="602"/>
      <c r="K20" s="492"/>
      <c r="L20" s="429"/>
      <c r="M20" s="370"/>
      <c r="N20" s="653"/>
      <c r="O20" s="673"/>
      <c r="P20" s="660"/>
      <c r="Q20" s="395"/>
      <c r="R20" s="393"/>
      <c r="S20" s="393"/>
      <c r="T20" s="393"/>
      <c r="U20" s="393"/>
      <c r="V20" s="393"/>
      <c r="W20" s="393"/>
      <c r="X20" s="393"/>
      <c r="Y20" s="393"/>
      <c r="Z20" s="393"/>
      <c r="AA20" s="393"/>
      <c r="AB20" s="393"/>
      <c r="AC20" s="393"/>
      <c r="AD20" s="393"/>
      <c r="AE20" s="393"/>
      <c r="AF20" s="393"/>
      <c r="AG20" s="393"/>
      <c r="AH20" s="393"/>
      <c r="AI20" s="393"/>
      <c r="AJ20" s="393"/>
      <c r="AK20" s="393"/>
      <c r="AL20" s="393"/>
      <c r="AM20" s="393"/>
      <c r="AN20" s="393"/>
      <c r="AO20" s="393"/>
      <c r="AP20" s="393"/>
      <c r="AQ20" s="393"/>
      <c r="AR20" s="393"/>
      <c r="AS20" s="393"/>
      <c r="AT20" s="393"/>
      <c r="AU20" s="393"/>
      <c r="AV20" s="393"/>
      <c r="AW20" s="393"/>
      <c r="AX20" s="393"/>
      <c r="AY20" s="393"/>
      <c r="AZ20" s="393"/>
      <c r="BA20" s="393"/>
      <c r="BB20" s="393"/>
      <c r="BC20" s="393"/>
      <c r="BD20" s="393"/>
      <c r="BE20" s="393"/>
      <c r="BF20" s="393"/>
      <c r="BG20" s="393"/>
      <c r="BH20" s="393"/>
      <c r="BI20" s="393"/>
      <c r="BJ20" s="393"/>
      <c r="BK20" s="393"/>
      <c r="BL20" s="393"/>
      <c r="BM20" s="393"/>
      <c r="BN20" s="393"/>
      <c r="BO20" s="393"/>
      <c r="BP20" s="393"/>
      <c r="BQ20" s="393"/>
      <c r="BR20" s="395"/>
      <c r="BS20" s="395"/>
      <c r="BT20" s="395"/>
      <c r="BU20" s="395"/>
      <c r="BV20" s="395"/>
      <c r="BW20" s="395"/>
      <c r="BX20" s="395"/>
      <c r="BY20" s="395"/>
      <c r="BZ20" s="395"/>
      <c r="CA20" s="395"/>
      <c r="CB20" s="395"/>
      <c r="CC20" s="395"/>
      <c r="CD20" s="393"/>
      <c r="CE20" s="440"/>
      <c r="CF20" s="377"/>
      <c r="CG20" s="377"/>
      <c r="CH20" s="377"/>
      <c r="CI20" s="377"/>
      <c r="CJ20" s="377"/>
      <c r="CK20" s="377"/>
      <c r="CL20" s="377"/>
      <c r="CM20" s="377"/>
      <c r="CN20" s="440"/>
      <c r="CO20" s="377"/>
      <c r="CP20" s="391"/>
      <c r="CQ20" s="433"/>
      <c r="CR20" s="440"/>
      <c r="CS20" s="377"/>
      <c r="CT20" s="377"/>
      <c r="CU20" s="377"/>
      <c r="CV20" s="377"/>
      <c r="CW20" s="377"/>
      <c r="CX20" s="377"/>
      <c r="CY20" s="377"/>
      <c r="CZ20" s="377"/>
      <c r="DA20" s="377"/>
      <c r="DB20" s="377"/>
      <c r="DC20" s="405"/>
      <c r="DD20" s="412"/>
      <c r="DE20" s="542"/>
      <c r="DF20" s="529"/>
      <c r="DG20" s="529"/>
      <c r="DH20" s="529"/>
      <c r="DI20" s="529"/>
      <c r="DJ20" s="529"/>
      <c r="DK20" s="529"/>
      <c r="DL20" s="529"/>
      <c r="DM20" s="529"/>
      <c r="DN20" s="529"/>
      <c r="DO20" s="529"/>
      <c r="DP20" s="530"/>
      <c r="DQ20" s="533"/>
      <c r="DR20" s="579"/>
      <c r="DS20" s="482"/>
      <c r="DT20" s="438"/>
      <c r="DU20" s="582"/>
      <c r="DV20" s="576"/>
      <c r="DW20" s="418"/>
      <c r="DX20" s="358"/>
      <c r="DY20" s="514"/>
      <c r="DZ20" s="364"/>
      <c r="EA20" s="364"/>
      <c r="EB20" s="364"/>
      <c r="EC20" s="364"/>
      <c r="ED20" s="364"/>
      <c r="EE20" s="364"/>
      <c r="EF20" s="364"/>
      <c r="EG20" s="364"/>
      <c r="EH20" s="364"/>
      <c r="EI20" s="364"/>
      <c r="EJ20" s="364"/>
      <c r="EK20" s="364"/>
      <c r="EL20" s="364"/>
      <c r="EM20" s="364"/>
      <c r="EN20" s="358"/>
    </row>
    <row r="21" spans="1:144" ht="28.5" customHeight="1" x14ac:dyDescent="0.35">
      <c r="A21" s="396">
        <v>9</v>
      </c>
      <c r="B21" s="614" t="s">
        <v>361</v>
      </c>
      <c r="C21" s="411" t="s">
        <v>233</v>
      </c>
      <c r="D21" s="410" t="s">
        <v>356</v>
      </c>
      <c r="E21" s="256" t="s">
        <v>234</v>
      </c>
      <c r="F21" s="257">
        <v>30</v>
      </c>
      <c r="G21" s="426" t="e">
        <f>F21+F22+#REF!+#REF!+#REF!+#REF!+#REF!+#REF!+#REF!</f>
        <v>#REF!</v>
      </c>
      <c r="H21" s="511">
        <v>40787</v>
      </c>
      <c r="I21" s="596">
        <f>+D21+8*360</f>
        <v>43605</v>
      </c>
      <c r="J21" s="597">
        <v>240</v>
      </c>
      <c r="K21" s="490">
        <f>I21+360</f>
        <v>43965</v>
      </c>
      <c r="L21" s="437">
        <f>K21+DS21</f>
        <v>44027</v>
      </c>
      <c r="M21" s="369">
        <v>30</v>
      </c>
      <c r="N21" s="649">
        <f>+L21+360</f>
        <v>44387</v>
      </c>
      <c r="O21" s="671"/>
      <c r="P21" s="658">
        <f>ROUNDDOWN(($P$2-D21)/365,0)*30</f>
        <v>270</v>
      </c>
      <c r="Q21" s="394">
        <v>15</v>
      </c>
      <c r="R21" s="393"/>
      <c r="S21" s="393"/>
      <c r="T21" s="393"/>
      <c r="U21" s="393"/>
      <c r="V21" s="393"/>
      <c r="W21" s="393"/>
      <c r="X21" s="393"/>
      <c r="Y21" s="393"/>
      <c r="Z21" s="393"/>
      <c r="AA21" s="393"/>
      <c r="AB21" s="393"/>
      <c r="AC21" s="393"/>
      <c r="AD21" s="393">
        <f>SUM(R21:AC22)</f>
        <v>0</v>
      </c>
      <c r="AE21" s="393"/>
      <c r="AF21" s="393"/>
      <c r="AG21" s="393"/>
      <c r="AH21" s="393"/>
      <c r="AI21" s="393"/>
      <c r="AJ21" s="393"/>
      <c r="AK21" s="393"/>
      <c r="AL21" s="393"/>
      <c r="AM21" s="393"/>
      <c r="AN21" s="393"/>
      <c r="AO21" s="393"/>
      <c r="AP21" s="393"/>
      <c r="AQ21" s="393">
        <f>SUM(AE21:AP21)</f>
        <v>0</v>
      </c>
      <c r="AR21" s="393"/>
      <c r="AS21" s="393">
        <v>14</v>
      </c>
      <c r="AT21" s="393"/>
      <c r="AU21" s="393"/>
      <c r="AV21" s="393"/>
      <c r="AW21" s="393"/>
      <c r="AX21" s="393"/>
      <c r="AY21" s="393"/>
      <c r="AZ21" s="393"/>
      <c r="BA21" s="393"/>
      <c r="BB21" s="393"/>
      <c r="BC21" s="393"/>
      <c r="BD21" s="393">
        <f>SUM(AR21:BC21)</f>
        <v>14</v>
      </c>
      <c r="BE21" s="393"/>
      <c r="BF21" s="393">
        <v>1</v>
      </c>
      <c r="BG21" s="393"/>
      <c r="BH21" s="393">
        <v>1</v>
      </c>
      <c r="BI21" s="393"/>
      <c r="BJ21" s="393">
        <v>5</v>
      </c>
      <c r="BK21" s="393"/>
      <c r="BL21" s="393"/>
      <c r="BM21" s="393"/>
      <c r="BN21" s="393"/>
      <c r="BO21" s="393"/>
      <c r="BP21" s="393"/>
      <c r="BQ21" s="393">
        <f>SUM(BE21:BP21)</f>
        <v>7</v>
      </c>
      <c r="BR21" s="394"/>
      <c r="BS21" s="394"/>
      <c r="BT21" s="394"/>
      <c r="BU21" s="394"/>
      <c r="BV21" s="394"/>
      <c r="BW21" s="394"/>
      <c r="BX21" s="394"/>
      <c r="BY21" s="394"/>
      <c r="BZ21" s="394"/>
      <c r="CA21" s="394"/>
      <c r="CB21" s="394"/>
      <c r="CC21" s="394"/>
      <c r="CD21" s="393">
        <f>SUM(BR21:CC21)</f>
        <v>0</v>
      </c>
      <c r="CE21" s="388"/>
      <c r="CF21" s="387"/>
      <c r="CG21" s="387">
        <v>15</v>
      </c>
      <c r="CH21" s="387"/>
      <c r="CI21" s="387"/>
      <c r="CJ21" s="387"/>
      <c r="CK21" s="387"/>
      <c r="CL21" s="387"/>
      <c r="CM21" s="387"/>
      <c r="CN21" s="387"/>
      <c r="CO21" s="387"/>
      <c r="CP21" s="404"/>
      <c r="CQ21" s="412">
        <f>SUM(CE21:CP21)</f>
        <v>15</v>
      </c>
      <c r="CR21" s="388"/>
      <c r="CS21" s="387"/>
      <c r="CT21" s="387"/>
      <c r="CU21" s="387"/>
      <c r="CV21" s="387"/>
      <c r="CW21" s="387"/>
      <c r="CX21" s="387">
        <v>14</v>
      </c>
      <c r="CY21" s="387"/>
      <c r="CZ21" s="387"/>
      <c r="DA21" s="387"/>
      <c r="DB21" s="387"/>
      <c r="DC21" s="404"/>
      <c r="DD21" s="412">
        <f>SUM(CR21:DC21)</f>
        <v>14</v>
      </c>
      <c r="DE21" s="524"/>
      <c r="DF21" s="525"/>
      <c r="DG21" s="525"/>
      <c r="DH21" s="525"/>
      <c r="DI21" s="525"/>
      <c r="DJ21" s="525"/>
      <c r="DK21" s="525"/>
      <c r="DL21" s="525"/>
      <c r="DM21" s="525"/>
      <c r="DN21" s="525"/>
      <c r="DO21" s="525"/>
      <c r="DP21" s="526"/>
      <c r="DQ21" s="533">
        <f>SUM(DE21:DP21)</f>
        <v>0</v>
      </c>
      <c r="DR21" s="579"/>
      <c r="DS21" s="481">
        <f>'Determ días de vacaciones'!S18</f>
        <v>62</v>
      </c>
      <c r="DU21" s="582"/>
      <c r="DV21" s="527"/>
      <c r="DW21" s="413">
        <f>ROUNDDOWN(($DW$2-H21)/365,0)*30</f>
        <v>270</v>
      </c>
      <c r="DX21" s="357">
        <f>Q21+AD21+AQ21+BD21+BQ21+CD21+CQ21+DD21+DQ21</f>
        <v>65</v>
      </c>
      <c r="DY21" s="513">
        <f>P21-DX21</f>
        <v>205</v>
      </c>
      <c r="DZ21" s="363">
        <v>30</v>
      </c>
      <c r="EA21" s="363">
        <v>31</v>
      </c>
      <c r="EB21" s="363">
        <v>31</v>
      </c>
      <c r="EC21" s="363">
        <v>28</v>
      </c>
      <c r="ED21" s="363">
        <v>31</v>
      </c>
      <c r="EE21" s="363">
        <v>30</v>
      </c>
      <c r="EF21" s="363">
        <v>24</v>
      </c>
      <c r="EG21" s="363"/>
      <c r="EH21" s="363"/>
      <c r="EI21" s="363"/>
      <c r="EJ21" s="363"/>
      <c r="EK21" s="363"/>
      <c r="EL21" s="363"/>
      <c r="EM21" s="363"/>
      <c r="EN21" s="357">
        <f>SUM(DZ21:EM22)</f>
        <v>205</v>
      </c>
    </row>
    <row r="22" spans="1:144" ht="28.5" customHeight="1" x14ac:dyDescent="0.35">
      <c r="A22" s="396"/>
      <c r="B22" s="609"/>
      <c r="C22" s="411"/>
      <c r="D22" s="398"/>
      <c r="E22" s="271" t="s">
        <v>235</v>
      </c>
      <c r="F22" s="270">
        <v>30</v>
      </c>
      <c r="G22" s="416"/>
      <c r="H22" s="512"/>
      <c r="I22" s="601"/>
      <c r="J22" s="602"/>
      <c r="K22" s="492"/>
      <c r="L22" s="429"/>
      <c r="M22" s="370"/>
      <c r="N22" s="653"/>
      <c r="O22" s="673"/>
      <c r="P22" s="660"/>
      <c r="Q22" s="395"/>
      <c r="R22" s="393"/>
      <c r="S22" s="393"/>
      <c r="T22" s="393"/>
      <c r="U22" s="393"/>
      <c r="V22" s="393"/>
      <c r="W22" s="393"/>
      <c r="X22" s="393"/>
      <c r="Y22" s="393"/>
      <c r="Z22" s="393"/>
      <c r="AA22" s="393"/>
      <c r="AB22" s="393"/>
      <c r="AC22" s="393"/>
      <c r="AD22" s="393"/>
      <c r="AE22" s="393"/>
      <c r="AF22" s="393"/>
      <c r="AG22" s="393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  <c r="AR22" s="393"/>
      <c r="AS22" s="393"/>
      <c r="AT22" s="393"/>
      <c r="AU22" s="393"/>
      <c r="AV22" s="393"/>
      <c r="AW22" s="393"/>
      <c r="AX22" s="393"/>
      <c r="AY22" s="393"/>
      <c r="AZ22" s="393"/>
      <c r="BA22" s="393"/>
      <c r="BB22" s="393"/>
      <c r="BC22" s="393"/>
      <c r="BD22" s="393"/>
      <c r="BE22" s="393"/>
      <c r="BF22" s="393"/>
      <c r="BG22" s="393"/>
      <c r="BH22" s="393"/>
      <c r="BI22" s="393"/>
      <c r="BJ22" s="393"/>
      <c r="BK22" s="393"/>
      <c r="BL22" s="393"/>
      <c r="BM22" s="393"/>
      <c r="BN22" s="393"/>
      <c r="BO22" s="393"/>
      <c r="BP22" s="393"/>
      <c r="BQ22" s="393"/>
      <c r="BR22" s="395"/>
      <c r="BS22" s="395"/>
      <c r="BT22" s="395"/>
      <c r="BU22" s="395"/>
      <c r="BV22" s="395"/>
      <c r="BW22" s="395"/>
      <c r="BX22" s="395"/>
      <c r="BY22" s="395"/>
      <c r="BZ22" s="395"/>
      <c r="CA22" s="395"/>
      <c r="CB22" s="395"/>
      <c r="CC22" s="395"/>
      <c r="CD22" s="393"/>
      <c r="CE22" s="389"/>
      <c r="CF22" s="377"/>
      <c r="CG22" s="377"/>
      <c r="CH22" s="377"/>
      <c r="CI22" s="377"/>
      <c r="CJ22" s="377"/>
      <c r="CK22" s="377"/>
      <c r="CL22" s="377"/>
      <c r="CM22" s="377"/>
      <c r="CN22" s="377"/>
      <c r="CO22" s="377"/>
      <c r="CP22" s="405"/>
      <c r="CQ22" s="412"/>
      <c r="CR22" s="389"/>
      <c r="CS22" s="377"/>
      <c r="CT22" s="377"/>
      <c r="CU22" s="377"/>
      <c r="CV22" s="377"/>
      <c r="CW22" s="377"/>
      <c r="CX22" s="377"/>
      <c r="CY22" s="377"/>
      <c r="CZ22" s="377"/>
      <c r="DA22" s="377"/>
      <c r="DB22" s="377"/>
      <c r="DC22" s="405"/>
      <c r="DD22" s="412"/>
      <c r="DE22" s="528"/>
      <c r="DF22" s="529"/>
      <c r="DG22" s="529"/>
      <c r="DH22" s="529"/>
      <c r="DI22" s="529"/>
      <c r="DJ22" s="529"/>
      <c r="DK22" s="529"/>
      <c r="DL22" s="529"/>
      <c r="DM22" s="529"/>
      <c r="DN22" s="529"/>
      <c r="DO22" s="529"/>
      <c r="DP22" s="530"/>
      <c r="DQ22" s="533"/>
      <c r="DR22" s="579"/>
      <c r="DS22" s="482"/>
      <c r="DT22" s="438"/>
      <c r="DU22" s="582"/>
      <c r="DV22" s="576"/>
      <c r="DW22" s="418"/>
      <c r="DX22" s="358"/>
      <c r="DY22" s="51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58"/>
    </row>
    <row r="23" spans="1:144" ht="28.5" customHeight="1" x14ac:dyDescent="0.35">
      <c r="A23" s="396">
        <v>10</v>
      </c>
      <c r="B23" s="614" t="s">
        <v>360</v>
      </c>
      <c r="C23" s="411" t="s">
        <v>233</v>
      </c>
      <c r="D23" s="398" t="s">
        <v>357</v>
      </c>
      <c r="E23" s="275" t="s">
        <v>243</v>
      </c>
      <c r="F23" s="262">
        <v>30</v>
      </c>
      <c r="G23" s="426" t="e">
        <f>F23+F24+#REF!+#REF!+#REF!+#REF!+#REF!+#REF!+#REF!</f>
        <v>#REF!</v>
      </c>
      <c r="H23" s="511">
        <v>40756</v>
      </c>
      <c r="I23" s="596">
        <f>+D23+8*360</f>
        <v>43544</v>
      </c>
      <c r="J23" s="597">
        <v>240</v>
      </c>
      <c r="K23" s="687">
        <f>I23+360</f>
        <v>43904</v>
      </c>
      <c r="L23" s="429"/>
      <c r="M23" s="369">
        <v>30</v>
      </c>
      <c r="N23" s="687">
        <f>K23+DS23+360</f>
        <v>44356</v>
      </c>
      <c r="O23" s="671"/>
      <c r="P23" s="658">
        <f>ROUNDDOWN(($P$2-D23)/365,0)*30</f>
        <v>270</v>
      </c>
      <c r="Q23" s="394"/>
      <c r="R23" s="393"/>
      <c r="S23" s="393"/>
      <c r="T23" s="393"/>
      <c r="U23" s="393"/>
      <c r="V23" s="393"/>
      <c r="W23" s="393"/>
      <c r="X23" s="393"/>
      <c r="Y23" s="393"/>
      <c r="Z23" s="393"/>
      <c r="AA23" s="393"/>
      <c r="AB23" s="393"/>
      <c r="AC23" s="393"/>
      <c r="AD23" s="393">
        <f>SUM(R23:AC24)</f>
        <v>0</v>
      </c>
      <c r="AE23" s="393"/>
      <c r="AF23" s="393"/>
      <c r="AG23" s="393"/>
      <c r="AH23" s="393"/>
      <c r="AI23" s="393"/>
      <c r="AJ23" s="393"/>
      <c r="AK23" s="393"/>
      <c r="AL23" s="393"/>
      <c r="AM23" s="393"/>
      <c r="AN23" s="393"/>
      <c r="AO23" s="393"/>
      <c r="AP23" s="393"/>
      <c r="AQ23" s="393">
        <f>SUM(AE23:AP23)</f>
        <v>0</v>
      </c>
      <c r="AR23" s="393"/>
      <c r="AS23" s="393"/>
      <c r="AT23" s="393"/>
      <c r="AU23" s="393"/>
      <c r="AV23" s="393"/>
      <c r="AW23" s="393">
        <v>6</v>
      </c>
      <c r="AX23" s="393"/>
      <c r="AY23" s="393"/>
      <c r="AZ23" s="393"/>
      <c r="BA23" s="393"/>
      <c r="BB23" s="393"/>
      <c r="BC23" s="393"/>
      <c r="BD23" s="393">
        <f>SUM(AR23:BC23)</f>
        <v>6</v>
      </c>
      <c r="BE23" s="393"/>
      <c r="BF23" s="393"/>
      <c r="BG23" s="393"/>
      <c r="BH23" s="393"/>
      <c r="BI23" s="393"/>
      <c r="BJ23" s="393"/>
      <c r="BK23" s="393"/>
      <c r="BL23" s="393"/>
      <c r="BM23" s="393"/>
      <c r="BN23" s="393"/>
      <c r="BO23" s="393"/>
      <c r="BP23" s="393"/>
      <c r="BQ23" s="393">
        <f>SUM(BE23:BP23)</f>
        <v>0</v>
      </c>
      <c r="BR23" s="394"/>
      <c r="BS23" s="394"/>
      <c r="BT23" s="394"/>
      <c r="BU23" s="394"/>
      <c r="BV23" s="394"/>
      <c r="BW23" s="394"/>
      <c r="BX23" s="394"/>
      <c r="BY23" s="394"/>
      <c r="BZ23" s="394"/>
      <c r="CA23" s="394"/>
      <c r="CB23" s="394"/>
      <c r="CC23" s="394"/>
      <c r="CD23" s="393">
        <f>SUM(BR23:CC23)</f>
        <v>0</v>
      </c>
      <c r="CE23" s="388"/>
      <c r="CF23" s="387"/>
      <c r="CG23" s="387"/>
      <c r="CH23" s="387"/>
      <c r="CI23" s="387"/>
      <c r="CJ23" s="387"/>
      <c r="CK23" s="387"/>
      <c r="CL23" s="387"/>
      <c r="CM23" s="387"/>
      <c r="CN23" s="387"/>
      <c r="CO23" s="387"/>
      <c r="CP23" s="404"/>
      <c r="CQ23" s="412">
        <f>SUM(CE23:CP23)</f>
        <v>0</v>
      </c>
      <c r="CR23" s="388"/>
      <c r="CS23" s="387"/>
      <c r="CT23" s="387"/>
      <c r="CU23" s="387"/>
      <c r="CV23" s="387"/>
      <c r="CW23" s="387"/>
      <c r="CX23" s="387"/>
      <c r="CY23" s="387"/>
      <c r="CZ23" s="387"/>
      <c r="DA23" s="387"/>
      <c r="DB23" s="387"/>
      <c r="DC23" s="404"/>
      <c r="DD23" s="412">
        <f>SUM(CR23:DC23)</f>
        <v>0</v>
      </c>
      <c r="DE23" s="524"/>
      <c r="DF23" s="525"/>
      <c r="DG23" s="525"/>
      <c r="DH23" s="525"/>
      <c r="DI23" s="525"/>
      <c r="DJ23" s="525"/>
      <c r="DK23" s="525"/>
      <c r="DL23" s="525"/>
      <c r="DM23" s="525"/>
      <c r="DN23" s="525"/>
      <c r="DO23" s="525"/>
      <c r="DP23" s="526"/>
      <c r="DQ23" s="533">
        <f>SUM(DE23:DP23)</f>
        <v>0</v>
      </c>
      <c r="DR23" s="579"/>
      <c r="DS23" s="481">
        <f>'Determ días de vacaciones'!S19</f>
        <v>92</v>
      </c>
      <c r="DU23" s="582"/>
      <c r="DV23" s="527"/>
      <c r="DW23" s="413">
        <f>ROUNDDOWN(($DW$2-H23)/365,0)*30</f>
        <v>270</v>
      </c>
      <c r="DX23" s="436">
        <f>SUM(BD23,BQ23)</f>
        <v>6</v>
      </c>
      <c r="DY23" s="513">
        <f>P23-DX23</f>
        <v>264</v>
      </c>
      <c r="DZ23" s="363">
        <v>30</v>
      </c>
      <c r="EA23" s="363">
        <v>31</v>
      </c>
      <c r="EB23" s="363">
        <v>31</v>
      </c>
      <c r="EC23" s="363">
        <v>28</v>
      </c>
      <c r="ED23" s="363">
        <v>31</v>
      </c>
      <c r="EE23" s="363">
        <v>30</v>
      </c>
      <c r="EF23" s="363">
        <v>31</v>
      </c>
      <c r="EG23" s="363">
        <v>30</v>
      </c>
      <c r="EH23" s="363">
        <v>22</v>
      </c>
      <c r="EI23" s="363"/>
      <c r="EJ23" s="363"/>
      <c r="EK23" s="363"/>
      <c r="EL23" s="363"/>
      <c r="EM23" s="363"/>
      <c r="EN23" s="357">
        <f>SUM(DZ23:EM24)</f>
        <v>264</v>
      </c>
    </row>
    <row r="24" spans="1:144" ht="28.5" customHeight="1" x14ac:dyDescent="0.35">
      <c r="A24" s="396"/>
      <c r="B24" s="612"/>
      <c r="C24" s="411"/>
      <c r="D24" s="398"/>
      <c r="E24" s="275" t="s">
        <v>244</v>
      </c>
      <c r="F24" s="269">
        <v>30</v>
      </c>
      <c r="G24" s="416"/>
      <c r="H24" s="512"/>
      <c r="I24" s="601"/>
      <c r="J24" s="602"/>
      <c r="K24" s="492"/>
      <c r="L24" s="429"/>
      <c r="M24" s="370"/>
      <c r="N24" s="653"/>
      <c r="O24" s="673"/>
      <c r="P24" s="660"/>
      <c r="Q24" s="395"/>
      <c r="R24" s="393"/>
      <c r="S24" s="393"/>
      <c r="T24" s="393"/>
      <c r="U24" s="393"/>
      <c r="V24" s="393"/>
      <c r="W24" s="393"/>
      <c r="X24" s="393"/>
      <c r="Y24" s="393"/>
      <c r="Z24" s="393"/>
      <c r="AA24" s="393"/>
      <c r="AB24" s="393"/>
      <c r="AC24" s="393"/>
      <c r="AD24" s="393"/>
      <c r="AE24" s="393"/>
      <c r="AF24" s="393"/>
      <c r="AG24" s="393"/>
      <c r="AH24" s="393"/>
      <c r="AI24" s="393"/>
      <c r="AJ24" s="393"/>
      <c r="AK24" s="393"/>
      <c r="AL24" s="393"/>
      <c r="AM24" s="393"/>
      <c r="AN24" s="393"/>
      <c r="AO24" s="393"/>
      <c r="AP24" s="393"/>
      <c r="AQ24" s="393"/>
      <c r="AR24" s="393"/>
      <c r="AS24" s="393"/>
      <c r="AT24" s="393"/>
      <c r="AU24" s="393"/>
      <c r="AV24" s="393"/>
      <c r="AW24" s="393"/>
      <c r="AX24" s="393"/>
      <c r="AY24" s="393"/>
      <c r="AZ24" s="393"/>
      <c r="BA24" s="393"/>
      <c r="BB24" s="393"/>
      <c r="BC24" s="393"/>
      <c r="BD24" s="393"/>
      <c r="BE24" s="393"/>
      <c r="BF24" s="393"/>
      <c r="BG24" s="393"/>
      <c r="BH24" s="393"/>
      <c r="BI24" s="393"/>
      <c r="BJ24" s="393"/>
      <c r="BK24" s="393"/>
      <c r="BL24" s="393"/>
      <c r="BM24" s="393"/>
      <c r="BN24" s="393"/>
      <c r="BO24" s="393"/>
      <c r="BP24" s="393"/>
      <c r="BQ24" s="393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3"/>
      <c r="CE24" s="389"/>
      <c r="CF24" s="377"/>
      <c r="CG24" s="377"/>
      <c r="CH24" s="377"/>
      <c r="CI24" s="377"/>
      <c r="CJ24" s="377"/>
      <c r="CK24" s="377"/>
      <c r="CL24" s="377"/>
      <c r="CM24" s="377"/>
      <c r="CN24" s="377"/>
      <c r="CO24" s="377"/>
      <c r="CP24" s="405"/>
      <c r="CQ24" s="412"/>
      <c r="CR24" s="389"/>
      <c r="CS24" s="377"/>
      <c r="CT24" s="377"/>
      <c r="CU24" s="377"/>
      <c r="CV24" s="377"/>
      <c r="CW24" s="377"/>
      <c r="CX24" s="377"/>
      <c r="CY24" s="377"/>
      <c r="CZ24" s="377"/>
      <c r="DA24" s="377"/>
      <c r="DB24" s="377"/>
      <c r="DC24" s="405"/>
      <c r="DD24" s="412"/>
      <c r="DE24" s="528"/>
      <c r="DF24" s="529"/>
      <c r="DG24" s="529"/>
      <c r="DH24" s="529"/>
      <c r="DI24" s="529"/>
      <c r="DJ24" s="529"/>
      <c r="DK24" s="529"/>
      <c r="DL24" s="529"/>
      <c r="DM24" s="529"/>
      <c r="DN24" s="529"/>
      <c r="DO24" s="529"/>
      <c r="DP24" s="530"/>
      <c r="DQ24" s="533"/>
      <c r="DR24" s="579"/>
      <c r="DS24" s="482"/>
      <c r="DT24" s="438"/>
      <c r="DU24" s="582"/>
      <c r="DV24" s="576"/>
      <c r="DW24" s="418"/>
      <c r="DX24" s="358"/>
      <c r="DY24" s="51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58"/>
    </row>
    <row r="25" spans="1:144" ht="28.5" customHeight="1" x14ac:dyDescent="0.35">
      <c r="A25" s="396">
        <v>11</v>
      </c>
      <c r="B25" s="608" t="s">
        <v>74</v>
      </c>
      <c r="C25" s="411" t="s">
        <v>252</v>
      </c>
      <c r="D25" s="398" t="s">
        <v>253</v>
      </c>
      <c r="E25" s="261"/>
      <c r="F25" s="257"/>
      <c r="G25" s="426" t="e">
        <f>F25+F26+#REF!+#REF!+#REF!+#REF!+#REF!+#REF!+#REF!</f>
        <v>#REF!</v>
      </c>
      <c r="H25" s="511"/>
      <c r="I25" s="603"/>
      <c r="J25" s="597"/>
      <c r="K25" s="689" t="s">
        <v>253</v>
      </c>
      <c r="L25" s="428"/>
      <c r="M25" s="369">
        <v>0</v>
      </c>
      <c r="N25" s="680">
        <f>+K25+DS25+360</f>
        <v>44359</v>
      </c>
      <c r="O25" s="671"/>
      <c r="P25" s="658">
        <f>ROUNDDOWN(($P$2-D25)/365,0)*30</f>
        <v>0</v>
      </c>
      <c r="Q25" s="394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3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  <c r="AR25" s="393"/>
      <c r="AS25" s="393"/>
      <c r="AT25" s="393"/>
      <c r="AU25" s="393"/>
      <c r="AV25" s="393"/>
      <c r="AW25" s="393"/>
      <c r="AX25" s="393"/>
      <c r="AY25" s="393"/>
      <c r="AZ25" s="393"/>
      <c r="BA25" s="393"/>
      <c r="BB25" s="393"/>
      <c r="BC25" s="393"/>
      <c r="BD25" s="393"/>
      <c r="BE25" s="393"/>
      <c r="BF25" s="393"/>
      <c r="BG25" s="393"/>
      <c r="BH25" s="393"/>
      <c r="BI25" s="393"/>
      <c r="BJ25" s="393"/>
      <c r="BK25" s="393"/>
      <c r="BL25" s="393"/>
      <c r="BM25" s="393"/>
      <c r="BN25" s="393"/>
      <c r="BO25" s="393"/>
      <c r="BP25" s="393"/>
      <c r="BQ25" s="393"/>
      <c r="BR25" s="394"/>
      <c r="BS25" s="394"/>
      <c r="BT25" s="394"/>
      <c r="BU25" s="394"/>
      <c r="BV25" s="394"/>
      <c r="BW25" s="394"/>
      <c r="BX25" s="394"/>
      <c r="BY25" s="394"/>
      <c r="BZ25" s="394"/>
      <c r="CA25" s="394"/>
      <c r="CB25" s="394"/>
      <c r="CC25" s="394"/>
      <c r="CD25" s="393"/>
      <c r="CE25" s="388"/>
      <c r="CF25" s="387"/>
      <c r="CG25" s="387"/>
      <c r="CH25" s="387"/>
      <c r="CI25" s="387"/>
      <c r="CJ25" s="387"/>
      <c r="CK25" s="387"/>
      <c r="CL25" s="387"/>
      <c r="CM25" s="387"/>
      <c r="CN25" s="387"/>
      <c r="CO25" s="387"/>
      <c r="CP25" s="404"/>
      <c r="CQ25" s="412"/>
      <c r="CR25" s="388"/>
      <c r="CS25" s="387"/>
      <c r="CT25" s="387"/>
      <c r="CU25" s="387"/>
      <c r="CV25" s="387"/>
      <c r="CW25" s="387"/>
      <c r="CX25" s="387"/>
      <c r="CY25" s="387"/>
      <c r="CZ25" s="387"/>
      <c r="DA25" s="387"/>
      <c r="DB25" s="387"/>
      <c r="DC25" s="390"/>
      <c r="DD25" s="433"/>
      <c r="DE25" s="524"/>
      <c r="DF25" s="525"/>
      <c r="DG25" s="525"/>
      <c r="DH25" s="525"/>
      <c r="DI25" s="525"/>
      <c r="DJ25" s="525"/>
      <c r="DK25" s="525"/>
      <c r="DL25" s="525"/>
      <c r="DM25" s="525"/>
      <c r="DN25" s="525"/>
      <c r="DO25" s="525"/>
      <c r="DP25" s="535"/>
      <c r="DQ25" s="536"/>
      <c r="DR25" s="681"/>
      <c r="DS25" s="481">
        <f>'Determ días de vacaciones'!S20</f>
        <v>137</v>
      </c>
      <c r="DT25" s="437"/>
      <c r="DU25" s="582"/>
      <c r="DV25" s="577"/>
      <c r="DW25" s="413"/>
      <c r="DX25" s="357">
        <f>Q25+AD25+AQ25+BD25+BQ25+CD25+CQ25+DD25</f>
        <v>0</v>
      </c>
      <c r="DY25" s="513">
        <f>P25-DX25</f>
        <v>0</v>
      </c>
      <c r="DZ25" s="363"/>
      <c r="EA25" s="363"/>
      <c r="EB25" s="363"/>
      <c r="EC25" s="363"/>
      <c r="ED25" s="363"/>
      <c r="EE25" s="363"/>
      <c r="EF25" s="363"/>
      <c r="EG25" s="363"/>
      <c r="EH25" s="363"/>
      <c r="EI25" s="363"/>
      <c r="EJ25" s="363"/>
      <c r="EK25" s="363"/>
      <c r="EL25" s="363"/>
      <c r="EM25" s="363"/>
      <c r="EN25" s="357">
        <f>SUM(DZ25:EM26)</f>
        <v>0</v>
      </c>
    </row>
    <row r="26" spans="1:144" ht="28.5" customHeight="1" x14ac:dyDescent="0.35">
      <c r="A26" s="396"/>
      <c r="B26" s="613"/>
      <c r="C26" s="411"/>
      <c r="D26" s="399"/>
      <c r="E26" s="271"/>
      <c r="F26" s="270"/>
      <c r="G26" s="416"/>
      <c r="H26" s="512"/>
      <c r="I26" s="601"/>
      <c r="J26" s="602"/>
      <c r="K26" s="492"/>
      <c r="L26" s="429"/>
      <c r="M26" s="370"/>
      <c r="N26" s="650"/>
      <c r="O26" s="673"/>
      <c r="P26" s="660"/>
      <c r="Q26" s="395"/>
      <c r="R26" s="393"/>
      <c r="S26" s="393"/>
      <c r="T26" s="393"/>
      <c r="U26" s="393"/>
      <c r="V26" s="393"/>
      <c r="W26" s="393"/>
      <c r="X26" s="393"/>
      <c r="Y26" s="393"/>
      <c r="Z26" s="393"/>
      <c r="AA26" s="393"/>
      <c r="AB26" s="393"/>
      <c r="AC26" s="393"/>
      <c r="AD26" s="393"/>
      <c r="AE26" s="393"/>
      <c r="AF26" s="393"/>
      <c r="AG26" s="393"/>
      <c r="AH26" s="393"/>
      <c r="AI26" s="393"/>
      <c r="AJ26" s="393"/>
      <c r="AK26" s="393"/>
      <c r="AL26" s="393"/>
      <c r="AM26" s="393"/>
      <c r="AN26" s="393"/>
      <c r="AO26" s="393"/>
      <c r="AP26" s="393"/>
      <c r="AQ26" s="393"/>
      <c r="AR26" s="393"/>
      <c r="AS26" s="393"/>
      <c r="AT26" s="393"/>
      <c r="AU26" s="393"/>
      <c r="AV26" s="393"/>
      <c r="AW26" s="393"/>
      <c r="AX26" s="393"/>
      <c r="AY26" s="393"/>
      <c r="AZ26" s="393"/>
      <c r="BA26" s="393"/>
      <c r="BB26" s="393"/>
      <c r="BC26" s="393"/>
      <c r="BD26" s="393"/>
      <c r="BE26" s="393"/>
      <c r="BF26" s="393"/>
      <c r="BG26" s="393"/>
      <c r="BH26" s="393"/>
      <c r="BI26" s="393"/>
      <c r="BJ26" s="393"/>
      <c r="BK26" s="393"/>
      <c r="BL26" s="393"/>
      <c r="BM26" s="393"/>
      <c r="BN26" s="393"/>
      <c r="BO26" s="393"/>
      <c r="BP26" s="393"/>
      <c r="BQ26" s="393"/>
      <c r="BR26" s="395"/>
      <c r="BS26" s="395"/>
      <c r="BT26" s="395"/>
      <c r="BU26" s="395"/>
      <c r="BV26" s="395"/>
      <c r="BW26" s="395"/>
      <c r="BX26" s="395"/>
      <c r="BY26" s="395"/>
      <c r="BZ26" s="395"/>
      <c r="CA26" s="395"/>
      <c r="CB26" s="395"/>
      <c r="CC26" s="395"/>
      <c r="CD26" s="393"/>
      <c r="CE26" s="389"/>
      <c r="CF26" s="377"/>
      <c r="CG26" s="377"/>
      <c r="CH26" s="377"/>
      <c r="CI26" s="377"/>
      <c r="CJ26" s="377"/>
      <c r="CK26" s="377"/>
      <c r="CL26" s="377"/>
      <c r="CM26" s="377"/>
      <c r="CN26" s="377"/>
      <c r="CO26" s="377"/>
      <c r="CP26" s="405"/>
      <c r="CQ26" s="412"/>
      <c r="CR26" s="389"/>
      <c r="CS26" s="377"/>
      <c r="CT26" s="377"/>
      <c r="CU26" s="377"/>
      <c r="CV26" s="377"/>
      <c r="CW26" s="377"/>
      <c r="CX26" s="377"/>
      <c r="CY26" s="377"/>
      <c r="CZ26" s="377"/>
      <c r="DA26" s="377"/>
      <c r="DB26" s="377"/>
      <c r="DC26" s="391"/>
      <c r="DD26" s="433"/>
      <c r="DE26" s="528"/>
      <c r="DF26" s="529"/>
      <c r="DG26" s="529"/>
      <c r="DH26" s="529"/>
      <c r="DI26" s="529"/>
      <c r="DJ26" s="529"/>
      <c r="DK26" s="529"/>
      <c r="DL26" s="529"/>
      <c r="DM26" s="529"/>
      <c r="DN26" s="529"/>
      <c r="DO26" s="529"/>
      <c r="DP26" s="537"/>
      <c r="DQ26" s="536"/>
      <c r="DR26" s="681"/>
      <c r="DS26" s="482"/>
      <c r="DT26" s="438"/>
      <c r="DU26" s="582"/>
      <c r="DV26" s="578"/>
      <c r="DW26" s="418"/>
      <c r="DX26" s="358"/>
      <c r="DY26" s="514"/>
      <c r="DZ26" s="364"/>
      <c r="EA26" s="364"/>
      <c r="EB26" s="364"/>
      <c r="EC26" s="364"/>
      <c r="ED26" s="364"/>
      <c r="EE26" s="364"/>
      <c r="EF26" s="364"/>
      <c r="EG26" s="364"/>
      <c r="EH26" s="364"/>
      <c r="EI26" s="364"/>
      <c r="EJ26" s="364"/>
      <c r="EK26" s="364"/>
      <c r="EL26" s="364"/>
      <c r="EM26" s="364"/>
      <c r="EN26" s="358"/>
    </row>
    <row r="27" spans="1:144" ht="28.5" customHeight="1" x14ac:dyDescent="0.35">
      <c r="A27" s="396">
        <v>12</v>
      </c>
      <c r="B27" s="614" t="s">
        <v>362</v>
      </c>
      <c r="C27" s="606"/>
      <c r="D27" s="381" t="s">
        <v>358</v>
      </c>
      <c r="E27" s="276" t="s">
        <v>254</v>
      </c>
      <c r="F27" s="257">
        <v>30</v>
      </c>
      <c r="G27" s="426" t="e">
        <f>F27+F28+#REF!+#REF!+#REF!+#REF!+#REF!+#REF!+#REF!</f>
        <v>#REF!</v>
      </c>
      <c r="H27" s="511">
        <v>40544</v>
      </c>
      <c r="I27" s="596">
        <f>+D27+8*360</f>
        <v>43697</v>
      </c>
      <c r="J27" s="597">
        <v>240</v>
      </c>
      <c r="K27" s="490">
        <f>I27+360</f>
        <v>44057</v>
      </c>
      <c r="L27" s="437">
        <f>K27+DS27</f>
        <v>44149</v>
      </c>
      <c r="M27" s="369">
        <v>0</v>
      </c>
      <c r="N27" s="649">
        <f>+L27+360</f>
        <v>44509</v>
      </c>
      <c r="O27" s="671"/>
      <c r="P27" s="658">
        <f>ROUNDDOWN(($P$2-D27)/365,0)*30</f>
        <v>270</v>
      </c>
      <c r="Q27" s="394"/>
      <c r="R27" s="394"/>
      <c r="S27" s="394"/>
      <c r="T27" s="394"/>
      <c r="U27" s="394"/>
      <c r="V27" s="394"/>
      <c r="W27" s="394"/>
      <c r="X27" s="394"/>
      <c r="Y27" s="394"/>
      <c r="Z27" s="394"/>
      <c r="AA27" s="394"/>
      <c r="AB27" s="394"/>
      <c r="AC27" s="394"/>
      <c r="AD27" s="394">
        <f>SUM(R27:AC28)</f>
        <v>0</v>
      </c>
      <c r="AE27" s="394">
        <v>10</v>
      </c>
      <c r="AF27" s="394"/>
      <c r="AG27" s="394"/>
      <c r="AH27" s="394"/>
      <c r="AI27" s="394"/>
      <c r="AJ27" s="394"/>
      <c r="AK27" s="394"/>
      <c r="AL27" s="394">
        <v>16</v>
      </c>
      <c r="AM27" s="394">
        <v>30</v>
      </c>
      <c r="AN27" s="394">
        <v>30</v>
      </c>
      <c r="AO27" s="394"/>
      <c r="AP27" s="394"/>
      <c r="AQ27" s="394">
        <f>SUM(AE27:AP27)</f>
        <v>86</v>
      </c>
      <c r="AR27" s="394"/>
      <c r="AS27" s="394"/>
      <c r="AT27" s="394"/>
      <c r="AU27" s="394"/>
      <c r="AV27" s="394"/>
      <c r="AW27" s="394"/>
      <c r="AX27" s="394"/>
      <c r="AY27" s="394">
        <v>3</v>
      </c>
      <c r="AZ27" s="394"/>
      <c r="BA27" s="394">
        <v>23</v>
      </c>
      <c r="BB27" s="394"/>
      <c r="BC27" s="394">
        <v>1</v>
      </c>
      <c r="BD27" s="394">
        <f>SUM(AR27:BC27)</f>
        <v>27</v>
      </c>
      <c r="BE27" s="394">
        <v>1</v>
      </c>
      <c r="BF27" s="394"/>
      <c r="BG27" s="394"/>
      <c r="BH27" s="394"/>
      <c r="BI27" s="394"/>
      <c r="BJ27" s="394"/>
      <c r="BK27" s="394"/>
      <c r="BL27" s="394"/>
      <c r="BM27" s="394"/>
      <c r="BN27" s="394"/>
      <c r="BO27" s="394">
        <v>1</v>
      </c>
      <c r="BP27" s="394"/>
      <c r="BQ27" s="394">
        <f>SUM(BE27:BP27)</f>
        <v>2</v>
      </c>
      <c r="BR27" s="394"/>
      <c r="BS27" s="394"/>
      <c r="BT27" s="394">
        <v>7</v>
      </c>
      <c r="BU27" s="394"/>
      <c r="BV27" s="394"/>
      <c r="BW27" s="394"/>
      <c r="BX27" s="394"/>
      <c r="BY27" s="394"/>
      <c r="BZ27" s="394"/>
      <c r="CA27" s="394"/>
      <c r="CB27" s="394"/>
      <c r="CC27" s="394">
        <v>4</v>
      </c>
      <c r="CD27" s="394">
        <f>SUM(BR27:CC27)</f>
        <v>11</v>
      </c>
      <c r="CE27" s="388">
        <v>54</v>
      </c>
      <c r="CF27" s="387"/>
      <c r="CG27" s="387"/>
      <c r="CH27" s="387"/>
      <c r="CI27" s="387"/>
      <c r="CJ27" s="387"/>
      <c r="CK27" s="387"/>
      <c r="CL27" s="387"/>
      <c r="CM27" s="387"/>
      <c r="CN27" s="387"/>
      <c r="CO27" s="387"/>
      <c r="CP27" s="404"/>
      <c r="CQ27" s="413">
        <f>SUM(CE27:CP27)</f>
        <v>54</v>
      </c>
      <c r="CR27" s="388"/>
      <c r="CS27" s="387"/>
      <c r="CT27" s="387"/>
      <c r="CU27" s="387"/>
      <c r="CV27" s="387"/>
      <c r="CW27" s="387"/>
      <c r="CX27" s="387">
        <v>9</v>
      </c>
      <c r="CY27" s="387"/>
      <c r="CZ27" s="387"/>
      <c r="DA27" s="387"/>
      <c r="DB27" s="387">
        <v>11</v>
      </c>
      <c r="DC27" s="404"/>
      <c r="DD27" s="413">
        <f>SUM(CR27:DC27)</f>
        <v>20</v>
      </c>
      <c r="DE27" s="524"/>
      <c r="DF27" s="525"/>
      <c r="DG27" s="525"/>
      <c r="DH27" s="525"/>
      <c r="DI27" s="525"/>
      <c r="DJ27" s="525"/>
      <c r="DK27" s="525"/>
      <c r="DL27" s="525"/>
      <c r="DM27" s="525"/>
      <c r="DN27" s="525"/>
      <c r="DO27" s="525"/>
      <c r="DP27" s="526"/>
      <c r="DQ27" s="527">
        <f>SUM(DE27:DP27)</f>
        <v>0</v>
      </c>
      <c r="DR27" s="579"/>
      <c r="DS27" s="481">
        <f>'Determ días de vacaciones'!S21</f>
        <v>92</v>
      </c>
      <c r="DU27" s="582"/>
      <c r="DV27" s="527"/>
      <c r="DW27" s="413">
        <f>ROUNDDOWN(($DW$2-H27)/365,0)*30</f>
        <v>270</v>
      </c>
      <c r="DX27" s="357">
        <f>Q27+AD27+AQ27+BD27+BQ27+CD27+CQ27+DD27</f>
        <v>200</v>
      </c>
      <c r="DY27" s="513">
        <f>P27-DX27</f>
        <v>70</v>
      </c>
      <c r="DZ27" s="363">
        <v>30</v>
      </c>
      <c r="EA27" s="363">
        <v>31</v>
      </c>
      <c r="EB27" s="363">
        <v>9</v>
      </c>
      <c r="EC27" s="363"/>
      <c r="ED27" s="363"/>
      <c r="EE27" s="363"/>
      <c r="EF27" s="363"/>
      <c r="EG27" s="363"/>
      <c r="EH27" s="363"/>
      <c r="EI27" s="363"/>
      <c r="EJ27" s="363"/>
      <c r="EK27" s="363"/>
      <c r="EL27" s="363"/>
      <c r="EM27" s="363"/>
      <c r="EN27" s="357">
        <f>SUM(DZ27:EM28)</f>
        <v>70</v>
      </c>
    </row>
    <row r="28" spans="1:144" ht="28.5" customHeight="1" x14ac:dyDescent="0.35">
      <c r="A28" s="396"/>
      <c r="B28" s="609"/>
      <c r="C28" s="607"/>
      <c r="D28" s="432"/>
      <c r="E28" s="276" t="s">
        <v>255</v>
      </c>
      <c r="F28" s="270">
        <v>30</v>
      </c>
      <c r="G28" s="416"/>
      <c r="H28" s="512"/>
      <c r="I28" s="621"/>
      <c r="J28" s="602"/>
      <c r="K28" s="492"/>
      <c r="L28" s="429"/>
      <c r="M28" s="370"/>
      <c r="N28" s="650"/>
      <c r="O28" s="673"/>
      <c r="P28" s="660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5"/>
      <c r="AT28" s="395"/>
      <c r="AU28" s="395"/>
      <c r="AV28" s="395"/>
      <c r="AW28" s="395"/>
      <c r="AX28" s="395"/>
      <c r="AY28" s="395"/>
      <c r="AZ28" s="395"/>
      <c r="BA28" s="395"/>
      <c r="BB28" s="395"/>
      <c r="BC28" s="395"/>
      <c r="BD28" s="395"/>
      <c r="BE28" s="395"/>
      <c r="BF28" s="395"/>
      <c r="BG28" s="395"/>
      <c r="BH28" s="395"/>
      <c r="BI28" s="395"/>
      <c r="BJ28" s="395"/>
      <c r="BK28" s="395"/>
      <c r="BL28" s="395"/>
      <c r="BM28" s="395"/>
      <c r="BN28" s="395"/>
      <c r="BO28" s="395"/>
      <c r="BP28" s="395"/>
      <c r="BQ28" s="395"/>
      <c r="BR28" s="395"/>
      <c r="BS28" s="395"/>
      <c r="BT28" s="395"/>
      <c r="BU28" s="395"/>
      <c r="BV28" s="395"/>
      <c r="BW28" s="395"/>
      <c r="BX28" s="395"/>
      <c r="BY28" s="395"/>
      <c r="BZ28" s="395"/>
      <c r="CA28" s="395"/>
      <c r="CB28" s="395"/>
      <c r="CC28" s="395"/>
      <c r="CD28" s="395"/>
      <c r="CE28" s="389"/>
      <c r="CF28" s="377"/>
      <c r="CG28" s="377"/>
      <c r="CH28" s="377"/>
      <c r="CI28" s="377"/>
      <c r="CJ28" s="377"/>
      <c r="CK28" s="377"/>
      <c r="CL28" s="377"/>
      <c r="CM28" s="377"/>
      <c r="CN28" s="377"/>
      <c r="CO28" s="377"/>
      <c r="CP28" s="405"/>
      <c r="CQ28" s="431"/>
      <c r="CR28" s="389"/>
      <c r="CS28" s="377"/>
      <c r="CT28" s="377"/>
      <c r="CU28" s="377"/>
      <c r="CV28" s="377"/>
      <c r="CW28" s="377"/>
      <c r="CX28" s="377"/>
      <c r="CY28" s="377"/>
      <c r="CZ28" s="377"/>
      <c r="DA28" s="377"/>
      <c r="DB28" s="377"/>
      <c r="DC28" s="405"/>
      <c r="DD28" s="431"/>
      <c r="DE28" s="528"/>
      <c r="DF28" s="529"/>
      <c r="DG28" s="529"/>
      <c r="DH28" s="529"/>
      <c r="DI28" s="529"/>
      <c r="DJ28" s="529"/>
      <c r="DK28" s="529"/>
      <c r="DL28" s="529"/>
      <c r="DM28" s="529"/>
      <c r="DN28" s="529"/>
      <c r="DO28" s="529"/>
      <c r="DP28" s="530"/>
      <c r="DQ28" s="531"/>
      <c r="DR28" s="579"/>
      <c r="DS28" s="482"/>
      <c r="DT28" s="438"/>
      <c r="DU28" s="582"/>
      <c r="DV28" s="531"/>
      <c r="DW28" s="418"/>
      <c r="DX28" s="358"/>
      <c r="DY28" s="51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58"/>
    </row>
    <row r="29" spans="1:144" ht="28.5" customHeight="1" x14ac:dyDescent="0.35">
      <c r="A29" s="396">
        <v>13</v>
      </c>
      <c r="B29" s="608" t="s">
        <v>21</v>
      </c>
      <c r="C29" s="411" t="s">
        <v>263</v>
      </c>
      <c r="D29" s="398" t="s">
        <v>253</v>
      </c>
      <c r="E29" s="261"/>
      <c r="F29" s="257"/>
      <c r="G29" s="426" t="e">
        <f>F29+F30+#REF!+#REF!+#REF!+#REF!+#REF!+#REF!</f>
        <v>#REF!</v>
      </c>
      <c r="H29" s="618"/>
      <c r="I29" s="622"/>
      <c r="J29" s="620"/>
      <c r="K29" s="689" t="s">
        <v>253</v>
      </c>
      <c r="L29" s="428"/>
      <c r="M29" s="369">
        <v>0</v>
      </c>
      <c r="N29" s="680">
        <f>+K29+DS29+360</f>
        <v>44359</v>
      </c>
      <c r="O29" s="674"/>
      <c r="P29" s="658">
        <f>ROUNDDOWN(($P$2-D29)/365,0)*30</f>
        <v>0</v>
      </c>
      <c r="Q29" s="394"/>
      <c r="R29" s="393"/>
      <c r="S29" s="393"/>
      <c r="T29" s="393"/>
      <c r="U29" s="393"/>
      <c r="V29" s="393"/>
      <c r="W29" s="393"/>
      <c r="X29" s="393">
        <v>15</v>
      </c>
      <c r="Y29" s="393"/>
      <c r="Z29" s="393"/>
      <c r="AA29" s="393"/>
      <c r="AB29" s="393"/>
      <c r="AC29" s="393">
        <v>7</v>
      </c>
      <c r="AD29" s="393"/>
      <c r="AE29" s="393"/>
      <c r="AF29" s="393"/>
      <c r="AG29" s="393"/>
      <c r="AH29" s="393"/>
      <c r="AI29" s="393"/>
      <c r="AJ29" s="393"/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  <c r="AV29" s="393"/>
      <c r="AW29" s="393"/>
      <c r="AX29" s="393"/>
      <c r="AY29" s="393"/>
      <c r="AZ29" s="393"/>
      <c r="BA29" s="393"/>
      <c r="BB29" s="393"/>
      <c r="BC29" s="393"/>
      <c r="BD29" s="393"/>
      <c r="BE29" s="393"/>
      <c r="BF29" s="393"/>
      <c r="BG29" s="393"/>
      <c r="BH29" s="393"/>
      <c r="BI29" s="393"/>
      <c r="BJ29" s="393"/>
      <c r="BK29" s="393"/>
      <c r="BL29" s="393"/>
      <c r="BM29" s="393"/>
      <c r="BN29" s="393"/>
      <c r="BO29" s="393"/>
      <c r="BP29" s="393"/>
      <c r="BQ29" s="393"/>
      <c r="BR29" s="394"/>
      <c r="BS29" s="394"/>
      <c r="BT29" s="394"/>
      <c r="BU29" s="394"/>
      <c r="BV29" s="394"/>
      <c r="BW29" s="394"/>
      <c r="BX29" s="394"/>
      <c r="BY29" s="394"/>
      <c r="BZ29" s="394"/>
      <c r="CA29" s="394"/>
      <c r="CB29" s="394"/>
      <c r="CC29" s="394"/>
      <c r="CD29" s="393"/>
      <c r="CE29" s="388"/>
      <c r="CF29" s="387"/>
      <c r="CG29" s="387"/>
      <c r="CH29" s="387"/>
      <c r="CI29" s="387"/>
      <c r="CJ29" s="387"/>
      <c r="CK29" s="387"/>
      <c r="CL29" s="387"/>
      <c r="CM29" s="387"/>
      <c r="CN29" s="387"/>
      <c r="CO29" s="387"/>
      <c r="CP29" s="404"/>
      <c r="CQ29" s="412"/>
      <c r="CR29" s="388"/>
      <c r="CS29" s="387"/>
      <c r="CT29" s="387"/>
      <c r="CU29" s="387"/>
      <c r="CV29" s="387"/>
      <c r="CW29" s="387"/>
      <c r="CX29" s="387"/>
      <c r="CY29" s="387"/>
      <c r="CZ29" s="387"/>
      <c r="DA29" s="387"/>
      <c r="DB29" s="387"/>
      <c r="DC29" s="390"/>
      <c r="DD29" s="433"/>
      <c r="DE29" s="524"/>
      <c r="DF29" s="525"/>
      <c r="DG29" s="525"/>
      <c r="DH29" s="525"/>
      <c r="DI29" s="525"/>
      <c r="DJ29" s="525"/>
      <c r="DK29" s="525"/>
      <c r="DL29" s="525"/>
      <c r="DM29" s="525"/>
      <c r="DN29" s="525"/>
      <c r="DO29" s="525"/>
      <c r="DP29" s="535"/>
      <c r="DQ29" s="536"/>
      <c r="DR29" s="681"/>
      <c r="DS29" s="481">
        <f>'Determ días de vacaciones'!S22</f>
        <v>137</v>
      </c>
      <c r="DT29" s="437"/>
      <c r="DU29" s="582"/>
      <c r="DV29" s="577"/>
      <c r="DW29" s="413"/>
      <c r="DX29" s="357">
        <f>AD29+AQ29+BD29+BQ29+CD29+CQ29+DD29+DQ29</f>
        <v>0</v>
      </c>
      <c r="DY29" s="513">
        <f>P29-DX29</f>
        <v>0</v>
      </c>
      <c r="DZ29" s="363"/>
      <c r="EA29" s="363"/>
      <c r="EB29" s="363"/>
      <c r="EC29" s="363"/>
      <c r="ED29" s="363"/>
      <c r="EE29" s="363"/>
      <c r="EF29" s="363"/>
      <c r="EG29" s="363"/>
      <c r="EH29" s="363"/>
      <c r="EI29" s="363"/>
      <c r="EJ29" s="363"/>
      <c r="EK29" s="363"/>
      <c r="EL29" s="363"/>
      <c r="EM29" s="363"/>
      <c r="EN29" s="357">
        <f>SUM(DZ29:EM30)</f>
        <v>0</v>
      </c>
    </row>
    <row r="30" spans="1:144" ht="28.5" customHeight="1" x14ac:dyDescent="0.35">
      <c r="A30" s="396"/>
      <c r="B30" s="613"/>
      <c r="C30" s="411"/>
      <c r="D30" s="398"/>
      <c r="E30" s="271"/>
      <c r="F30" s="270"/>
      <c r="G30" s="416"/>
      <c r="H30" s="619"/>
      <c r="I30" s="631"/>
      <c r="J30" s="605"/>
      <c r="K30" s="492"/>
      <c r="L30" s="429"/>
      <c r="M30" s="370"/>
      <c r="N30" s="650"/>
      <c r="O30" s="673"/>
      <c r="P30" s="660"/>
      <c r="Q30" s="395"/>
      <c r="R30" s="393"/>
      <c r="S30" s="393"/>
      <c r="T30" s="393"/>
      <c r="U30" s="393"/>
      <c r="V30" s="393"/>
      <c r="W30" s="393"/>
      <c r="X30" s="393"/>
      <c r="Y30" s="393"/>
      <c r="Z30" s="393"/>
      <c r="AA30" s="393"/>
      <c r="AB30" s="393"/>
      <c r="AC30" s="393"/>
      <c r="AD30" s="393"/>
      <c r="AE30" s="393"/>
      <c r="AF30" s="393"/>
      <c r="AG30" s="393"/>
      <c r="AH30" s="393"/>
      <c r="AI30" s="393"/>
      <c r="AJ30" s="393"/>
      <c r="AK30" s="393"/>
      <c r="AL30" s="393"/>
      <c r="AM30" s="393"/>
      <c r="AN30" s="393"/>
      <c r="AO30" s="393"/>
      <c r="AP30" s="393"/>
      <c r="AQ30" s="393"/>
      <c r="AR30" s="393"/>
      <c r="AS30" s="393"/>
      <c r="AT30" s="393"/>
      <c r="AU30" s="393"/>
      <c r="AV30" s="393"/>
      <c r="AW30" s="393"/>
      <c r="AX30" s="393"/>
      <c r="AY30" s="393"/>
      <c r="AZ30" s="393"/>
      <c r="BA30" s="393"/>
      <c r="BB30" s="393"/>
      <c r="BC30" s="393"/>
      <c r="BD30" s="393"/>
      <c r="BE30" s="393"/>
      <c r="BF30" s="393"/>
      <c r="BG30" s="393"/>
      <c r="BH30" s="393"/>
      <c r="BI30" s="393"/>
      <c r="BJ30" s="393"/>
      <c r="BK30" s="393"/>
      <c r="BL30" s="393"/>
      <c r="BM30" s="393"/>
      <c r="BN30" s="393"/>
      <c r="BO30" s="393"/>
      <c r="BP30" s="393"/>
      <c r="BQ30" s="393"/>
      <c r="BR30" s="395"/>
      <c r="BS30" s="395"/>
      <c r="BT30" s="395"/>
      <c r="BU30" s="395"/>
      <c r="BV30" s="395"/>
      <c r="BW30" s="395"/>
      <c r="BX30" s="395"/>
      <c r="BY30" s="395"/>
      <c r="BZ30" s="395"/>
      <c r="CA30" s="395"/>
      <c r="CB30" s="395"/>
      <c r="CC30" s="395"/>
      <c r="CD30" s="393"/>
      <c r="CE30" s="389"/>
      <c r="CF30" s="377"/>
      <c r="CG30" s="377"/>
      <c r="CH30" s="377"/>
      <c r="CI30" s="377"/>
      <c r="CJ30" s="377"/>
      <c r="CK30" s="377"/>
      <c r="CL30" s="377"/>
      <c r="CM30" s="377"/>
      <c r="CN30" s="377"/>
      <c r="CO30" s="377"/>
      <c r="CP30" s="405"/>
      <c r="CQ30" s="412"/>
      <c r="CR30" s="389"/>
      <c r="CS30" s="377"/>
      <c r="CT30" s="377"/>
      <c r="CU30" s="377"/>
      <c r="CV30" s="377"/>
      <c r="CW30" s="377"/>
      <c r="CX30" s="377"/>
      <c r="CY30" s="377"/>
      <c r="CZ30" s="377"/>
      <c r="DA30" s="377"/>
      <c r="DB30" s="377"/>
      <c r="DC30" s="391"/>
      <c r="DD30" s="433"/>
      <c r="DE30" s="528"/>
      <c r="DF30" s="529"/>
      <c r="DG30" s="529"/>
      <c r="DH30" s="529"/>
      <c r="DI30" s="529"/>
      <c r="DJ30" s="529"/>
      <c r="DK30" s="529"/>
      <c r="DL30" s="529"/>
      <c r="DM30" s="529"/>
      <c r="DN30" s="529"/>
      <c r="DO30" s="529"/>
      <c r="DP30" s="537"/>
      <c r="DQ30" s="536"/>
      <c r="DR30" s="681"/>
      <c r="DS30" s="482"/>
      <c r="DT30" s="438"/>
      <c r="DU30" s="582"/>
      <c r="DV30" s="578"/>
      <c r="DW30" s="418"/>
      <c r="DX30" s="358"/>
      <c r="DY30" s="51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58"/>
    </row>
    <row r="31" spans="1:144" ht="28.5" customHeight="1" x14ac:dyDescent="0.35">
      <c r="A31" s="396">
        <v>14</v>
      </c>
      <c r="B31" s="608" t="s">
        <v>126</v>
      </c>
      <c r="C31" s="411" t="s">
        <v>264</v>
      </c>
      <c r="D31" s="398" t="s">
        <v>265</v>
      </c>
      <c r="E31" s="277" t="s">
        <v>266</v>
      </c>
      <c r="F31" s="262">
        <v>30</v>
      </c>
      <c r="G31" s="426" t="e">
        <f>F31+F32+#REF!+#REF!+#REF!</f>
        <v>#REF!</v>
      </c>
      <c r="H31" s="618">
        <v>43561</v>
      </c>
      <c r="I31" s="622">
        <f>+D31+360</f>
        <v>43826</v>
      </c>
      <c r="J31" s="620">
        <v>30</v>
      </c>
      <c r="K31" s="687">
        <v>43831</v>
      </c>
      <c r="L31" s="592"/>
      <c r="M31" s="369">
        <v>30</v>
      </c>
      <c r="N31" s="687">
        <f>K31+DS31+360</f>
        <v>44287</v>
      </c>
      <c r="O31" s="671"/>
      <c r="P31" s="658">
        <f>ROUNDDOWN(($P$2-D31)/365,0)*30</f>
        <v>30</v>
      </c>
      <c r="Q31" s="394"/>
      <c r="R31" s="393"/>
      <c r="S31" s="393"/>
      <c r="T31" s="393"/>
      <c r="U31" s="393"/>
      <c r="V31" s="393"/>
      <c r="W31" s="393"/>
      <c r="X31" s="393"/>
      <c r="Y31" s="393"/>
      <c r="Z31" s="393"/>
      <c r="AA31" s="393"/>
      <c r="AB31" s="393"/>
      <c r="AC31" s="393"/>
      <c r="AD31" s="393">
        <f>SUM(R31:AC31)</f>
        <v>0</v>
      </c>
      <c r="AE31" s="393"/>
      <c r="AF31" s="393"/>
      <c r="AG31" s="393"/>
      <c r="AH31" s="393"/>
      <c r="AI31" s="393"/>
      <c r="AJ31" s="393"/>
      <c r="AK31" s="393">
        <v>1</v>
      </c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393"/>
      <c r="AW31" s="393"/>
      <c r="AX31" s="393"/>
      <c r="AY31" s="393"/>
      <c r="AZ31" s="393"/>
      <c r="BA31" s="393"/>
      <c r="BB31" s="393"/>
      <c r="BC31" s="393"/>
      <c r="BD31" s="393">
        <f>SUM(AR31:BC31)</f>
        <v>0</v>
      </c>
      <c r="BE31" s="393"/>
      <c r="BF31" s="393"/>
      <c r="BG31" s="393"/>
      <c r="BH31" s="393"/>
      <c r="BI31" s="393"/>
      <c r="BJ31" s="393"/>
      <c r="BK31" s="393"/>
      <c r="BL31" s="393"/>
      <c r="BM31" s="393"/>
      <c r="BN31" s="393"/>
      <c r="BO31" s="393"/>
      <c r="BP31" s="393"/>
      <c r="BQ31" s="393">
        <f>SUM(BE31:BP31)</f>
        <v>0</v>
      </c>
      <c r="BR31" s="394"/>
      <c r="BS31" s="394"/>
      <c r="BT31" s="394"/>
      <c r="BU31" s="394"/>
      <c r="BV31" s="394"/>
      <c r="BW31" s="394"/>
      <c r="BX31" s="394"/>
      <c r="BY31" s="394"/>
      <c r="BZ31" s="394"/>
      <c r="CA31" s="394"/>
      <c r="CB31" s="394"/>
      <c r="CC31" s="394"/>
      <c r="CD31" s="393">
        <f>SUM(BR31:CC32)</f>
        <v>0</v>
      </c>
      <c r="CE31" s="388"/>
      <c r="CF31" s="387"/>
      <c r="CG31" s="387"/>
      <c r="CH31" s="387"/>
      <c r="CI31" s="387"/>
      <c r="CJ31" s="387"/>
      <c r="CK31" s="387"/>
      <c r="CL31" s="387"/>
      <c r="CM31" s="387"/>
      <c r="CN31" s="387"/>
      <c r="CO31" s="387"/>
      <c r="CP31" s="404"/>
      <c r="CQ31" s="412">
        <f>SUM(CE31:CP32)</f>
        <v>0</v>
      </c>
      <c r="CR31" s="388"/>
      <c r="CS31" s="387"/>
      <c r="CT31" s="387"/>
      <c r="CU31" s="387"/>
      <c r="CV31" s="387">
        <v>3</v>
      </c>
      <c r="CW31" s="387"/>
      <c r="CX31" s="387"/>
      <c r="CY31" s="387"/>
      <c r="CZ31" s="387"/>
      <c r="DA31" s="387"/>
      <c r="DB31" s="387"/>
      <c r="DC31" s="404">
        <v>4</v>
      </c>
      <c r="DD31" s="412">
        <f>SUM(CR31:DC32)</f>
        <v>7</v>
      </c>
      <c r="DE31" s="524"/>
      <c r="DF31" s="525"/>
      <c r="DG31" s="525"/>
      <c r="DH31" s="525"/>
      <c r="DI31" s="525"/>
      <c r="DJ31" s="525"/>
      <c r="DK31" s="525"/>
      <c r="DL31" s="525">
        <v>31</v>
      </c>
      <c r="DM31" s="525">
        <v>2</v>
      </c>
      <c r="DN31" s="525"/>
      <c r="DO31" s="525"/>
      <c r="DP31" s="526"/>
      <c r="DQ31" s="543">
        <f>SUM(DE31:DP32)</f>
        <v>33</v>
      </c>
      <c r="DR31" s="579"/>
      <c r="DS31" s="481">
        <v>96</v>
      </c>
      <c r="DT31" s="437">
        <f>K31+DS31</f>
        <v>43927</v>
      </c>
      <c r="DU31" s="582"/>
      <c r="DV31" s="548"/>
      <c r="DW31" s="413">
        <f>ROUNDDOWN(($DW$2-H31)/365,0)*30</f>
        <v>30</v>
      </c>
      <c r="DX31" s="378">
        <f>Q31+AD31+AQ31+BD31+BQ31+CD31+CQ31+DD31+DQ31</f>
        <v>40</v>
      </c>
      <c r="DY31" s="513">
        <f>P31-DX31</f>
        <v>-10</v>
      </c>
      <c r="DZ31" s="363"/>
      <c r="EA31" s="363"/>
      <c r="EB31" s="363"/>
      <c r="EC31" s="363"/>
      <c r="ED31" s="363"/>
      <c r="EE31" s="363"/>
      <c r="EF31" s="363"/>
      <c r="EG31" s="363"/>
      <c r="EH31" s="363"/>
      <c r="EI31" s="363"/>
      <c r="EJ31" s="363"/>
      <c r="EK31" s="363"/>
      <c r="EL31" s="363"/>
      <c r="EM31" s="363"/>
      <c r="EN31" s="357">
        <f>SUM(DZ31:EM32)</f>
        <v>0</v>
      </c>
    </row>
    <row r="32" spans="1:144" ht="28.5" customHeight="1" x14ac:dyDescent="0.35">
      <c r="A32" s="396"/>
      <c r="B32" s="613"/>
      <c r="C32" s="411"/>
      <c r="D32" s="398"/>
      <c r="E32" s="278" t="s">
        <v>267</v>
      </c>
      <c r="F32" s="269"/>
      <c r="G32" s="416"/>
      <c r="H32" s="619"/>
      <c r="I32" s="623"/>
      <c r="J32" s="605"/>
      <c r="K32" s="492"/>
      <c r="L32" s="429"/>
      <c r="M32" s="370"/>
      <c r="N32" s="653"/>
      <c r="O32" s="673"/>
      <c r="P32" s="660"/>
      <c r="Q32" s="395"/>
      <c r="R32" s="393"/>
      <c r="S32" s="393"/>
      <c r="T32" s="393"/>
      <c r="U32" s="393"/>
      <c r="V32" s="393"/>
      <c r="W32" s="393"/>
      <c r="X32" s="393"/>
      <c r="Y32" s="393"/>
      <c r="Z32" s="393"/>
      <c r="AA32" s="393"/>
      <c r="AB32" s="393"/>
      <c r="AC32" s="393"/>
      <c r="AD32" s="393"/>
      <c r="AE32" s="393"/>
      <c r="AF32" s="393"/>
      <c r="AG32" s="393"/>
      <c r="AH32" s="393"/>
      <c r="AI32" s="393"/>
      <c r="AJ32" s="393"/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  <c r="AY32" s="393"/>
      <c r="AZ32" s="393"/>
      <c r="BA32" s="393"/>
      <c r="BB32" s="393"/>
      <c r="BC32" s="393"/>
      <c r="BD32" s="393"/>
      <c r="BE32" s="393"/>
      <c r="BF32" s="393"/>
      <c r="BG32" s="393"/>
      <c r="BH32" s="393"/>
      <c r="BI32" s="393"/>
      <c r="BJ32" s="393"/>
      <c r="BK32" s="393"/>
      <c r="BL32" s="393"/>
      <c r="BM32" s="393"/>
      <c r="BN32" s="393"/>
      <c r="BO32" s="393"/>
      <c r="BP32" s="393"/>
      <c r="BQ32" s="393"/>
      <c r="BR32" s="395"/>
      <c r="BS32" s="395"/>
      <c r="BT32" s="395"/>
      <c r="BU32" s="395"/>
      <c r="BV32" s="395"/>
      <c r="BW32" s="395"/>
      <c r="BX32" s="395"/>
      <c r="BY32" s="395"/>
      <c r="BZ32" s="395"/>
      <c r="CA32" s="395"/>
      <c r="CB32" s="395"/>
      <c r="CC32" s="395"/>
      <c r="CD32" s="393"/>
      <c r="CE32" s="389"/>
      <c r="CF32" s="377"/>
      <c r="CG32" s="377"/>
      <c r="CH32" s="377"/>
      <c r="CI32" s="377"/>
      <c r="CJ32" s="377"/>
      <c r="CK32" s="377"/>
      <c r="CL32" s="377"/>
      <c r="CM32" s="377"/>
      <c r="CN32" s="377"/>
      <c r="CO32" s="377"/>
      <c r="CP32" s="405"/>
      <c r="CQ32" s="412"/>
      <c r="CR32" s="389"/>
      <c r="CS32" s="377"/>
      <c r="CT32" s="377"/>
      <c r="CU32" s="377"/>
      <c r="CV32" s="377"/>
      <c r="CW32" s="377"/>
      <c r="CX32" s="377"/>
      <c r="CY32" s="377"/>
      <c r="CZ32" s="377"/>
      <c r="DA32" s="377"/>
      <c r="DB32" s="377"/>
      <c r="DC32" s="405"/>
      <c r="DD32" s="412"/>
      <c r="DE32" s="528"/>
      <c r="DF32" s="529"/>
      <c r="DG32" s="529"/>
      <c r="DH32" s="529"/>
      <c r="DI32" s="529"/>
      <c r="DJ32" s="529"/>
      <c r="DK32" s="529"/>
      <c r="DL32" s="529"/>
      <c r="DM32" s="529"/>
      <c r="DN32" s="529"/>
      <c r="DO32" s="529"/>
      <c r="DP32" s="530"/>
      <c r="DQ32" s="543"/>
      <c r="DR32" s="579"/>
      <c r="DS32" s="482"/>
      <c r="DT32" s="438"/>
      <c r="DU32" s="582"/>
      <c r="DV32" s="555"/>
      <c r="DW32" s="418"/>
      <c r="DX32" s="379"/>
      <c r="DY32" s="514"/>
      <c r="DZ32" s="364"/>
      <c r="EA32" s="364"/>
      <c r="EB32" s="364"/>
      <c r="EC32" s="364"/>
      <c r="ED32" s="364"/>
      <c r="EE32" s="364"/>
      <c r="EF32" s="364"/>
      <c r="EG32" s="364"/>
      <c r="EH32" s="364"/>
      <c r="EI32" s="364"/>
      <c r="EJ32" s="364"/>
      <c r="EK32" s="364"/>
      <c r="EL32" s="364"/>
      <c r="EM32" s="364"/>
      <c r="EN32" s="358"/>
    </row>
    <row r="33" spans="1:144" ht="28.5" customHeight="1" x14ac:dyDescent="0.35">
      <c r="A33" s="396">
        <v>15</v>
      </c>
      <c r="B33" s="608" t="s">
        <v>149</v>
      </c>
      <c r="C33" s="411" t="s">
        <v>264</v>
      </c>
      <c r="D33" s="398" t="s">
        <v>268</v>
      </c>
      <c r="E33" s="278" t="s">
        <v>269</v>
      </c>
      <c r="F33" s="279">
        <v>30</v>
      </c>
      <c r="G33" s="428" t="e">
        <f>F33+F34+#REF!+#REF!+#REF!+#REF!</f>
        <v>#REF!</v>
      </c>
      <c r="H33" s="618"/>
      <c r="I33" s="622"/>
      <c r="J33" s="620"/>
      <c r="K33" s="592">
        <v>44136</v>
      </c>
      <c r="L33" s="437">
        <f>+K33+DS33</f>
        <v>44206</v>
      </c>
      <c r="M33" s="625">
        <v>0</v>
      </c>
      <c r="N33" s="437">
        <v>44206</v>
      </c>
      <c r="O33" s="671"/>
      <c r="P33" s="658">
        <f>ROUNDDOWN(($P$2-D33)/365,0)*30</f>
        <v>0</v>
      </c>
      <c r="Q33" s="394"/>
      <c r="R33" s="393"/>
      <c r="S33" s="393"/>
      <c r="T33" s="393"/>
      <c r="U33" s="393"/>
      <c r="V33" s="393"/>
      <c r="W33" s="393"/>
      <c r="X33" s="393"/>
      <c r="Y33" s="393"/>
      <c r="Z33" s="393"/>
      <c r="AA33" s="393"/>
      <c r="AB33" s="393"/>
      <c r="AC33" s="393"/>
      <c r="AD33" s="393"/>
      <c r="AE33" s="393"/>
      <c r="AF33" s="393"/>
      <c r="AG33" s="393"/>
      <c r="AH33" s="393"/>
      <c r="AI33" s="393"/>
      <c r="AJ33" s="393"/>
      <c r="AK33" s="393"/>
      <c r="AL33" s="393"/>
      <c r="AM33" s="393"/>
      <c r="AN33" s="393"/>
      <c r="AO33" s="393"/>
      <c r="AP33" s="393"/>
      <c r="AQ33" s="393"/>
      <c r="AR33" s="393"/>
      <c r="AS33" s="393"/>
      <c r="AT33" s="393"/>
      <c r="AU33" s="393"/>
      <c r="AV33" s="393"/>
      <c r="AW33" s="393"/>
      <c r="AX33" s="393"/>
      <c r="AY33" s="393"/>
      <c r="AZ33" s="393"/>
      <c r="BA33" s="393"/>
      <c r="BB33" s="393"/>
      <c r="BC33" s="393"/>
      <c r="BD33" s="393"/>
      <c r="BE33" s="393"/>
      <c r="BF33" s="393"/>
      <c r="BG33" s="393"/>
      <c r="BH33" s="393"/>
      <c r="BI33" s="393"/>
      <c r="BJ33" s="393"/>
      <c r="BK33" s="393"/>
      <c r="BL33" s="393"/>
      <c r="BM33" s="393"/>
      <c r="BN33" s="393"/>
      <c r="BO33" s="393"/>
      <c r="BP33" s="393"/>
      <c r="BQ33" s="393"/>
      <c r="BR33" s="394"/>
      <c r="BS33" s="394"/>
      <c r="BT33" s="394"/>
      <c r="BU33" s="394"/>
      <c r="BV33" s="394"/>
      <c r="BW33" s="394"/>
      <c r="BX33" s="394"/>
      <c r="BY33" s="394"/>
      <c r="BZ33" s="394"/>
      <c r="CA33" s="394"/>
      <c r="CB33" s="394"/>
      <c r="CC33" s="394"/>
      <c r="CD33" s="393"/>
      <c r="CE33" s="388"/>
      <c r="CF33" s="387"/>
      <c r="CG33" s="387"/>
      <c r="CH33" s="387"/>
      <c r="CI33" s="387"/>
      <c r="CJ33" s="387"/>
      <c r="CK33" s="387"/>
      <c r="CL33" s="387"/>
      <c r="CM33" s="387"/>
      <c r="CN33" s="387"/>
      <c r="CO33" s="387"/>
      <c r="CP33" s="404"/>
      <c r="CQ33" s="412"/>
      <c r="CR33" s="388"/>
      <c r="CS33" s="387"/>
      <c r="CT33" s="387"/>
      <c r="CU33" s="387"/>
      <c r="CV33" s="387"/>
      <c r="CW33" s="387"/>
      <c r="CX33" s="387"/>
      <c r="CY33" s="387"/>
      <c r="CZ33" s="387"/>
      <c r="DA33" s="387"/>
      <c r="DB33" s="387"/>
      <c r="DC33" s="404"/>
      <c r="DD33" s="412"/>
      <c r="DE33" s="524"/>
      <c r="DF33" s="525"/>
      <c r="DG33" s="525"/>
      <c r="DH33" s="525"/>
      <c r="DI33" s="525"/>
      <c r="DJ33" s="525"/>
      <c r="DK33" s="525"/>
      <c r="DL33" s="525"/>
      <c r="DM33" s="525">
        <v>18</v>
      </c>
      <c r="DN33" s="525"/>
      <c r="DO33" s="525"/>
      <c r="DP33" s="526"/>
      <c r="DQ33" s="543">
        <f>SUM(DE33:DP34)</f>
        <v>18</v>
      </c>
      <c r="DR33" s="579"/>
      <c r="DS33" s="481">
        <v>70</v>
      </c>
      <c r="DT33" s="437">
        <f>K33+DS33</f>
        <v>44206</v>
      </c>
      <c r="DU33" s="583"/>
      <c r="DV33" s="548"/>
      <c r="DW33" s="413"/>
      <c r="DX33" s="378">
        <f>Q33+AD33+AQ33+BD33+BQ33+CD33+CQ33+DD33+DQ33</f>
        <v>18</v>
      </c>
      <c r="DY33" s="513">
        <f>P33-DX33</f>
        <v>-18</v>
      </c>
      <c r="DZ33" s="363"/>
      <c r="EA33" s="363"/>
      <c r="EB33" s="363"/>
      <c r="EC33" s="363"/>
      <c r="ED33" s="363"/>
      <c r="EE33" s="363"/>
      <c r="EF33" s="363"/>
      <c r="EG33" s="363"/>
      <c r="EH33" s="363"/>
      <c r="EI33" s="363"/>
      <c r="EJ33" s="363"/>
      <c r="EK33" s="363"/>
      <c r="EL33" s="363"/>
      <c r="EM33" s="363"/>
      <c r="EN33" s="357">
        <f>SUM(DZ33:EM34)</f>
        <v>0</v>
      </c>
    </row>
    <row r="34" spans="1:144" ht="28.5" customHeight="1" x14ac:dyDescent="0.35">
      <c r="A34" s="396"/>
      <c r="B34" s="613"/>
      <c r="C34" s="411"/>
      <c r="D34" s="398"/>
      <c r="E34" s="280"/>
      <c r="F34" s="267"/>
      <c r="G34" s="429"/>
      <c r="H34" s="619"/>
      <c r="I34" s="623"/>
      <c r="J34" s="605"/>
      <c r="K34" s="624"/>
      <c r="L34" s="626"/>
      <c r="M34" s="372"/>
      <c r="N34" s="653"/>
      <c r="O34" s="673"/>
      <c r="P34" s="660"/>
      <c r="Q34" s="395"/>
      <c r="R34" s="393"/>
      <c r="S34" s="393"/>
      <c r="T34" s="393"/>
      <c r="U34" s="393"/>
      <c r="V34" s="393"/>
      <c r="W34" s="393"/>
      <c r="X34" s="393"/>
      <c r="Y34" s="393"/>
      <c r="Z34" s="393"/>
      <c r="AA34" s="393"/>
      <c r="AB34" s="393"/>
      <c r="AC34" s="393"/>
      <c r="AD34" s="393"/>
      <c r="AE34" s="393"/>
      <c r="AF34" s="393"/>
      <c r="AG34" s="393"/>
      <c r="AH34" s="393"/>
      <c r="AI34" s="393"/>
      <c r="AJ34" s="393"/>
      <c r="AK34" s="393"/>
      <c r="AL34" s="393"/>
      <c r="AM34" s="393"/>
      <c r="AN34" s="393"/>
      <c r="AO34" s="393"/>
      <c r="AP34" s="393"/>
      <c r="AQ34" s="393"/>
      <c r="AR34" s="393"/>
      <c r="AS34" s="393"/>
      <c r="AT34" s="393"/>
      <c r="AU34" s="393"/>
      <c r="AV34" s="393"/>
      <c r="AW34" s="393"/>
      <c r="AX34" s="393"/>
      <c r="AY34" s="393"/>
      <c r="AZ34" s="393"/>
      <c r="BA34" s="393"/>
      <c r="BB34" s="393"/>
      <c r="BC34" s="393"/>
      <c r="BD34" s="393"/>
      <c r="BE34" s="393"/>
      <c r="BF34" s="393"/>
      <c r="BG34" s="393"/>
      <c r="BH34" s="393"/>
      <c r="BI34" s="393"/>
      <c r="BJ34" s="393"/>
      <c r="BK34" s="393"/>
      <c r="BL34" s="393"/>
      <c r="BM34" s="393"/>
      <c r="BN34" s="393"/>
      <c r="BO34" s="393"/>
      <c r="BP34" s="393"/>
      <c r="BQ34" s="393"/>
      <c r="BR34" s="395"/>
      <c r="BS34" s="395"/>
      <c r="BT34" s="395"/>
      <c r="BU34" s="395"/>
      <c r="BV34" s="395"/>
      <c r="BW34" s="395"/>
      <c r="BX34" s="395"/>
      <c r="BY34" s="395"/>
      <c r="BZ34" s="395"/>
      <c r="CA34" s="395"/>
      <c r="CB34" s="395"/>
      <c r="CC34" s="395"/>
      <c r="CD34" s="393"/>
      <c r="CE34" s="389"/>
      <c r="CF34" s="377"/>
      <c r="CG34" s="377"/>
      <c r="CH34" s="377"/>
      <c r="CI34" s="377"/>
      <c r="CJ34" s="377"/>
      <c r="CK34" s="377"/>
      <c r="CL34" s="377"/>
      <c r="CM34" s="377"/>
      <c r="CN34" s="377"/>
      <c r="CO34" s="377"/>
      <c r="CP34" s="405"/>
      <c r="CQ34" s="412"/>
      <c r="CR34" s="389"/>
      <c r="CS34" s="377"/>
      <c r="CT34" s="377"/>
      <c r="CU34" s="377"/>
      <c r="CV34" s="377"/>
      <c r="CW34" s="377"/>
      <c r="CX34" s="377"/>
      <c r="CY34" s="377"/>
      <c r="CZ34" s="377"/>
      <c r="DA34" s="377"/>
      <c r="DB34" s="377"/>
      <c r="DC34" s="405"/>
      <c r="DD34" s="412"/>
      <c r="DE34" s="528"/>
      <c r="DF34" s="529"/>
      <c r="DG34" s="529"/>
      <c r="DH34" s="529"/>
      <c r="DI34" s="529"/>
      <c r="DJ34" s="529"/>
      <c r="DK34" s="529"/>
      <c r="DL34" s="529"/>
      <c r="DM34" s="529"/>
      <c r="DN34" s="529"/>
      <c r="DO34" s="529"/>
      <c r="DP34" s="530"/>
      <c r="DQ34" s="543"/>
      <c r="DR34" s="579"/>
      <c r="DS34" s="482"/>
      <c r="DT34" s="502"/>
      <c r="DU34" s="584"/>
      <c r="DV34" s="555"/>
      <c r="DW34" s="418"/>
      <c r="DX34" s="379"/>
      <c r="DY34" s="514"/>
      <c r="DZ34" s="364"/>
      <c r="EA34" s="364"/>
      <c r="EB34" s="364"/>
      <c r="EC34" s="364"/>
      <c r="ED34" s="364"/>
      <c r="EE34" s="364"/>
      <c r="EF34" s="364"/>
      <c r="EG34" s="364"/>
      <c r="EH34" s="364"/>
      <c r="EI34" s="364"/>
      <c r="EJ34" s="364"/>
      <c r="EK34" s="364"/>
      <c r="EL34" s="364"/>
      <c r="EM34" s="364"/>
      <c r="EN34" s="358"/>
    </row>
    <row r="35" spans="1:144" ht="28.5" customHeight="1" x14ac:dyDescent="0.35">
      <c r="A35" s="396">
        <v>16</v>
      </c>
      <c r="B35" s="608" t="s">
        <v>51</v>
      </c>
      <c r="C35" s="411" t="s">
        <v>264</v>
      </c>
      <c r="D35" s="398" t="s">
        <v>270</v>
      </c>
      <c r="E35" s="281" t="s">
        <v>271</v>
      </c>
      <c r="F35" s="265">
        <v>30</v>
      </c>
      <c r="G35" s="428" t="e">
        <f>F35+F36+#REF!+#REF!+#REF!+#REF!</f>
        <v>#REF!</v>
      </c>
      <c r="H35" s="618">
        <v>41898</v>
      </c>
      <c r="I35" s="622">
        <f>+D35+5*360</f>
        <v>43621</v>
      </c>
      <c r="J35" s="620">
        <v>150</v>
      </c>
      <c r="K35" s="490">
        <f>I35+360</f>
        <v>43981</v>
      </c>
      <c r="L35" s="437">
        <f>K35+DS35</f>
        <v>44058</v>
      </c>
      <c r="M35" s="369">
        <v>30</v>
      </c>
      <c r="N35" s="649">
        <f>+L35+360</f>
        <v>44418</v>
      </c>
      <c r="O35" s="671"/>
      <c r="P35" s="658">
        <f>ROUNDDOWN(($P$2-D35)/365,0)*30</f>
        <v>180</v>
      </c>
      <c r="Q35" s="394"/>
      <c r="R35" s="393"/>
      <c r="S35" s="393"/>
      <c r="T35" s="393"/>
      <c r="U35" s="393"/>
      <c r="V35" s="393"/>
      <c r="W35" s="393"/>
      <c r="X35" s="393"/>
      <c r="Y35" s="393"/>
      <c r="Z35" s="393"/>
      <c r="AA35" s="393"/>
      <c r="AB35" s="393"/>
      <c r="AC35" s="393"/>
      <c r="AD35" s="393">
        <f>SUM(R35:AC35)</f>
        <v>0</v>
      </c>
      <c r="AE35" s="393"/>
      <c r="AF35" s="393"/>
      <c r="AG35" s="393"/>
      <c r="AH35" s="393"/>
      <c r="AI35" s="393"/>
      <c r="AJ35" s="393"/>
      <c r="AK35" s="393">
        <v>1</v>
      </c>
      <c r="AL35" s="393"/>
      <c r="AM35" s="393"/>
      <c r="AN35" s="393"/>
      <c r="AO35" s="393"/>
      <c r="AP35" s="393"/>
      <c r="AQ35" s="393">
        <f>SUM(AK35:AP36)</f>
        <v>1</v>
      </c>
      <c r="AR35" s="393"/>
      <c r="AS35" s="393">
        <v>30</v>
      </c>
      <c r="AT35" s="393">
        <v>30</v>
      </c>
      <c r="AU35" s="393"/>
      <c r="AV35" s="393"/>
      <c r="AW35" s="393"/>
      <c r="AX35" s="393">
        <v>1</v>
      </c>
      <c r="AY35" s="393"/>
      <c r="AZ35" s="393"/>
      <c r="BA35" s="393"/>
      <c r="BB35" s="393"/>
      <c r="BC35" s="393"/>
      <c r="BD35" s="393">
        <f>SUM(AR35:BC35)</f>
        <v>61</v>
      </c>
      <c r="BE35" s="393"/>
      <c r="BF35" s="393">
        <v>7</v>
      </c>
      <c r="BG35" s="393"/>
      <c r="BH35" s="393"/>
      <c r="BI35" s="393"/>
      <c r="BJ35" s="393"/>
      <c r="BK35" s="393">
        <v>3</v>
      </c>
      <c r="BL35" s="393"/>
      <c r="BM35" s="393"/>
      <c r="BN35" s="393"/>
      <c r="BO35" s="393">
        <v>1</v>
      </c>
      <c r="BP35" s="393"/>
      <c r="BQ35" s="393">
        <f>SUM(BE35:BP35)</f>
        <v>11</v>
      </c>
      <c r="BR35" s="394"/>
      <c r="BS35" s="394"/>
      <c r="BT35" s="394"/>
      <c r="BU35" s="394"/>
      <c r="BV35" s="394">
        <v>1</v>
      </c>
      <c r="BW35" s="394"/>
      <c r="BX35" s="394">
        <v>1</v>
      </c>
      <c r="BY35" s="394"/>
      <c r="BZ35" s="394"/>
      <c r="CA35" s="394"/>
      <c r="CB35" s="394"/>
      <c r="CC35" s="394">
        <v>1</v>
      </c>
      <c r="CD35" s="393">
        <f>SUM(BR35:CC36)</f>
        <v>3</v>
      </c>
      <c r="CE35" s="388"/>
      <c r="CF35" s="387">
        <v>1</v>
      </c>
      <c r="CG35" s="387">
        <v>7</v>
      </c>
      <c r="CH35" s="387"/>
      <c r="CI35" s="387"/>
      <c r="CJ35" s="387"/>
      <c r="CK35" s="387">
        <v>7</v>
      </c>
      <c r="CL35" s="387"/>
      <c r="CM35" s="387"/>
      <c r="CN35" s="387">
        <v>8</v>
      </c>
      <c r="CO35" s="387"/>
      <c r="CP35" s="404"/>
      <c r="CQ35" s="412">
        <f>SUM(CE35:CP36)</f>
        <v>23</v>
      </c>
      <c r="CR35" s="388"/>
      <c r="CS35" s="387"/>
      <c r="CT35" s="387">
        <v>1</v>
      </c>
      <c r="CU35" s="387"/>
      <c r="CV35" s="387"/>
      <c r="CW35" s="387">
        <v>7</v>
      </c>
      <c r="CX35" s="387">
        <v>2</v>
      </c>
      <c r="CY35" s="387"/>
      <c r="CZ35" s="387"/>
      <c r="DA35" s="387"/>
      <c r="DB35" s="387"/>
      <c r="DC35" s="404"/>
      <c r="DD35" s="412">
        <f>SUM(CR35:DC36)</f>
        <v>10</v>
      </c>
      <c r="DE35" s="524"/>
      <c r="DF35" s="525">
        <v>6</v>
      </c>
      <c r="DG35" s="525"/>
      <c r="DH35" s="525"/>
      <c r="DI35" s="525"/>
      <c r="DJ35" s="525"/>
      <c r="DK35" s="525"/>
      <c r="DL35" s="525"/>
      <c r="DM35" s="525"/>
      <c r="DN35" s="525">
        <v>2</v>
      </c>
      <c r="DO35" s="525"/>
      <c r="DP35" s="526"/>
      <c r="DQ35" s="543">
        <f>SUM(DE35:DP36)</f>
        <v>8</v>
      </c>
      <c r="DR35" s="579"/>
      <c r="DS35" s="481">
        <f>'Determ días de vacaciones'!S26</f>
        <v>77</v>
      </c>
      <c r="DU35" s="582"/>
      <c r="DV35" s="548"/>
      <c r="DW35" s="413">
        <f>ROUNDDOWN(($DW$2-H35)/365,0)*30</f>
        <v>180</v>
      </c>
      <c r="DX35" s="378">
        <f>Q35+AD35+AQ35+BD35+BQ35+CD35+CQ35+DD35+DQ35</f>
        <v>117</v>
      </c>
      <c r="DY35" s="513">
        <f>P35-DX35</f>
        <v>63</v>
      </c>
      <c r="DZ35" s="363">
        <v>30</v>
      </c>
      <c r="EA35" s="363">
        <v>31</v>
      </c>
      <c r="EB35" s="363">
        <v>2</v>
      </c>
      <c r="EC35" s="363"/>
      <c r="ED35" s="363"/>
      <c r="EE35" s="363"/>
      <c r="EF35" s="363"/>
      <c r="EG35" s="363"/>
      <c r="EH35" s="363"/>
      <c r="EI35" s="363"/>
      <c r="EJ35" s="363"/>
      <c r="EK35" s="363"/>
      <c r="EL35" s="363"/>
      <c r="EM35" s="363"/>
      <c r="EN35" s="357">
        <f>SUM(DZ35:EM36)</f>
        <v>63</v>
      </c>
    </row>
    <row r="36" spans="1:144" ht="28.5" customHeight="1" x14ac:dyDescent="0.35">
      <c r="A36" s="396"/>
      <c r="B36" s="613"/>
      <c r="C36" s="411"/>
      <c r="D36" s="398"/>
      <c r="E36" s="281" t="s">
        <v>272</v>
      </c>
      <c r="F36" s="267">
        <v>30</v>
      </c>
      <c r="G36" s="429"/>
      <c r="H36" s="619"/>
      <c r="I36" s="623"/>
      <c r="J36" s="605"/>
      <c r="K36" s="492"/>
      <c r="L36" s="429"/>
      <c r="M36" s="370"/>
      <c r="N36" s="653"/>
      <c r="O36" s="673"/>
      <c r="P36" s="660"/>
      <c r="Q36" s="395"/>
      <c r="R36" s="393"/>
      <c r="S36" s="393"/>
      <c r="T36" s="393"/>
      <c r="U36" s="393"/>
      <c r="V36" s="393"/>
      <c r="W36" s="393"/>
      <c r="X36" s="393"/>
      <c r="Y36" s="393"/>
      <c r="Z36" s="393"/>
      <c r="AA36" s="393"/>
      <c r="AB36" s="393"/>
      <c r="AC36" s="393"/>
      <c r="AD36" s="393"/>
      <c r="AE36" s="393"/>
      <c r="AF36" s="393"/>
      <c r="AG36" s="393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AT36" s="393"/>
      <c r="AU36" s="393"/>
      <c r="AV36" s="393"/>
      <c r="AW36" s="393"/>
      <c r="AX36" s="393"/>
      <c r="AY36" s="393"/>
      <c r="AZ36" s="393"/>
      <c r="BA36" s="393"/>
      <c r="BB36" s="393"/>
      <c r="BC36" s="393"/>
      <c r="BD36" s="393"/>
      <c r="BE36" s="393"/>
      <c r="BF36" s="393"/>
      <c r="BG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3"/>
      <c r="CE36" s="389"/>
      <c r="CF36" s="377"/>
      <c r="CG36" s="377"/>
      <c r="CH36" s="377"/>
      <c r="CI36" s="377"/>
      <c r="CJ36" s="377"/>
      <c r="CK36" s="377"/>
      <c r="CL36" s="377"/>
      <c r="CM36" s="377"/>
      <c r="CN36" s="377"/>
      <c r="CO36" s="377"/>
      <c r="CP36" s="405"/>
      <c r="CQ36" s="412"/>
      <c r="CR36" s="389"/>
      <c r="CS36" s="377"/>
      <c r="CT36" s="377"/>
      <c r="CU36" s="377"/>
      <c r="CV36" s="377"/>
      <c r="CW36" s="377"/>
      <c r="CX36" s="377"/>
      <c r="CY36" s="377"/>
      <c r="CZ36" s="377"/>
      <c r="DA36" s="377"/>
      <c r="DB36" s="377"/>
      <c r="DC36" s="405"/>
      <c r="DD36" s="412"/>
      <c r="DE36" s="528"/>
      <c r="DF36" s="529"/>
      <c r="DG36" s="529"/>
      <c r="DH36" s="529"/>
      <c r="DI36" s="529"/>
      <c r="DJ36" s="529"/>
      <c r="DK36" s="529"/>
      <c r="DL36" s="529"/>
      <c r="DM36" s="529"/>
      <c r="DN36" s="529"/>
      <c r="DO36" s="529"/>
      <c r="DP36" s="530"/>
      <c r="DQ36" s="543"/>
      <c r="DR36" s="579"/>
      <c r="DS36" s="482"/>
      <c r="DT36" s="438"/>
      <c r="DU36" s="582"/>
      <c r="DV36" s="555"/>
      <c r="DW36" s="418"/>
      <c r="DX36" s="379"/>
      <c r="DY36" s="514"/>
      <c r="DZ36" s="364"/>
      <c r="EA36" s="364"/>
      <c r="EB36" s="364"/>
      <c r="EC36" s="364"/>
      <c r="ED36" s="364"/>
      <c r="EE36" s="364"/>
      <c r="EF36" s="364"/>
      <c r="EG36" s="364"/>
      <c r="EH36" s="364"/>
      <c r="EI36" s="364"/>
      <c r="EJ36" s="364"/>
      <c r="EK36" s="364"/>
      <c r="EL36" s="364"/>
      <c r="EM36" s="364"/>
      <c r="EN36" s="358"/>
    </row>
    <row r="37" spans="1:144" ht="28.5" customHeight="1" x14ac:dyDescent="0.35">
      <c r="A37" s="396">
        <v>17</v>
      </c>
      <c r="B37" s="608" t="s">
        <v>274</v>
      </c>
      <c r="C37" s="411" t="s">
        <v>264</v>
      </c>
      <c r="D37" s="398" t="s">
        <v>202</v>
      </c>
      <c r="E37" s="277" t="s">
        <v>210</v>
      </c>
      <c r="F37" s="279">
        <v>30</v>
      </c>
      <c r="G37" s="428" t="e">
        <f>F37+F38+#REF!+#REF!+#REF!+#REF!</f>
        <v>#REF!</v>
      </c>
      <c r="H37" s="618">
        <v>43600</v>
      </c>
      <c r="I37" s="622"/>
      <c r="J37" s="620"/>
      <c r="K37" s="490">
        <v>43922</v>
      </c>
      <c r="L37" s="437">
        <f>K37+DS37</f>
        <v>43966</v>
      </c>
      <c r="M37" s="369">
        <v>30</v>
      </c>
      <c r="N37" s="649">
        <f>+L37+360</f>
        <v>44326</v>
      </c>
      <c r="O37" s="671"/>
      <c r="P37" s="658">
        <f>ROUNDDOWN(($P$2-D37)/365,0)*30</f>
        <v>30</v>
      </c>
      <c r="Q37" s="394"/>
      <c r="R37" s="393"/>
      <c r="S37" s="393"/>
      <c r="T37" s="393"/>
      <c r="U37" s="393"/>
      <c r="V37" s="393"/>
      <c r="W37" s="393"/>
      <c r="X37" s="393"/>
      <c r="Y37" s="393"/>
      <c r="Z37" s="393"/>
      <c r="AA37" s="393"/>
      <c r="AB37" s="393"/>
      <c r="AC37" s="393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3"/>
      <c r="AS37" s="393"/>
      <c r="AT37" s="393"/>
      <c r="AU37" s="393"/>
      <c r="AV37" s="393"/>
      <c r="AW37" s="393"/>
      <c r="AX37" s="393"/>
      <c r="AY37" s="393"/>
      <c r="AZ37" s="393"/>
      <c r="BA37" s="393"/>
      <c r="BB37" s="393"/>
      <c r="BC37" s="393"/>
      <c r="BD37" s="393"/>
      <c r="BE37" s="393"/>
      <c r="BF37" s="393"/>
      <c r="BG37" s="393"/>
      <c r="BH37" s="393"/>
      <c r="BI37" s="393"/>
      <c r="BJ37" s="393"/>
      <c r="BK37" s="393"/>
      <c r="BL37" s="393"/>
      <c r="BM37" s="393"/>
      <c r="BN37" s="393"/>
      <c r="BO37" s="393"/>
      <c r="BP37" s="393"/>
      <c r="BQ37" s="393"/>
      <c r="BR37" s="394"/>
      <c r="BS37" s="394"/>
      <c r="BT37" s="394"/>
      <c r="BU37" s="394"/>
      <c r="BV37" s="394"/>
      <c r="BW37" s="394"/>
      <c r="BX37" s="394"/>
      <c r="BY37" s="394"/>
      <c r="BZ37" s="394"/>
      <c r="CA37" s="394"/>
      <c r="CB37" s="394"/>
      <c r="CC37" s="394"/>
      <c r="CD37" s="393"/>
      <c r="CE37" s="388"/>
      <c r="CF37" s="387"/>
      <c r="CG37" s="387"/>
      <c r="CH37" s="387"/>
      <c r="CI37" s="387"/>
      <c r="CJ37" s="387"/>
      <c r="CK37" s="387"/>
      <c r="CL37" s="387"/>
      <c r="CM37" s="387"/>
      <c r="CN37" s="387"/>
      <c r="CO37" s="387"/>
      <c r="CP37" s="404"/>
      <c r="CQ37" s="412"/>
      <c r="CR37" s="388"/>
      <c r="CS37" s="387"/>
      <c r="CT37" s="387"/>
      <c r="CU37" s="387"/>
      <c r="CV37" s="387"/>
      <c r="CW37" s="387"/>
      <c r="CX37" s="387"/>
      <c r="CY37" s="387"/>
      <c r="CZ37" s="387"/>
      <c r="DA37" s="387"/>
      <c r="DB37" s="387"/>
      <c r="DC37" s="404"/>
      <c r="DD37" s="412"/>
      <c r="DE37" s="524"/>
      <c r="DF37" s="525"/>
      <c r="DG37" s="525"/>
      <c r="DH37" s="525"/>
      <c r="DI37" s="525"/>
      <c r="DJ37" s="525"/>
      <c r="DK37" s="525"/>
      <c r="DL37" s="525"/>
      <c r="DM37" s="525"/>
      <c r="DN37" s="525"/>
      <c r="DO37" s="525"/>
      <c r="DP37" s="526"/>
      <c r="DQ37" s="543">
        <f>SUM(DE37:DP38)</f>
        <v>0</v>
      </c>
      <c r="DR37" s="579"/>
      <c r="DS37" s="481">
        <f>'Determ días de vacaciones'!S27</f>
        <v>44</v>
      </c>
      <c r="DU37" s="582"/>
      <c r="DV37" s="548"/>
      <c r="DW37" s="413">
        <f>ROUNDDOWN(($DW$2-H37)/365,0)*30</f>
        <v>30</v>
      </c>
      <c r="DX37" s="378">
        <f>Q37+AD37+AQ37+BD37+BQ37+CD37+CQ37+DD37+DQ37</f>
        <v>0</v>
      </c>
      <c r="DY37" s="513">
        <f>P37-DX37</f>
        <v>30</v>
      </c>
      <c r="DZ37" s="363">
        <v>30</v>
      </c>
      <c r="EA37" s="363"/>
      <c r="EB37" s="363"/>
      <c r="EC37" s="363"/>
      <c r="ED37" s="363"/>
      <c r="EE37" s="363"/>
      <c r="EF37" s="363"/>
      <c r="EG37" s="363"/>
      <c r="EH37" s="363"/>
      <c r="EI37" s="363"/>
      <c r="EJ37" s="363"/>
      <c r="EK37" s="363"/>
      <c r="EL37" s="363"/>
      <c r="EM37" s="363"/>
      <c r="EN37" s="357">
        <f>SUM(DZ37:EM38)</f>
        <v>30</v>
      </c>
    </row>
    <row r="38" spans="1:144" ht="28.5" customHeight="1" x14ac:dyDescent="0.35">
      <c r="A38" s="396"/>
      <c r="B38" s="613"/>
      <c r="C38" s="411"/>
      <c r="D38" s="398"/>
      <c r="E38" s="280"/>
      <c r="F38" s="267"/>
      <c r="G38" s="429"/>
      <c r="H38" s="619"/>
      <c r="I38" s="623"/>
      <c r="J38" s="605"/>
      <c r="K38" s="492"/>
      <c r="L38" s="429"/>
      <c r="M38" s="370"/>
      <c r="N38" s="653"/>
      <c r="O38" s="673"/>
      <c r="P38" s="660"/>
      <c r="Q38" s="395"/>
      <c r="R38" s="393"/>
      <c r="S38" s="393"/>
      <c r="T38" s="393"/>
      <c r="U38" s="393"/>
      <c r="V38" s="393"/>
      <c r="W38" s="393"/>
      <c r="X38" s="393"/>
      <c r="Y38" s="393"/>
      <c r="Z38" s="393"/>
      <c r="AA38" s="393"/>
      <c r="AB38" s="393"/>
      <c r="AC38" s="393"/>
      <c r="AD38" s="393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393"/>
      <c r="AP38" s="393"/>
      <c r="AQ38" s="393"/>
      <c r="AR38" s="393"/>
      <c r="AS38" s="393"/>
      <c r="AT38" s="393"/>
      <c r="AU38" s="393"/>
      <c r="AV38" s="393"/>
      <c r="AW38" s="393"/>
      <c r="AX38" s="393"/>
      <c r="AY38" s="393"/>
      <c r="AZ38" s="393"/>
      <c r="BA38" s="393"/>
      <c r="BB38" s="393"/>
      <c r="BC38" s="393"/>
      <c r="BD38" s="393"/>
      <c r="BE38" s="393"/>
      <c r="BF38" s="393"/>
      <c r="BG38" s="393"/>
      <c r="BH38" s="393"/>
      <c r="BI38" s="393"/>
      <c r="BJ38" s="393"/>
      <c r="BK38" s="393"/>
      <c r="BL38" s="393"/>
      <c r="BM38" s="393"/>
      <c r="BN38" s="393"/>
      <c r="BO38" s="393"/>
      <c r="BP38" s="393"/>
      <c r="BQ38" s="393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3"/>
      <c r="CE38" s="389"/>
      <c r="CF38" s="377"/>
      <c r="CG38" s="377"/>
      <c r="CH38" s="377"/>
      <c r="CI38" s="377"/>
      <c r="CJ38" s="377"/>
      <c r="CK38" s="377"/>
      <c r="CL38" s="377"/>
      <c r="CM38" s="377"/>
      <c r="CN38" s="377"/>
      <c r="CO38" s="377"/>
      <c r="CP38" s="405"/>
      <c r="CQ38" s="412"/>
      <c r="CR38" s="389"/>
      <c r="CS38" s="377"/>
      <c r="CT38" s="377"/>
      <c r="CU38" s="377"/>
      <c r="CV38" s="377"/>
      <c r="CW38" s="377"/>
      <c r="CX38" s="377"/>
      <c r="CY38" s="377"/>
      <c r="CZ38" s="377"/>
      <c r="DA38" s="377"/>
      <c r="DB38" s="377"/>
      <c r="DC38" s="405"/>
      <c r="DD38" s="412"/>
      <c r="DE38" s="528"/>
      <c r="DF38" s="529"/>
      <c r="DG38" s="529"/>
      <c r="DH38" s="529"/>
      <c r="DI38" s="529"/>
      <c r="DJ38" s="529"/>
      <c r="DK38" s="529"/>
      <c r="DL38" s="529"/>
      <c r="DM38" s="529"/>
      <c r="DN38" s="529"/>
      <c r="DO38" s="529"/>
      <c r="DP38" s="530"/>
      <c r="DQ38" s="543"/>
      <c r="DR38" s="579"/>
      <c r="DS38" s="482"/>
      <c r="DT38" s="438"/>
      <c r="DU38" s="582"/>
      <c r="DV38" s="555"/>
      <c r="DW38" s="418"/>
      <c r="DX38" s="379"/>
      <c r="DY38" s="514"/>
      <c r="DZ38" s="364"/>
      <c r="EA38" s="364"/>
      <c r="EB38" s="364"/>
      <c r="EC38" s="364"/>
      <c r="ED38" s="364"/>
      <c r="EE38" s="364"/>
      <c r="EF38" s="364"/>
      <c r="EG38" s="364"/>
      <c r="EH38" s="364"/>
      <c r="EI38" s="364"/>
      <c r="EJ38" s="364"/>
      <c r="EK38" s="364"/>
      <c r="EL38" s="364"/>
      <c r="EM38" s="364"/>
      <c r="EN38" s="358"/>
    </row>
    <row r="39" spans="1:144" ht="28.5" customHeight="1" x14ac:dyDescent="0.35">
      <c r="A39" s="396">
        <v>18</v>
      </c>
      <c r="B39" s="614" t="s">
        <v>363</v>
      </c>
      <c r="C39" s="411"/>
      <c r="D39" s="398" t="s">
        <v>359</v>
      </c>
      <c r="E39" s="282" t="s">
        <v>275</v>
      </c>
      <c r="F39" s="270">
        <v>30</v>
      </c>
      <c r="G39" s="426" t="e">
        <f>F39+F40+#REF!+#REF!+#REF!+#REF!+#REF!+#REF!+#REF!</f>
        <v>#REF!</v>
      </c>
      <c r="H39" s="618">
        <v>40675</v>
      </c>
      <c r="I39" s="622">
        <f>+D39+8*360</f>
        <v>43514</v>
      </c>
      <c r="J39" s="620">
        <v>240</v>
      </c>
      <c r="K39" s="687">
        <f>I39+360</f>
        <v>43874</v>
      </c>
      <c r="L39" s="629"/>
      <c r="M39" s="640">
        <v>30</v>
      </c>
      <c r="N39" s="687">
        <f>K39+DS39+360</f>
        <v>44275</v>
      </c>
      <c r="O39" s="671"/>
      <c r="P39" s="658">
        <f>ROUNDDOWN(($P$2-D39)/365,0)*30</f>
        <v>270</v>
      </c>
      <c r="Q39" s="394"/>
      <c r="R39" s="393"/>
      <c r="S39" s="393"/>
      <c r="T39" s="393"/>
      <c r="U39" s="393"/>
      <c r="V39" s="393"/>
      <c r="W39" s="393"/>
      <c r="X39" s="393"/>
      <c r="Y39" s="393"/>
      <c r="Z39" s="393"/>
      <c r="AA39" s="393"/>
      <c r="AB39" s="393"/>
      <c r="AC39" s="393"/>
      <c r="AD39" s="393">
        <f>SUM(R39:AC40)</f>
        <v>0</v>
      </c>
      <c r="AE39" s="393"/>
      <c r="AF39" s="393"/>
      <c r="AG39" s="393"/>
      <c r="AH39" s="393"/>
      <c r="AI39" s="393"/>
      <c r="AJ39" s="393"/>
      <c r="AK39" s="393"/>
      <c r="AL39" s="393"/>
      <c r="AM39" s="393"/>
      <c r="AN39" s="393"/>
      <c r="AO39" s="393"/>
      <c r="AP39" s="393"/>
      <c r="AQ39" s="393">
        <f>SUM(AE39:AP40)</f>
        <v>0</v>
      </c>
      <c r="AR39" s="393"/>
      <c r="AS39" s="393">
        <v>7</v>
      </c>
      <c r="AT39" s="393"/>
      <c r="AU39" s="393"/>
      <c r="AV39" s="393">
        <v>2</v>
      </c>
      <c r="AW39" s="393"/>
      <c r="AX39" s="393"/>
      <c r="AY39" s="393"/>
      <c r="AZ39" s="393"/>
      <c r="BA39" s="393"/>
      <c r="BB39" s="393"/>
      <c r="BC39" s="393"/>
      <c r="BD39" s="393">
        <f>SUM(AR39:BC40)</f>
        <v>9</v>
      </c>
      <c r="BE39" s="393">
        <v>20</v>
      </c>
      <c r="BF39" s="393"/>
      <c r="BG39" s="393"/>
      <c r="BH39" s="393"/>
      <c r="BI39" s="393"/>
      <c r="BJ39" s="393"/>
      <c r="BK39" s="393"/>
      <c r="BL39" s="393"/>
      <c r="BM39" s="393"/>
      <c r="BN39" s="393"/>
      <c r="BO39" s="393">
        <v>1</v>
      </c>
      <c r="BP39" s="393"/>
      <c r="BQ39" s="393">
        <f>SUM(BE39:BP40)</f>
        <v>21</v>
      </c>
      <c r="BR39" s="394"/>
      <c r="BS39" s="394"/>
      <c r="BT39" s="394"/>
      <c r="BU39" s="394"/>
      <c r="BV39" s="394">
        <v>7</v>
      </c>
      <c r="BW39" s="394"/>
      <c r="BX39" s="394">
        <v>20</v>
      </c>
      <c r="BY39" s="394"/>
      <c r="BZ39" s="394"/>
      <c r="CA39" s="394"/>
      <c r="CB39" s="394"/>
      <c r="CC39" s="394"/>
      <c r="CD39" s="393">
        <f>SUM(BR39:CC40)</f>
        <v>27</v>
      </c>
      <c r="CE39" s="388"/>
      <c r="CF39" s="387"/>
      <c r="CG39" s="387"/>
      <c r="CH39" s="387"/>
      <c r="CI39" s="387"/>
      <c r="CJ39" s="387"/>
      <c r="CK39" s="387"/>
      <c r="CL39" s="387"/>
      <c r="CM39" s="387"/>
      <c r="CN39" s="387"/>
      <c r="CO39" s="387"/>
      <c r="CP39" s="404"/>
      <c r="CQ39" s="412">
        <f>SUM(CE39:CP40)</f>
        <v>0</v>
      </c>
      <c r="CR39" s="388"/>
      <c r="CS39" s="387"/>
      <c r="CT39" s="387"/>
      <c r="CU39" s="387"/>
      <c r="CV39" s="387"/>
      <c r="CW39" s="387"/>
      <c r="CX39" s="387"/>
      <c r="CY39" s="387"/>
      <c r="CZ39" s="387"/>
      <c r="DA39" s="387"/>
      <c r="DB39" s="387"/>
      <c r="DC39" s="404"/>
      <c r="DD39" s="412">
        <f>SUM(CR39:DC40)</f>
        <v>0</v>
      </c>
      <c r="DE39" s="524"/>
      <c r="DF39" s="525"/>
      <c r="DG39" s="525"/>
      <c r="DH39" s="525">
        <v>30</v>
      </c>
      <c r="DI39" s="525"/>
      <c r="DJ39" s="525"/>
      <c r="DK39" s="525"/>
      <c r="DL39" s="525"/>
      <c r="DM39" s="525">
        <v>3</v>
      </c>
      <c r="DN39" s="525"/>
      <c r="DO39" s="525"/>
      <c r="DP39" s="526"/>
      <c r="DQ39" s="543">
        <f>SUM(DE39:DP40)</f>
        <v>33</v>
      </c>
      <c r="DR39" s="579"/>
      <c r="DS39" s="481">
        <f>'Determ días de vacaciones'!S28</f>
        <v>41</v>
      </c>
      <c r="DU39" s="582"/>
      <c r="DV39" s="548"/>
      <c r="DW39" s="413">
        <f>ROUNDDOWN(($DW$2-H39)/365,0)*30</f>
        <v>270</v>
      </c>
      <c r="DX39" s="378">
        <f>SUM(AD39,AQ39,BD39,BQ39,CD39,CQ39:CQ39,DD39,DQ39)</f>
        <v>90</v>
      </c>
      <c r="DY39" s="513">
        <f>P39-DX39</f>
        <v>180</v>
      </c>
      <c r="DZ39" s="363">
        <v>15</v>
      </c>
      <c r="EA39" s="363">
        <v>15</v>
      </c>
      <c r="EB39" s="363">
        <v>15</v>
      </c>
      <c r="EC39" s="363">
        <v>15</v>
      </c>
      <c r="ED39" s="363">
        <v>15</v>
      </c>
      <c r="EE39" s="363">
        <v>15</v>
      </c>
      <c r="EF39" s="363">
        <v>15</v>
      </c>
      <c r="EG39" s="363">
        <v>15</v>
      </c>
      <c r="EH39" s="363">
        <v>15</v>
      </c>
      <c r="EI39" s="363">
        <v>15</v>
      </c>
      <c r="EJ39" s="363">
        <v>15</v>
      </c>
      <c r="EK39" s="363">
        <v>15</v>
      </c>
      <c r="EL39" s="363"/>
      <c r="EM39" s="363"/>
      <c r="EN39" s="357">
        <f>SUM(DZ39:EM40)</f>
        <v>180</v>
      </c>
    </row>
    <row r="40" spans="1:144" ht="28.5" customHeight="1" x14ac:dyDescent="0.35">
      <c r="A40" s="396"/>
      <c r="B40" s="609"/>
      <c r="C40" s="411"/>
      <c r="D40" s="398"/>
      <c r="E40" s="280" t="s">
        <v>276</v>
      </c>
      <c r="F40" s="270">
        <v>30</v>
      </c>
      <c r="G40" s="416"/>
      <c r="H40" s="619"/>
      <c r="I40" s="623"/>
      <c r="J40" s="605"/>
      <c r="K40" s="492"/>
      <c r="L40" s="429"/>
      <c r="M40" s="641"/>
      <c r="N40" s="650"/>
      <c r="O40" s="673"/>
      <c r="P40" s="660"/>
      <c r="Q40" s="395"/>
      <c r="R40" s="393"/>
      <c r="S40" s="393"/>
      <c r="T40" s="393"/>
      <c r="U40" s="393"/>
      <c r="V40" s="393"/>
      <c r="W40" s="393"/>
      <c r="X40" s="393"/>
      <c r="Y40" s="393"/>
      <c r="Z40" s="393"/>
      <c r="AA40" s="393"/>
      <c r="AB40" s="393"/>
      <c r="AC40" s="393"/>
      <c r="AD40" s="393"/>
      <c r="AE40" s="393"/>
      <c r="AF40" s="393"/>
      <c r="AG40" s="393"/>
      <c r="AH40" s="393"/>
      <c r="AI40" s="393"/>
      <c r="AJ40" s="393"/>
      <c r="AK40" s="393"/>
      <c r="AL40" s="393"/>
      <c r="AM40" s="393"/>
      <c r="AN40" s="393"/>
      <c r="AO40" s="393"/>
      <c r="AP40" s="393"/>
      <c r="AQ40" s="393"/>
      <c r="AR40" s="393"/>
      <c r="AS40" s="393"/>
      <c r="AT40" s="393"/>
      <c r="AU40" s="393"/>
      <c r="AV40" s="393"/>
      <c r="AW40" s="393"/>
      <c r="AX40" s="393"/>
      <c r="AY40" s="393"/>
      <c r="AZ40" s="393"/>
      <c r="BA40" s="393"/>
      <c r="BB40" s="393"/>
      <c r="BC40" s="393"/>
      <c r="BD40" s="393"/>
      <c r="BE40" s="393"/>
      <c r="BF40" s="393"/>
      <c r="BG40" s="393"/>
      <c r="BH40" s="393"/>
      <c r="BI40" s="393"/>
      <c r="BJ40" s="393"/>
      <c r="BK40" s="393"/>
      <c r="BL40" s="393"/>
      <c r="BM40" s="393"/>
      <c r="BN40" s="393"/>
      <c r="BO40" s="393"/>
      <c r="BP40" s="393"/>
      <c r="BQ40" s="393"/>
      <c r="BR40" s="395"/>
      <c r="BS40" s="395"/>
      <c r="BT40" s="395"/>
      <c r="BU40" s="395"/>
      <c r="BV40" s="395"/>
      <c r="BW40" s="395"/>
      <c r="BX40" s="395"/>
      <c r="BY40" s="395"/>
      <c r="BZ40" s="395"/>
      <c r="CA40" s="395"/>
      <c r="CB40" s="395"/>
      <c r="CC40" s="395"/>
      <c r="CD40" s="393"/>
      <c r="CE40" s="389"/>
      <c r="CF40" s="377"/>
      <c r="CG40" s="377"/>
      <c r="CH40" s="377"/>
      <c r="CI40" s="377"/>
      <c r="CJ40" s="377"/>
      <c r="CK40" s="377"/>
      <c r="CL40" s="377"/>
      <c r="CM40" s="377"/>
      <c r="CN40" s="377"/>
      <c r="CO40" s="377"/>
      <c r="CP40" s="405"/>
      <c r="CQ40" s="412"/>
      <c r="CR40" s="389"/>
      <c r="CS40" s="377"/>
      <c r="CT40" s="377"/>
      <c r="CU40" s="377"/>
      <c r="CV40" s="377"/>
      <c r="CW40" s="377"/>
      <c r="CX40" s="377"/>
      <c r="CY40" s="377"/>
      <c r="CZ40" s="377"/>
      <c r="DA40" s="377"/>
      <c r="DB40" s="377"/>
      <c r="DC40" s="405"/>
      <c r="DD40" s="412"/>
      <c r="DE40" s="528"/>
      <c r="DF40" s="529"/>
      <c r="DG40" s="529"/>
      <c r="DH40" s="529"/>
      <c r="DI40" s="529"/>
      <c r="DJ40" s="529"/>
      <c r="DK40" s="529"/>
      <c r="DL40" s="529"/>
      <c r="DM40" s="529"/>
      <c r="DN40" s="529"/>
      <c r="DO40" s="529"/>
      <c r="DP40" s="530"/>
      <c r="DQ40" s="543"/>
      <c r="DR40" s="579"/>
      <c r="DS40" s="482"/>
      <c r="DT40" s="438"/>
      <c r="DU40" s="582"/>
      <c r="DV40" s="555"/>
      <c r="DW40" s="418"/>
      <c r="DX40" s="379"/>
      <c r="DY40" s="514"/>
      <c r="DZ40" s="364"/>
      <c r="EA40" s="364"/>
      <c r="EB40" s="364"/>
      <c r="EC40" s="364"/>
      <c r="ED40" s="364"/>
      <c r="EE40" s="364"/>
      <c r="EF40" s="364"/>
      <c r="EG40" s="364"/>
      <c r="EH40" s="364"/>
      <c r="EI40" s="364"/>
      <c r="EJ40" s="364"/>
      <c r="EK40" s="364"/>
      <c r="EL40" s="364"/>
      <c r="EM40" s="364"/>
      <c r="EN40" s="358"/>
    </row>
    <row r="41" spans="1:144" ht="28.5" customHeight="1" x14ac:dyDescent="0.35">
      <c r="A41" s="396">
        <v>19</v>
      </c>
      <c r="B41" s="614" t="s">
        <v>364</v>
      </c>
      <c r="C41" s="411"/>
      <c r="D41" s="398" t="s">
        <v>356</v>
      </c>
      <c r="E41" s="282" t="s">
        <v>234</v>
      </c>
      <c r="F41" s="257">
        <v>30</v>
      </c>
      <c r="G41" s="426" t="e">
        <f>F41+F42+#REF!+#REF!+#REF!+#REF!+#REF!+#REF!+#REF!</f>
        <v>#REF!</v>
      </c>
      <c r="H41" s="618">
        <v>40781</v>
      </c>
      <c r="I41" s="622">
        <f>+D41+8*360</f>
        <v>43605</v>
      </c>
      <c r="J41" s="620">
        <v>240</v>
      </c>
      <c r="K41" s="490">
        <f>I41+360</f>
        <v>43965</v>
      </c>
      <c r="L41" s="629">
        <f>K41+DS41</f>
        <v>44021</v>
      </c>
      <c r="M41" s="642">
        <v>30</v>
      </c>
      <c r="N41" s="649">
        <f>+L41+360</f>
        <v>44381</v>
      </c>
      <c r="O41" s="674"/>
      <c r="P41" s="658">
        <f>ROUNDDOWN(($P$2-D41)/365,0)*30</f>
        <v>270</v>
      </c>
      <c r="Q41" s="394">
        <v>15</v>
      </c>
      <c r="R41" s="393"/>
      <c r="S41" s="393"/>
      <c r="T41" s="393"/>
      <c r="U41" s="393"/>
      <c r="V41" s="393"/>
      <c r="W41" s="393"/>
      <c r="X41" s="393"/>
      <c r="Y41" s="393"/>
      <c r="Z41" s="393"/>
      <c r="AA41" s="393"/>
      <c r="AB41" s="393"/>
      <c r="AC41" s="393"/>
      <c r="AD41" s="393">
        <f>SUM(R41:AC42)</f>
        <v>0</v>
      </c>
      <c r="AE41" s="393"/>
      <c r="AF41" s="393"/>
      <c r="AG41" s="393"/>
      <c r="AH41" s="393"/>
      <c r="AI41" s="393"/>
      <c r="AJ41" s="393"/>
      <c r="AK41" s="393"/>
      <c r="AL41" s="393"/>
      <c r="AM41" s="393"/>
      <c r="AN41" s="393"/>
      <c r="AO41" s="393"/>
      <c r="AP41" s="393"/>
      <c r="AQ41" s="393">
        <f>SUM(AE41:AP42)</f>
        <v>0</v>
      </c>
      <c r="AR41" s="393"/>
      <c r="AS41" s="393">
        <v>8</v>
      </c>
      <c r="AT41" s="393"/>
      <c r="AU41" s="393"/>
      <c r="AV41" s="393"/>
      <c r="AW41" s="393"/>
      <c r="AX41" s="393">
        <v>8</v>
      </c>
      <c r="AY41" s="393"/>
      <c r="AZ41" s="393"/>
      <c r="BA41" s="393"/>
      <c r="BB41" s="393"/>
      <c r="BC41" s="393"/>
      <c r="BD41" s="393">
        <f>SUM(AR41:BC42)</f>
        <v>16</v>
      </c>
      <c r="BE41" s="393"/>
      <c r="BF41" s="393"/>
      <c r="BG41" s="393"/>
      <c r="BH41" s="393"/>
      <c r="BI41" s="393"/>
      <c r="BJ41" s="393"/>
      <c r="BK41" s="393"/>
      <c r="BL41" s="393"/>
      <c r="BM41" s="393"/>
      <c r="BN41" s="393"/>
      <c r="BO41" s="393">
        <v>1</v>
      </c>
      <c r="BP41" s="393"/>
      <c r="BQ41" s="393">
        <f>SUM(BE41:BP42)</f>
        <v>1</v>
      </c>
      <c r="BR41" s="394"/>
      <c r="BS41" s="394"/>
      <c r="BT41" s="394"/>
      <c r="BU41" s="394"/>
      <c r="BV41" s="394"/>
      <c r="BW41" s="394"/>
      <c r="BX41" s="394">
        <v>10</v>
      </c>
      <c r="BY41" s="394"/>
      <c r="BZ41" s="394"/>
      <c r="CA41" s="394"/>
      <c r="CB41" s="394"/>
      <c r="CC41" s="394"/>
      <c r="CD41" s="393">
        <f>SUM(BR41:CC42)</f>
        <v>10</v>
      </c>
      <c r="CE41" s="388"/>
      <c r="CF41" s="387">
        <v>5</v>
      </c>
      <c r="CG41" s="387"/>
      <c r="CH41" s="387"/>
      <c r="CI41" s="387"/>
      <c r="CJ41" s="387"/>
      <c r="CK41" s="387"/>
      <c r="CL41" s="387"/>
      <c r="CM41" s="387"/>
      <c r="CN41" s="387"/>
      <c r="CO41" s="387"/>
      <c r="CP41" s="404"/>
      <c r="CQ41" s="412">
        <f>SUM(CE41:CP42)</f>
        <v>5</v>
      </c>
      <c r="CR41" s="388">
        <v>30</v>
      </c>
      <c r="CS41" s="387"/>
      <c r="CT41" s="387"/>
      <c r="CU41" s="387"/>
      <c r="CV41" s="387"/>
      <c r="CW41" s="387"/>
      <c r="CX41" s="387"/>
      <c r="CY41" s="387"/>
      <c r="CZ41" s="387"/>
      <c r="DA41" s="387"/>
      <c r="DB41" s="387"/>
      <c r="DC41" s="404"/>
      <c r="DD41" s="412">
        <f>SUM(CR41:DC42)</f>
        <v>30</v>
      </c>
      <c r="DE41" s="524">
        <v>31</v>
      </c>
      <c r="DF41" s="525"/>
      <c r="DG41" s="525"/>
      <c r="DH41" s="525"/>
      <c r="DI41" s="525"/>
      <c r="DJ41" s="525"/>
      <c r="DK41" s="525"/>
      <c r="DL41" s="525"/>
      <c r="DM41" s="525"/>
      <c r="DN41" s="525">
        <v>20</v>
      </c>
      <c r="DO41" s="525"/>
      <c r="DP41" s="535"/>
      <c r="DQ41" s="544">
        <f>SUM(DE41:DP42)</f>
        <v>51</v>
      </c>
      <c r="DR41" s="683"/>
      <c r="DS41" s="481">
        <f>'Determ días de vacaciones'!S29</f>
        <v>56</v>
      </c>
      <c r="DU41" s="582"/>
      <c r="DV41" s="579"/>
      <c r="DW41" s="413">
        <f>ROUNDDOWN(($DW$2-H41)/365,0)*30</f>
        <v>270</v>
      </c>
      <c r="DX41" s="378">
        <f>Q41+AD41+AQ41+BD41+BQ41+CD41+CQ41+DD41+DQ41</f>
        <v>128</v>
      </c>
      <c r="DY41" s="513">
        <f>P41-DX41</f>
        <v>142</v>
      </c>
      <c r="DZ41" s="363">
        <v>30</v>
      </c>
      <c r="EA41" s="363">
        <v>31</v>
      </c>
      <c r="EB41" s="363">
        <v>31</v>
      </c>
      <c r="EC41" s="363">
        <v>28</v>
      </c>
      <c r="ED41" s="363">
        <v>22</v>
      </c>
      <c r="EE41" s="363"/>
      <c r="EF41" s="363"/>
      <c r="EG41" s="363"/>
      <c r="EH41" s="363"/>
      <c r="EI41" s="363"/>
      <c r="EJ41" s="363"/>
      <c r="EK41" s="363"/>
      <c r="EL41" s="363"/>
      <c r="EM41" s="363"/>
      <c r="EN41" s="357">
        <f>SUM(DZ41:EM42)</f>
        <v>142</v>
      </c>
    </row>
    <row r="42" spans="1:144" ht="28.5" customHeight="1" x14ac:dyDescent="0.35">
      <c r="A42" s="396"/>
      <c r="B42" s="612"/>
      <c r="C42" s="411"/>
      <c r="D42" s="398"/>
      <c r="E42" s="280" t="s">
        <v>235</v>
      </c>
      <c r="F42" s="270">
        <v>30</v>
      </c>
      <c r="G42" s="416"/>
      <c r="H42" s="619"/>
      <c r="I42" s="623"/>
      <c r="J42" s="605"/>
      <c r="K42" s="409"/>
      <c r="L42" s="429"/>
      <c r="M42" s="641"/>
      <c r="N42" s="650"/>
      <c r="O42" s="673"/>
      <c r="P42" s="660"/>
      <c r="Q42" s="395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  <c r="AE42" s="393"/>
      <c r="AF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3"/>
      <c r="AS42" s="393"/>
      <c r="AT42" s="393"/>
      <c r="AU42" s="393"/>
      <c r="AV42" s="393"/>
      <c r="AW42" s="393"/>
      <c r="AX42" s="393"/>
      <c r="AY42" s="393"/>
      <c r="AZ42" s="393"/>
      <c r="BA42" s="393"/>
      <c r="BB42" s="393"/>
      <c r="BC42" s="393"/>
      <c r="BD42" s="393"/>
      <c r="BE42" s="393"/>
      <c r="BF42" s="393"/>
      <c r="BG42" s="393"/>
      <c r="BH42" s="393"/>
      <c r="BI42" s="393"/>
      <c r="BJ42" s="393"/>
      <c r="BK42" s="393"/>
      <c r="BL42" s="393"/>
      <c r="BM42" s="393"/>
      <c r="BN42" s="393"/>
      <c r="BO42" s="393"/>
      <c r="BP42" s="393"/>
      <c r="BQ42" s="393"/>
      <c r="BR42" s="395"/>
      <c r="BS42" s="395"/>
      <c r="BT42" s="395"/>
      <c r="BU42" s="395"/>
      <c r="BV42" s="395"/>
      <c r="BW42" s="395"/>
      <c r="BX42" s="395"/>
      <c r="BY42" s="395"/>
      <c r="BZ42" s="395"/>
      <c r="CA42" s="395"/>
      <c r="CB42" s="395"/>
      <c r="CC42" s="395"/>
      <c r="CD42" s="393"/>
      <c r="CE42" s="389"/>
      <c r="CF42" s="377"/>
      <c r="CG42" s="377"/>
      <c r="CH42" s="377"/>
      <c r="CI42" s="377"/>
      <c r="CJ42" s="377"/>
      <c r="CK42" s="377"/>
      <c r="CL42" s="377"/>
      <c r="CM42" s="377"/>
      <c r="CN42" s="377"/>
      <c r="CO42" s="377"/>
      <c r="CP42" s="405"/>
      <c r="CQ42" s="412"/>
      <c r="CR42" s="389"/>
      <c r="CS42" s="377"/>
      <c r="CT42" s="377"/>
      <c r="CU42" s="377"/>
      <c r="CV42" s="377"/>
      <c r="CW42" s="377"/>
      <c r="CX42" s="377"/>
      <c r="CY42" s="377"/>
      <c r="CZ42" s="377"/>
      <c r="DA42" s="377"/>
      <c r="DB42" s="377"/>
      <c r="DC42" s="405"/>
      <c r="DD42" s="412"/>
      <c r="DE42" s="528"/>
      <c r="DF42" s="529"/>
      <c r="DG42" s="529"/>
      <c r="DH42" s="529"/>
      <c r="DI42" s="529"/>
      <c r="DJ42" s="529"/>
      <c r="DK42" s="529"/>
      <c r="DL42" s="529"/>
      <c r="DM42" s="529"/>
      <c r="DN42" s="529"/>
      <c r="DO42" s="529"/>
      <c r="DP42" s="537"/>
      <c r="DQ42" s="545"/>
      <c r="DR42" s="681"/>
      <c r="DS42" s="482"/>
      <c r="DT42" s="438"/>
      <c r="DU42" s="582"/>
      <c r="DV42" s="580"/>
      <c r="DW42" s="418"/>
      <c r="DX42" s="379"/>
      <c r="DY42" s="514"/>
      <c r="DZ42" s="364"/>
      <c r="EA42" s="364"/>
      <c r="EB42" s="364"/>
      <c r="EC42" s="364"/>
      <c r="ED42" s="364"/>
      <c r="EE42" s="364"/>
      <c r="EF42" s="364"/>
      <c r="EG42" s="364"/>
      <c r="EH42" s="364"/>
      <c r="EI42" s="364"/>
      <c r="EJ42" s="364"/>
      <c r="EK42" s="364"/>
      <c r="EL42" s="364"/>
      <c r="EM42" s="364"/>
      <c r="EN42" s="358"/>
    </row>
    <row r="43" spans="1:144" ht="28.5" customHeight="1" x14ac:dyDescent="0.35">
      <c r="A43" s="396">
        <v>20</v>
      </c>
      <c r="B43" s="614" t="s">
        <v>53</v>
      </c>
      <c r="C43" s="411"/>
      <c r="D43" s="398" t="s">
        <v>281</v>
      </c>
      <c r="E43" s="282" t="s">
        <v>282</v>
      </c>
      <c r="F43" s="257">
        <v>30</v>
      </c>
      <c r="G43" s="426" t="e">
        <f>F43+F44+#REF!+#REF!+#REF!+#REF!+#REF!+#REF!+F45</f>
        <v>#REF!</v>
      </c>
      <c r="H43" s="618">
        <v>40956</v>
      </c>
      <c r="I43" s="622">
        <f>+D43+8*360</f>
        <v>43789</v>
      </c>
      <c r="J43" s="604">
        <v>240</v>
      </c>
      <c r="K43" s="618">
        <f>I43+360</f>
        <v>44149</v>
      </c>
      <c r="L43" s="629">
        <f>+K43+DS43</f>
        <v>44196</v>
      </c>
      <c r="M43" s="640">
        <v>0</v>
      </c>
      <c r="N43" s="647">
        <f>+L43+360</f>
        <v>44556</v>
      </c>
      <c r="O43" s="651"/>
      <c r="P43" s="661">
        <f>ROUNDDOWN(($P$2-D43)/365,0)*30</f>
        <v>240</v>
      </c>
      <c r="Q43" s="383">
        <v>15</v>
      </c>
      <c r="R43" s="430"/>
      <c r="S43" s="393"/>
      <c r="T43" s="393"/>
      <c r="U43" s="393"/>
      <c r="V43" s="393"/>
      <c r="W43" s="393"/>
      <c r="X43" s="393"/>
      <c r="Y43" s="393"/>
      <c r="Z43" s="393"/>
      <c r="AA43" s="393"/>
      <c r="AB43" s="393"/>
      <c r="AC43" s="393"/>
      <c r="AD43" s="393">
        <f>SUM(R43:AC44)</f>
        <v>0</v>
      </c>
      <c r="AE43" s="393">
        <v>4</v>
      </c>
      <c r="AF43" s="393"/>
      <c r="AG43" s="393"/>
      <c r="AH43" s="393"/>
      <c r="AI43" s="393">
        <v>3</v>
      </c>
      <c r="AJ43" s="393"/>
      <c r="AK43" s="393"/>
      <c r="AL43" s="393"/>
      <c r="AM43" s="393"/>
      <c r="AN43" s="393"/>
      <c r="AO43" s="393"/>
      <c r="AP43" s="393"/>
      <c r="AQ43" s="394">
        <f>SUM(AE43:AP44)</f>
        <v>7</v>
      </c>
      <c r="AR43" s="393"/>
      <c r="AS43" s="393">
        <v>7</v>
      </c>
      <c r="AT43" s="393"/>
      <c r="AU43" s="393"/>
      <c r="AV43" s="393"/>
      <c r="AW43" s="393">
        <v>7</v>
      </c>
      <c r="AX43" s="393"/>
      <c r="AY43" s="393"/>
      <c r="AZ43" s="393"/>
      <c r="BA43" s="393"/>
      <c r="BB43" s="393">
        <v>2</v>
      </c>
      <c r="BC43" s="393">
        <v>3</v>
      </c>
      <c r="BD43" s="394">
        <f>SUM(AR43:BC44)</f>
        <v>19</v>
      </c>
      <c r="BE43" s="393">
        <v>10</v>
      </c>
      <c r="BF43" s="393">
        <v>2</v>
      </c>
      <c r="BG43" s="393"/>
      <c r="BH43" s="393"/>
      <c r="BI43" s="393"/>
      <c r="BJ43" s="393"/>
      <c r="BK43" s="393">
        <v>7</v>
      </c>
      <c r="BL43" s="393"/>
      <c r="BM43" s="393"/>
      <c r="BN43" s="393"/>
      <c r="BO43" s="393"/>
      <c r="BP43" s="393"/>
      <c r="BQ43" s="394">
        <f>SUM(BE43:BP44)</f>
        <v>19</v>
      </c>
      <c r="BR43" s="394"/>
      <c r="BS43" s="394">
        <v>2</v>
      </c>
      <c r="BT43" s="394"/>
      <c r="BU43" s="394"/>
      <c r="BV43" s="394"/>
      <c r="BW43" s="394"/>
      <c r="BX43" s="394"/>
      <c r="BY43" s="394"/>
      <c r="BZ43" s="394"/>
      <c r="CA43" s="394"/>
      <c r="CB43" s="394"/>
      <c r="CC43" s="394"/>
      <c r="CD43" s="394">
        <f>SUM(BS43:CC44)</f>
        <v>2</v>
      </c>
      <c r="CE43" s="388"/>
      <c r="CF43" s="387"/>
      <c r="CG43" s="387">
        <v>6</v>
      </c>
      <c r="CH43" s="387">
        <v>8</v>
      </c>
      <c r="CI43" s="387"/>
      <c r="CJ43" s="387"/>
      <c r="CK43" s="387"/>
      <c r="CL43" s="387"/>
      <c r="CM43" s="387"/>
      <c r="CN43" s="387"/>
      <c r="CO43" s="387"/>
      <c r="CP43" s="404"/>
      <c r="CQ43" s="413">
        <f>SUM(CG43:CP44)</f>
        <v>14</v>
      </c>
      <c r="CR43" s="388"/>
      <c r="CS43" s="387"/>
      <c r="CT43" s="387"/>
      <c r="CU43" s="387"/>
      <c r="CV43" s="387"/>
      <c r="CW43" s="387"/>
      <c r="CX43" s="387"/>
      <c r="CY43" s="387">
        <v>12</v>
      </c>
      <c r="CZ43" s="387"/>
      <c r="DA43" s="387"/>
      <c r="DB43" s="387"/>
      <c r="DC43" s="404"/>
      <c r="DD43" s="413">
        <f>SUM(CT43:DC44)</f>
        <v>12</v>
      </c>
      <c r="DE43" s="524"/>
      <c r="DF43" s="525"/>
      <c r="DG43" s="525"/>
      <c r="DH43" s="525"/>
      <c r="DI43" s="525"/>
      <c r="DJ43" s="525"/>
      <c r="DK43" s="525"/>
      <c r="DL43" s="525"/>
      <c r="DM43" s="525">
        <v>30</v>
      </c>
      <c r="DN43" s="525">
        <v>31</v>
      </c>
      <c r="DO43" s="525"/>
      <c r="DP43" s="526"/>
      <c r="DQ43" s="546">
        <f>SUM(DG43:DP44)</f>
        <v>61</v>
      </c>
      <c r="DR43" s="579"/>
      <c r="DS43" s="481">
        <f>'Determ días de vacaciones'!S30</f>
        <v>47</v>
      </c>
      <c r="DT43" s="437">
        <f>K43+DS43</f>
        <v>44196</v>
      </c>
      <c r="DU43" s="585"/>
      <c r="DV43" s="546"/>
      <c r="DW43" s="413">
        <f>ROUNDDOWN(($DW$2-H43)/365,0)*30</f>
        <v>240</v>
      </c>
      <c r="DX43" s="374">
        <f>Q43+AD43+AQ43+BD43+BQ43+CD43+CQ43+DD43+DQ43</f>
        <v>149</v>
      </c>
      <c r="DY43" s="515">
        <f>P43-DX43</f>
        <v>91</v>
      </c>
      <c r="DZ43" s="363">
        <v>30</v>
      </c>
      <c r="EA43" s="363">
        <v>31</v>
      </c>
      <c r="EB43" s="363">
        <v>30</v>
      </c>
      <c r="EC43" s="363"/>
      <c r="ED43" s="363"/>
      <c r="EE43" s="363"/>
      <c r="EF43" s="363"/>
      <c r="EG43" s="363"/>
      <c r="EH43" s="363"/>
      <c r="EI43" s="363"/>
      <c r="EJ43" s="363"/>
      <c r="EK43" s="363"/>
      <c r="EL43" s="363"/>
      <c r="EM43" s="363"/>
      <c r="EN43" s="357">
        <f>SUM(DZ43:EM44)</f>
        <v>91</v>
      </c>
    </row>
    <row r="44" spans="1:144" ht="28.5" customHeight="1" x14ac:dyDescent="0.35">
      <c r="A44" s="396"/>
      <c r="B44" s="609"/>
      <c r="C44" s="411"/>
      <c r="D44" s="398"/>
      <c r="E44" s="280" t="s">
        <v>283</v>
      </c>
      <c r="F44" s="270">
        <v>30</v>
      </c>
      <c r="G44" s="416"/>
      <c r="H44" s="619"/>
      <c r="I44" s="623"/>
      <c r="J44" s="605"/>
      <c r="K44" s="628"/>
      <c r="L44" s="628"/>
      <c r="M44" s="643"/>
      <c r="N44" s="652"/>
      <c r="O44" s="652"/>
      <c r="P44" s="662"/>
      <c r="Q44" s="383"/>
      <c r="R44" s="430"/>
      <c r="S44" s="393"/>
      <c r="T44" s="393"/>
      <c r="U44" s="393"/>
      <c r="V44" s="393"/>
      <c r="W44" s="393"/>
      <c r="X44" s="393"/>
      <c r="Y44" s="393"/>
      <c r="Z44" s="393"/>
      <c r="AA44" s="393"/>
      <c r="AB44" s="393"/>
      <c r="AC44" s="393"/>
      <c r="AD44" s="393"/>
      <c r="AE44" s="393"/>
      <c r="AF44" s="393"/>
      <c r="AG44" s="393"/>
      <c r="AH44" s="393"/>
      <c r="AI44" s="393"/>
      <c r="AJ44" s="393"/>
      <c r="AK44" s="393"/>
      <c r="AL44" s="393"/>
      <c r="AM44" s="393"/>
      <c r="AN44" s="393"/>
      <c r="AO44" s="393"/>
      <c r="AP44" s="393"/>
      <c r="AQ44" s="395"/>
      <c r="AR44" s="393"/>
      <c r="AS44" s="393"/>
      <c r="AT44" s="393"/>
      <c r="AU44" s="393"/>
      <c r="AV44" s="393"/>
      <c r="AW44" s="393"/>
      <c r="AX44" s="393"/>
      <c r="AY44" s="393"/>
      <c r="AZ44" s="393"/>
      <c r="BA44" s="393"/>
      <c r="BB44" s="393"/>
      <c r="BC44" s="393"/>
      <c r="BD44" s="395"/>
      <c r="BE44" s="393"/>
      <c r="BF44" s="393"/>
      <c r="BG44" s="393"/>
      <c r="BH44" s="393"/>
      <c r="BI44" s="393"/>
      <c r="BJ44" s="393"/>
      <c r="BK44" s="393"/>
      <c r="BL44" s="393"/>
      <c r="BM44" s="393"/>
      <c r="BN44" s="393"/>
      <c r="BO44" s="393"/>
      <c r="BP44" s="393"/>
      <c r="BQ44" s="395"/>
      <c r="BR44" s="395"/>
      <c r="BS44" s="395"/>
      <c r="BT44" s="395"/>
      <c r="BU44" s="395"/>
      <c r="BV44" s="395"/>
      <c r="BW44" s="395"/>
      <c r="BX44" s="395"/>
      <c r="BY44" s="395"/>
      <c r="BZ44" s="395"/>
      <c r="CA44" s="395"/>
      <c r="CB44" s="395"/>
      <c r="CC44" s="395"/>
      <c r="CD44" s="395"/>
      <c r="CE44" s="389"/>
      <c r="CF44" s="377"/>
      <c r="CG44" s="377"/>
      <c r="CH44" s="377"/>
      <c r="CI44" s="377"/>
      <c r="CJ44" s="377"/>
      <c r="CK44" s="377"/>
      <c r="CL44" s="377"/>
      <c r="CM44" s="377"/>
      <c r="CN44" s="377"/>
      <c r="CO44" s="377"/>
      <c r="CP44" s="405"/>
      <c r="CQ44" s="431"/>
      <c r="CR44" s="389"/>
      <c r="CS44" s="377"/>
      <c r="CT44" s="377"/>
      <c r="CU44" s="377"/>
      <c r="CV44" s="377"/>
      <c r="CW44" s="377"/>
      <c r="CX44" s="377"/>
      <c r="CY44" s="377"/>
      <c r="CZ44" s="377"/>
      <c r="DA44" s="377"/>
      <c r="DB44" s="377"/>
      <c r="DC44" s="405"/>
      <c r="DD44" s="431"/>
      <c r="DE44" s="528"/>
      <c r="DF44" s="529"/>
      <c r="DG44" s="529"/>
      <c r="DH44" s="529"/>
      <c r="DI44" s="529"/>
      <c r="DJ44" s="529"/>
      <c r="DK44" s="529"/>
      <c r="DL44" s="529"/>
      <c r="DM44" s="529"/>
      <c r="DN44" s="529"/>
      <c r="DO44" s="529"/>
      <c r="DP44" s="530"/>
      <c r="DQ44" s="546"/>
      <c r="DR44" s="579"/>
      <c r="DS44" s="482"/>
      <c r="DT44" s="438"/>
      <c r="DU44" s="586"/>
      <c r="DV44" s="546"/>
      <c r="DW44" s="418"/>
      <c r="DX44" s="422"/>
      <c r="DY44" s="516"/>
      <c r="DZ44" s="364"/>
      <c r="EA44" s="364"/>
      <c r="EB44" s="364"/>
      <c r="EC44" s="364"/>
      <c r="ED44" s="364"/>
      <c r="EE44" s="364"/>
      <c r="EF44" s="364"/>
      <c r="EG44" s="364"/>
      <c r="EH44" s="364"/>
      <c r="EI44" s="364"/>
      <c r="EJ44" s="364"/>
      <c r="EK44" s="364"/>
      <c r="EL44" s="364"/>
      <c r="EM44" s="364"/>
      <c r="EN44" s="358"/>
    </row>
    <row r="45" spans="1:144" ht="28.5" customHeight="1" x14ac:dyDescent="0.35">
      <c r="A45" s="396">
        <v>21</v>
      </c>
      <c r="B45" s="608" t="s">
        <v>108</v>
      </c>
      <c r="C45" s="411"/>
      <c r="D45" s="398" t="s">
        <v>289</v>
      </c>
      <c r="E45" s="274" t="s">
        <v>290</v>
      </c>
      <c r="F45" s="283">
        <v>30</v>
      </c>
      <c r="G45" s="416" t="e">
        <f>SUM(F45+F46+#REF!+#REF!)</f>
        <v>#REF!</v>
      </c>
      <c r="H45" s="618">
        <v>43421</v>
      </c>
      <c r="I45" s="622">
        <f>+D45+360</f>
        <v>43734</v>
      </c>
      <c r="J45" s="604">
        <v>30</v>
      </c>
      <c r="K45" s="511">
        <f>I45+360</f>
        <v>44094</v>
      </c>
      <c r="L45" s="589">
        <f>K45+DS45</f>
        <v>44141</v>
      </c>
      <c r="M45" s="640">
        <v>0</v>
      </c>
      <c r="N45" s="649">
        <f>+L45+360</f>
        <v>44501</v>
      </c>
      <c r="O45" s="671"/>
      <c r="P45" s="660">
        <f>ROUNDDOWN(($P$2-D45)/365,0)*30</f>
        <v>60</v>
      </c>
      <c r="Q45" s="395"/>
      <c r="R45" s="393"/>
      <c r="S45" s="393"/>
      <c r="T45" s="393"/>
      <c r="U45" s="393"/>
      <c r="V45" s="393"/>
      <c r="W45" s="393"/>
      <c r="X45" s="393"/>
      <c r="Y45" s="393"/>
      <c r="Z45" s="393"/>
      <c r="AA45" s="393"/>
      <c r="AB45" s="393"/>
      <c r="AC45" s="393"/>
      <c r="AD45" s="393"/>
      <c r="AE45" s="393"/>
      <c r="AF45" s="393"/>
      <c r="AG45" s="393"/>
      <c r="AH45" s="393"/>
      <c r="AI45" s="393"/>
      <c r="AJ45" s="393"/>
      <c r="AK45" s="393"/>
      <c r="AL45" s="393"/>
      <c r="AM45" s="393"/>
      <c r="AN45" s="393"/>
      <c r="AO45" s="393"/>
      <c r="AP45" s="393"/>
      <c r="AQ45" s="393"/>
      <c r="AR45" s="393"/>
      <c r="AS45" s="393"/>
      <c r="AT45" s="393"/>
      <c r="AU45" s="393"/>
      <c r="AV45" s="393"/>
      <c r="AW45" s="393"/>
      <c r="AX45" s="393"/>
      <c r="AY45" s="393"/>
      <c r="AZ45" s="393"/>
      <c r="BA45" s="393"/>
      <c r="BB45" s="393"/>
      <c r="BC45" s="393"/>
      <c r="BD45" s="393"/>
      <c r="BE45" s="393"/>
      <c r="BF45" s="393"/>
      <c r="BG45" s="393"/>
      <c r="BH45" s="393"/>
      <c r="BI45" s="393"/>
      <c r="BJ45" s="393"/>
      <c r="BK45" s="393"/>
      <c r="BL45" s="393"/>
      <c r="BM45" s="393"/>
      <c r="BN45" s="393"/>
      <c r="BO45" s="393"/>
      <c r="BP45" s="393"/>
      <c r="BQ45" s="393"/>
      <c r="BR45" s="395"/>
      <c r="BS45" s="395"/>
      <c r="BT45" s="395"/>
      <c r="BU45" s="395"/>
      <c r="BV45" s="395"/>
      <c r="BW45" s="395"/>
      <c r="BX45" s="395"/>
      <c r="BY45" s="395"/>
      <c r="BZ45" s="395"/>
      <c r="CA45" s="395"/>
      <c r="CB45" s="395"/>
      <c r="CC45" s="395"/>
      <c r="CD45" s="393"/>
      <c r="CE45" s="389"/>
      <c r="CF45" s="377"/>
      <c r="CG45" s="377"/>
      <c r="CH45" s="377"/>
      <c r="CI45" s="377"/>
      <c r="CJ45" s="377"/>
      <c r="CK45" s="377"/>
      <c r="CL45" s="377"/>
      <c r="CM45" s="377"/>
      <c r="CN45" s="377"/>
      <c r="CO45" s="377"/>
      <c r="CP45" s="404">
        <v>4</v>
      </c>
      <c r="CQ45" s="412">
        <f>SUM(CE45:CP46)</f>
        <v>4</v>
      </c>
      <c r="CR45" s="389"/>
      <c r="CS45" s="377">
        <v>7</v>
      </c>
      <c r="CT45" s="377"/>
      <c r="CU45" s="377"/>
      <c r="CV45" s="377"/>
      <c r="CW45" s="377"/>
      <c r="CX45" s="387">
        <v>1</v>
      </c>
      <c r="CY45" s="387"/>
      <c r="CZ45" s="387">
        <v>8</v>
      </c>
      <c r="DA45" s="387"/>
      <c r="DB45" s="387"/>
      <c r="DC45" s="390"/>
      <c r="DD45" s="433">
        <f>SUM(CR45:DC46)</f>
        <v>16</v>
      </c>
      <c r="DE45" s="528"/>
      <c r="DF45" s="529">
        <v>15</v>
      </c>
      <c r="DG45" s="529"/>
      <c r="DH45" s="529"/>
      <c r="DI45" s="525"/>
      <c r="DJ45" s="525"/>
      <c r="DK45" s="525"/>
      <c r="DL45" s="525"/>
      <c r="DM45" s="525">
        <v>12</v>
      </c>
      <c r="DN45" s="525"/>
      <c r="DO45" s="525"/>
      <c r="DP45" s="535"/>
      <c r="DQ45" s="545">
        <f>SUM(DE45:DP46)</f>
        <v>27</v>
      </c>
      <c r="DR45" s="681"/>
      <c r="DS45" s="481">
        <f>'Determ días de vacaciones'!S32</f>
        <v>47</v>
      </c>
      <c r="DU45" s="585"/>
      <c r="DV45" s="572"/>
      <c r="DW45" s="413">
        <f>ROUNDDOWN(($DW$2-H45)/365,0)*30</f>
        <v>30</v>
      </c>
      <c r="DX45" s="407">
        <f>CQ45+DD45+DQ45</f>
        <v>47</v>
      </c>
      <c r="DY45" s="513">
        <f>P45-DX45</f>
        <v>13</v>
      </c>
      <c r="DZ45" s="363">
        <v>13</v>
      </c>
      <c r="EA45" s="363"/>
      <c r="EB45" s="363"/>
      <c r="EC45" s="363"/>
      <c r="ED45" s="363"/>
      <c r="EE45" s="363"/>
      <c r="EF45" s="363"/>
      <c r="EG45" s="363"/>
      <c r="EH45" s="363"/>
      <c r="EI45" s="363"/>
      <c r="EJ45" s="363"/>
      <c r="EK45" s="363"/>
      <c r="EL45" s="363"/>
      <c r="EM45" s="363"/>
      <c r="EN45" s="357">
        <f>SUM(DZ45:EM46)</f>
        <v>13</v>
      </c>
    </row>
    <row r="46" spans="1:144" ht="28.5" customHeight="1" x14ac:dyDescent="0.35">
      <c r="A46" s="396"/>
      <c r="B46" s="613"/>
      <c r="C46" s="411"/>
      <c r="D46" s="398"/>
      <c r="E46" s="275" t="s">
        <v>291</v>
      </c>
      <c r="F46" s="269">
        <v>30</v>
      </c>
      <c r="G46" s="416"/>
      <c r="H46" s="619"/>
      <c r="I46" s="631"/>
      <c r="J46" s="630"/>
      <c r="K46" s="626"/>
      <c r="L46" s="593"/>
      <c r="M46" s="643"/>
      <c r="N46" s="653"/>
      <c r="O46" s="673"/>
      <c r="P46" s="660"/>
      <c r="Q46" s="395"/>
      <c r="R46" s="393"/>
      <c r="S46" s="393"/>
      <c r="T46" s="393"/>
      <c r="U46" s="393"/>
      <c r="V46" s="393"/>
      <c r="W46" s="393"/>
      <c r="X46" s="393"/>
      <c r="Y46" s="393"/>
      <c r="Z46" s="393"/>
      <c r="AA46" s="393"/>
      <c r="AB46" s="393"/>
      <c r="AC46" s="393"/>
      <c r="AD46" s="393"/>
      <c r="AE46" s="393"/>
      <c r="AF46" s="393"/>
      <c r="AG46" s="393"/>
      <c r="AH46" s="393"/>
      <c r="AI46" s="393"/>
      <c r="AJ46" s="393"/>
      <c r="AK46" s="393"/>
      <c r="AL46" s="393"/>
      <c r="AM46" s="393"/>
      <c r="AN46" s="393"/>
      <c r="AO46" s="393"/>
      <c r="AP46" s="393"/>
      <c r="AQ46" s="393"/>
      <c r="AR46" s="393"/>
      <c r="AS46" s="393"/>
      <c r="AT46" s="393"/>
      <c r="AU46" s="393"/>
      <c r="AV46" s="393"/>
      <c r="AW46" s="393"/>
      <c r="AX46" s="393"/>
      <c r="AY46" s="393"/>
      <c r="AZ46" s="393"/>
      <c r="BA46" s="393"/>
      <c r="BB46" s="393"/>
      <c r="BC46" s="393"/>
      <c r="BD46" s="393"/>
      <c r="BE46" s="393"/>
      <c r="BF46" s="393"/>
      <c r="BG46" s="393"/>
      <c r="BH46" s="393"/>
      <c r="BI46" s="393"/>
      <c r="BJ46" s="393"/>
      <c r="BK46" s="393"/>
      <c r="BL46" s="393"/>
      <c r="BM46" s="393"/>
      <c r="BN46" s="393"/>
      <c r="BO46" s="393"/>
      <c r="BP46" s="393"/>
      <c r="BQ46" s="393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3"/>
      <c r="CE46" s="389"/>
      <c r="CF46" s="377"/>
      <c r="CG46" s="377"/>
      <c r="CH46" s="377"/>
      <c r="CI46" s="377"/>
      <c r="CJ46" s="377"/>
      <c r="CK46" s="377"/>
      <c r="CL46" s="377"/>
      <c r="CM46" s="377"/>
      <c r="CN46" s="377"/>
      <c r="CO46" s="377"/>
      <c r="CP46" s="405"/>
      <c r="CQ46" s="412"/>
      <c r="CR46" s="389"/>
      <c r="CS46" s="377"/>
      <c r="CT46" s="377"/>
      <c r="CU46" s="377"/>
      <c r="CV46" s="377"/>
      <c r="CW46" s="377"/>
      <c r="CX46" s="377"/>
      <c r="CY46" s="377"/>
      <c r="CZ46" s="377"/>
      <c r="DA46" s="377"/>
      <c r="DB46" s="377"/>
      <c r="DC46" s="391"/>
      <c r="DD46" s="433"/>
      <c r="DE46" s="528"/>
      <c r="DF46" s="529"/>
      <c r="DG46" s="529"/>
      <c r="DH46" s="529"/>
      <c r="DI46" s="529"/>
      <c r="DJ46" s="529"/>
      <c r="DK46" s="529"/>
      <c r="DL46" s="529"/>
      <c r="DM46" s="529"/>
      <c r="DN46" s="529"/>
      <c r="DO46" s="529"/>
      <c r="DP46" s="537"/>
      <c r="DQ46" s="545"/>
      <c r="DR46" s="681"/>
      <c r="DS46" s="482"/>
      <c r="DT46" s="438"/>
      <c r="DU46" s="586"/>
      <c r="DV46" s="580"/>
      <c r="DW46" s="418"/>
      <c r="DX46" s="379"/>
      <c r="DY46" s="514"/>
      <c r="DZ46" s="364"/>
      <c r="EA46" s="364"/>
      <c r="EB46" s="364"/>
      <c r="EC46" s="364"/>
      <c r="ED46" s="364"/>
      <c r="EE46" s="364"/>
      <c r="EF46" s="364"/>
      <c r="EG46" s="364"/>
      <c r="EH46" s="364"/>
      <c r="EI46" s="364"/>
      <c r="EJ46" s="364"/>
      <c r="EK46" s="364"/>
      <c r="EL46" s="364"/>
      <c r="EM46" s="364"/>
      <c r="EN46" s="358"/>
    </row>
    <row r="47" spans="1:144" ht="28.5" customHeight="1" x14ac:dyDescent="0.35">
      <c r="A47" s="396">
        <v>22</v>
      </c>
      <c r="B47" s="614" t="s">
        <v>87</v>
      </c>
      <c r="C47" s="411" t="s">
        <v>292</v>
      </c>
      <c r="D47" s="398" t="s">
        <v>293</v>
      </c>
      <c r="E47" s="273"/>
      <c r="F47" s="257"/>
      <c r="G47" s="400" t="e">
        <f>F47+F48+#REF!+#REF!+#REF!+#REF!+#REF!+#REF!+#REF!</f>
        <v>#REF!</v>
      </c>
      <c r="H47" s="632">
        <v>41025</v>
      </c>
      <c r="I47" s="622">
        <f>D47+7*360</f>
        <v>43489</v>
      </c>
      <c r="J47" s="634">
        <v>210</v>
      </c>
      <c r="K47" s="687">
        <f>I47+360</f>
        <v>43849</v>
      </c>
      <c r="L47" s="618"/>
      <c r="M47" s="641">
        <v>30</v>
      </c>
      <c r="N47" s="687">
        <f>K47+DS47+360</f>
        <v>44265</v>
      </c>
      <c r="O47" s="671"/>
      <c r="P47" s="658">
        <f>ROUNDDOWN(($P$2-D47)/365,0)*30</f>
        <v>240</v>
      </c>
      <c r="Q47" s="394"/>
      <c r="R47" s="393"/>
      <c r="S47" s="393">
        <v>1</v>
      </c>
      <c r="T47" s="393"/>
      <c r="U47" s="393"/>
      <c r="V47" s="393"/>
      <c r="W47" s="393">
        <v>1</v>
      </c>
      <c r="X47" s="393"/>
      <c r="Y47" s="393">
        <v>2</v>
      </c>
      <c r="Z47" s="393"/>
      <c r="AA47" s="393"/>
      <c r="AB47" s="393"/>
      <c r="AC47" s="393"/>
      <c r="AD47" s="393">
        <f>SUM(R47:AC48)</f>
        <v>4</v>
      </c>
      <c r="AE47" s="393"/>
      <c r="AF47" s="393">
        <v>2</v>
      </c>
      <c r="AG47" s="393">
        <v>1</v>
      </c>
      <c r="AH47" s="393"/>
      <c r="AI47" s="393">
        <v>1</v>
      </c>
      <c r="AJ47" s="393"/>
      <c r="AK47" s="393"/>
      <c r="AL47" s="393"/>
      <c r="AM47" s="393"/>
      <c r="AN47" s="393"/>
      <c r="AO47" s="393"/>
      <c r="AP47" s="393"/>
      <c r="AQ47" s="393">
        <f>SUM(AE47:AP48)</f>
        <v>4</v>
      </c>
      <c r="AR47" s="393">
        <v>1</v>
      </c>
      <c r="AS47" s="393"/>
      <c r="AT47" s="393">
        <v>2</v>
      </c>
      <c r="AU47" s="393">
        <v>5</v>
      </c>
      <c r="AV47" s="393"/>
      <c r="AW47" s="393">
        <v>1</v>
      </c>
      <c r="AX47" s="393">
        <v>2</v>
      </c>
      <c r="AY47" s="393">
        <v>5</v>
      </c>
      <c r="AZ47" s="393"/>
      <c r="BA47" s="393"/>
      <c r="BB47" s="393">
        <v>1</v>
      </c>
      <c r="BC47" s="393"/>
      <c r="BD47" s="393">
        <f>SUM(AR47:BC48)</f>
        <v>17</v>
      </c>
      <c r="BE47" s="393">
        <v>1</v>
      </c>
      <c r="BF47" s="393">
        <v>1</v>
      </c>
      <c r="BG47" s="393"/>
      <c r="BH47" s="393">
        <v>2</v>
      </c>
      <c r="BI47" s="393"/>
      <c r="BJ47" s="393"/>
      <c r="BK47" s="393"/>
      <c r="BL47" s="393"/>
      <c r="BM47" s="393"/>
      <c r="BN47" s="393"/>
      <c r="BO47" s="393">
        <v>1</v>
      </c>
      <c r="BP47" s="393"/>
      <c r="BQ47" s="393">
        <f>SUM(BE47:BP48)</f>
        <v>5</v>
      </c>
      <c r="BR47" s="394">
        <v>2</v>
      </c>
      <c r="BS47" s="394">
        <v>2</v>
      </c>
      <c r="BT47" s="394">
        <v>1</v>
      </c>
      <c r="BU47" s="394">
        <v>2</v>
      </c>
      <c r="BV47" s="394">
        <v>3</v>
      </c>
      <c r="BW47" s="394"/>
      <c r="BX47" s="394"/>
      <c r="BY47" s="394"/>
      <c r="BZ47" s="394"/>
      <c r="CA47" s="394"/>
      <c r="CB47" s="394">
        <v>4</v>
      </c>
      <c r="CC47" s="394">
        <v>6</v>
      </c>
      <c r="CD47" s="393">
        <f>SUM(BR47:CC48)</f>
        <v>20</v>
      </c>
      <c r="CE47" s="388">
        <v>1</v>
      </c>
      <c r="CF47" s="387">
        <v>5</v>
      </c>
      <c r="CG47" s="387"/>
      <c r="CH47" s="387"/>
      <c r="CI47" s="387">
        <v>5</v>
      </c>
      <c r="CJ47" s="387">
        <v>2</v>
      </c>
      <c r="CK47" s="387">
        <v>3</v>
      </c>
      <c r="CL47" s="387"/>
      <c r="CM47" s="387">
        <v>2</v>
      </c>
      <c r="CN47" s="387"/>
      <c r="CO47" s="387"/>
      <c r="CP47" s="404"/>
      <c r="CQ47" s="412">
        <f>SUM(CE47:CP48)</f>
        <v>18</v>
      </c>
      <c r="CR47" s="388">
        <v>60</v>
      </c>
      <c r="CS47" s="387"/>
      <c r="CT47" s="387">
        <v>2</v>
      </c>
      <c r="CU47" s="387"/>
      <c r="CV47" s="387">
        <v>60</v>
      </c>
      <c r="CW47" s="387"/>
      <c r="CX47" s="387"/>
      <c r="CY47" s="387"/>
      <c r="CZ47" s="387">
        <v>30</v>
      </c>
      <c r="DA47" s="387"/>
      <c r="DB47" s="387"/>
      <c r="DC47" s="404"/>
      <c r="DD47" s="412">
        <f>SUM(CR47:DC48)</f>
        <v>152</v>
      </c>
      <c r="DE47" s="524"/>
      <c r="DF47" s="525">
        <v>7</v>
      </c>
      <c r="DG47" s="525"/>
      <c r="DH47" s="525"/>
      <c r="DI47" s="525"/>
      <c r="DJ47" s="525"/>
      <c r="DK47" s="525"/>
      <c r="DL47" s="525"/>
      <c r="DM47" s="525">
        <v>15</v>
      </c>
      <c r="DN47" s="525">
        <v>3</v>
      </c>
      <c r="DO47" s="525"/>
      <c r="DP47" s="526"/>
      <c r="DQ47" s="543">
        <f>SUM(DE47:DP48)</f>
        <v>25</v>
      </c>
      <c r="DR47" s="579"/>
      <c r="DS47" s="481">
        <f>'Determ días de vacaciones'!S33</f>
        <v>56</v>
      </c>
      <c r="DT47" s="437">
        <f>K47+DS47</f>
        <v>43905</v>
      </c>
      <c r="DU47" s="582"/>
      <c r="DV47" s="548"/>
      <c r="DW47" s="413">
        <f>ROUNDDOWN(($DW$2-H47)/365,0)*30</f>
        <v>240</v>
      </c>
      <c r="DX47" s="378">
        <f>BQ47+AD47+AQ47+BD47+BQ47+CD47+CQ47+DD47+DQ47</f>
        <v>250</v>
      </c>
      <c r="DY47" s="513">
        <f>P47-DX47</f>
        <v>-10</v>
      </c>
      <c r="DZ47" s="363"/>
      <c r="EA47" s="363"/>
      <c r="EB47" s="363"/>
      <c r="EC47" s="363"/>
      <c r="ED47" s="363"/>
      <c r="EE47" s="363"/>
      <c r="EF47" s="363"/>
      <c r="EG47" s="363"/>
      <c r="EH47" s="363"/>
      <c r="EI47" s="363"/>
      <c r="EJ47" s="363"/>
      <c r="EK47" s="363"/>
      <c r="EL47" s="363"/>
      <c r="EM47" s="363"/>
      <c r="EN47" s="357">
        <f>SUM(DZ47:EM48)</f>
        <v>0</v>
      </c>
    </row>
    <row r="48" spans="1:144" ht="28.5" customHeight="1" x14ac:dyDescent="0.35">
      <c r="A48" s="396"/>
      <c r="B48" s="609"/>
      <c r="C48" s="411"/>
      <c r="D48" s="399"/>
      <c r="E48" s="274" t="s">
        <v>225</v>
      </c>
      <c r="F48" s="270">
        <v>30</v>
      </c>
      <c r="G48" s="401"/>
      <c r="H48" s="633"/>
      <c r="I48" s="623"/>
      <c r="J48" s="635"/>
      <c r="K48" s="624"/>
      <c r="L48" s="627"/>
      <c r="M48" s="641"/>
      <c r="N48" s="650"/>
      <c r="O48" s="673"/>
      <c r="P48" s="660"/>
      <c r="Q48" s="395"/>
      <c r="R48" s="393"/>
      <c r="S48" s="393"/>
      <c r="T48" s="393"/>
      <c r="U48" s="393"/>
      <c r="V48" s="393"/>
      <c r="W48" s="393"/>
      <c r="X48" s="393"/>
      <c r="Y48" s="393"/>
      <c r="Z48" s="393"/>
      <c r="AA48" s="393"/>
      <c r="AB48" s="393"/>
      <c r="AC48" s="393"/>
      <c r="AD48" s="393"/>
      <c r="AE48" s="393"/>
      <c r="AF48" s="393"/>
      <c r="AG48" s="393"/>
      <c r="AH48" s="393"/>
      <c r="AI48" s="393"/>
      <c r="AJ48" s="393"/>
      <c r="AK48" s="393"/>
      <c r="AL48" s="393"/>
      <c r="AM48" s="393"/>
      <c r="AN48" s="393"/>
      <c r="AO48" s="393"/>
      <c r="AP48" s="393"/>
      <c r="AQ48" s="393"/>
      <c r="AR48" s="393"/>
      <c r="AS48" s="393"/>
      <c r="AT48" s="393"/>
      <c r="AU48" s="393"/>
      <c r="AV48" s="393"/>
      <c r="AW48" s="393"/>
      <c r="AX48" s="393"/>
      <c r="AY48" s="393"/>
      <c r="AZ48" s="393"/>
      <c r="BA48" s="393"/>
      <c r="BB48" s="393"/>
      <c r="BC48" s="393"/>
      <c r="BD48" s="393"/>
      <c r="BE48" s="393"/>
      <c r="BF48" s="393"/>
      <c r="BG48" s="393"/>
      <c r="BH48" s="393"/>
      <c r="BI48" s="393"/>
      <c r="BJ48" s="393"/>
      <c r="BK48" s="393"/>
      <c r="BL48" s="393"/>
      <c r="BM48" s="393"/>
      <c r="BN48" s="393"/>
      <c r="BO48" s="393"/>
      <c r="BP48" s="393"/>
      <c r="BQ48" s="393"/>
      <c r="BR48" s="395"/>
      <c r="BS48" s="395"/>
      <c r="BT48" s="395"/>
      <c r="BU48" s="395"/>
      <c r="BV48" s="395"/>
      <c r="BW48" s="395"/>
      <c r="BX48" s="395"/>
      <c r="BY48" s="395"/>
      <c r="BZ48" s="395"/>
      <c r="CA48" s="395"/>
      <c r="CB48" s="395"/>
      <c r="CC48" s="395"/>
      <c r="CD48" s="393"/>
      <c r="CE48" s="389"/>
      <c r="CF48" s="377"/>
      <c r="CG48" s="377"/>
      <c r="CH48" s="377"/>
      <c r="CI48" s="377"/>
      <c r="CJ48" s="377"/>
      <c r="CK48" s="377"/>
      <c r="CL48" s="377"/>
      <c r="CM48" s="377"/>
      <c r="CN48" s="377"/>
      <c r="CO48" s="377"/>
      <c r="CP48" s="405"/>
      <c r="CQ48" s="412"/>
      <c r="CR48" s="389"/>
      <c r="CS48" s="377"/>
      <c r="CT48" s="377"/>
      <c r="CU48" s="377"/>
      <c r="CV48" s="377"/>
      <c r="CW48" s="377"/>
      <c r="CX48" s="377"/>
      <c r="CY48" s="377"/>
      <c r="CZ48" s="377"/>
      <c r="DA48" s="377"/>
      <c r="DB48" s="377"/>
      <c r="DC48" s="405"/>
      <c r="DD48" s="412"/>
      <c r="DE48" s="528"/>
      <c r="DF48" s="529"/>
      <c r="DG48" s="529"/>
      <c r="DH48" s="529"/>
      <c r="DI48" s="529"/>
      <c r="DJ48" s="529"/>
      <c r="DK48" s="529"/>
      <c r="DL48" s="529"/>
      <c r="DM48" s="529"/>
      <c r="DN48" s="529"/>
      <c r="DO48" s="529"/>
      <c r="DP48" s="530"/>
      <c r="DQ48" s="543"/>
      <c r="DR48" s="579"/>
      <c r="DS48" s="482"/>
      <c r="DT48" s="438"/>
      <c r="DU48" s="582"/>
      <c r="DV48" s="555"/>
      <c r="DW48" s="418"/>
      <c r="DX48" s="379"/>
      <c r="DY48" s="514"/>
      <c r="DZ48" s="364"/>
      <c r="EA48" s="364"/>
      <c r="EB48" s="364"/>
      <c r="EC48" s="364"/>
      <c r="ED48" s="364"/>
      <c r="EE48" s="364"/>
      <c r="EF48" s="364"/>
      <c r="EG48" s="364"/>
      <c r="EH48" s="364"/>
      <c r="EI48" s="364"/>
      <c r="EJ48" s="364"/>
      <c r="EK48" s="364"/>
      <c r="EL48" s="364"/>
      <c r="EM48" s="364"/>
      <c r="EN48" s="358"/>
    </row>
    <row r="49" spans="1:144" ht="28.5" customHeight="1" x14ac:dyDescent="0.35">
      <c r="A49" s="396">
        <v>23</v>
      </c>
      <c r="B49" s="608" t="s">
        <v>127</v>
      </c>
      <c r="C49" s="606"/>
      <c r="D49" s="381" t="s">
        <v>265</v>
      </c>
      <c r="E49" s="261" t="s">
        <v>221</v>
      </c>
      <c r="F49" s="262">
        <v>30</v>
      </c>
      <c r="G49" s="400" t="e">
        <f>F49+F50+#REF!</f>
        <v>#REF!</v>
      </c>
      <c r="H49" s="632">
        <v>43587</v>
      </c>
      <c r="I49" s="622"/>
      <c r="J49" s="636"/>
      <c r="K49" s="687">
        <v>43831</v>
      </c>
      <c r="L49" s="429"/>
      <c r="M49" s="642">
        <v>30</v>
      </c>
      <c r="N49" s="687">
        <f>K49+DS49+360</f>
        <v>44313</v>
      </c>
      <c r="O49" s="674"/>
      <c r="P49" s="658">
        <f>ROUNDDOWN(($P$2-D49)/365,0)*30</f>
        <v>30</v>
      </c>
      <c r="Q49" s="394"/>
      <c r="R49" s="394"/>
      <c r="S49" s="394"/>
      <c r="T49" s="394"/>
      <c r="U49" s="394"/>
      <c r="V49" s="394"/>
      <c r="W49" s="394"/>
      <c r="X49" s="394"/>
      <c r="Y49" s="394"/>
      <c r="Z49" s="394"/>
      <c r="AA49" s="394"/>
      <c r="AB49" s="394"/>
      <c r="AC49" s="394"/>
      <c r="AD49" s="394"/>
      <c r="AE49" s="394"/>
      <c r="AF49" s="394"/>
      <c r="AG49" s="394"/>
      <c r="AH49" s="394"/>
      <c r="AI49" s="394"/>
      <c r="AJ49" s="394"/>
      <c r="AK49" s="394"/>
      <c r="AL49" s="394"/>
      <c r="AM49" s="394"/>
      <c r="AN49" s="394"/>
      <c r="AO49" s="394"/>
      <c r="AP49" s="394"/>
      <c r="AQ49" s="394"/>
      <c r="AR49" s="394"/>
      <c r="AS49" s="394"/>
      <c r="AT49" s="394"/>
      <c r="AU49" s="394"/>
      <c r="AV49" s="394"/>
      <c r="AW49" s="394"/>
      <c r="AX49" s="394"/>
      <c r="AY49" s="394"/>
      <c r="AZ49" s="394"/>
      <c r="BA49" s="394"/>
      <c r="BB49" s="394"/>
      <c r="BC49" s="394"/>
      <c r="BD49" s="394"/>
      <c r="BE49" s="394"/>
      <c r="BF49" s="394"/>
      <c r="BG49" s="394"/>
      <c r="BH49" s="394"/>
      <c r="BI49" s="394"/>
      <c r="BJ49" s="394"/>
      <c r="BK49" s="394"/>
      <c r="BL49" s="394"/>
      <c r="BM49" s="394"/>
      <c r="BN49" s="394"/>
      <c r="BO49" s="394"/>
      <c r="BP49" s="394"/>
      <c r="BQ49" s="394"/>
      <c r="BR49" s="394"/>
      <c r="BS49" s="394"/>
      <c r="BT49" s="394"/>
      <c r="BU49" s="394"/>
      <c r="BV49" s="394"/>
      <c r="BW49" s="394"/>
      <c r="BX49" s="394"/>
      <c r="BY49" s="394"/>
      <c r="BZ49" s="394"/>
      <c r="CA49" s="394"/>
      <c r="CB49" s="394"/>
      <c r="CC49" s="394"/>
      <c r="CD49" s="394"/>
      <c r="CE49" s="406"/>
      <c r="CF49" s="387"/>
      <c r="CG49" s="387"/>
      <c r="CH49" s="387"/>
      <c r="CI49" s="387"/>
      <c r="CJ49" s="387"/>
      <c r="CK49" s="387"/>
      <c r="CL49" s="387"/>
      <c r="CM49" s="387"/>
      <c r="CN49" s="387"/>
      <c r="CO49" s="387"/>
      <c r="CP49" s="404"/>
      <c r="CQ49" s="413">
        <f>SUM(CE49:CP50)</f>
        <v>0</v>
      </c>
      <c r="CR49" s="406"/>
      <c r="CS49" s="387"/>
      <c r="CT49" s="387"/>
      <c r="CU49" s="387"/>
      <c r="CV49" s="387"/>
      <c r="CW49" s="387"/>
      <c r="CX49" s="387"/>
      <c r="CY49" s="387">
        <v>5</v>
      </c>
      <c r="CZ49" s="387"/>
      <c r="DA49" s="387"/>
      <c r="DB49" s="387"/>
      <c r="DC49" s="404"/>
      <c r="DD49" s="413">
        <f>SUM(CR49:DC50)</f>
        <v>5</v>
      </c>
      <c r="DE49" s="547"/>
      <c r="DF49" s="525"/>
      <c r="DG49" s="525"/>
      <c r="DH49" s="525"/>
      <c r="DI49" s="525"/>
      <c r="DJ49" s="525"/>
      <c r="DK49" s="525"/>
      <c r="DL49" s="525">
        <v>31</v>
      </c>
      <c r="DM49" s="525">
        <v>2</v>
      </c>
      <c r="DN49" s="525"/>
      <c r="DO49" s="525"/>
      <c r="DP49" s="526"/>
      <c r="DQ49" s="548">
        <f>SUM(DE49:DP50)</f>
        <v>33</v>
      </c>
      <c r="DR49" s="579"/>
      <c r="DS49" s="481">
        <f>'Determ días de vacaciones'!S34</f>
        <v>122</v>
      </c>
      <c r="DU49" s="582"/>
      <c r="DV49" s="548"/>
      <c r="DW49" s="413">
        <f>ROUNDDOWN(($DW$2-H49)/365,0)*30</f>
        <v>30</v>
      </c>
      <c r="DX49" s="378">
        <f>Q49+AD49+AQ49+BD49+BQ49+CD49+CQ49+DD49+DQ49</f>
        <v>38</v>
      </c>
      <c r="DY49" s="513">
        <f>P49-DX49</f>
        <v>-8</v>
      </c>
      <c r="DZ49" s="363"/>
      <c r="EA49" s="363"/>
      <c r="EB49" s="363"/>
      <c r="EC49" s="363"/>
      <c r="ED49" s="363"/>
      <c r="EE49" s="363"/>
      <c r="EF49" s="363"/>
      <c r="EG49" s="363"/>
      <c r="EH49" s="363"/>
      <c r="EI49" s="363"/>
      <c r="EJ49" s="363"/>
      <c r="EK49" s="363"/>
      <c r="EL49" s="363"/>
      <c r="EM49" s="363"/>
      <c r="EN49" s="357">
        <f>SUM(DZ49:EM50)</f>
        <v>0</v>
      </c>
    </row>
    <row r="50" spans="1:144" ht="28.5" customHeight="1" x14ac:dyDescent="0.35">
      <c r="A50" s="396"/>
      <c r="B50" s="613"/>
      <c r="C50" s="607"/>
      <c r="D50" s="432"/>
      <c r="E50" s="259" t="s">
        <v>301</v>
      </c>
      <c r="F50" s="269"/>
      <c r="G50" s="401"/>
      <c r="H50" s="633"/>
      <c r="I50" s="623"/>
      <c r="J50" s="635"/>
      <c r="K50" s="492"/>
      <c r="L50" s="429"/>
      <c r="M50" s="641"/>
      <c r="N50" s="650"/>
      <c r="O50" s="673"/>
      <c r="P50" s="660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95"/>
      <c r="AH50" s="395"/>
      <c r="AI50" s="395"/>
      <c r="AJ50" s="395"/>
      <c r="AK50" s="395"/>
      <c r="AL50" s="395"/>
      <c r="AM50" s="395"/>
      <c r="AN50" s="395"/>
      <c r="AO50" s="395"/>
      <c r="AP50" s="395"/>
      <c r="AQ50" s="395"/>
      <c r="AR50" s="395"/>
      <c r="AS50" s="395"/>
      <c r="AT50" s="395"/>
      <c r="AU50" s="395"/>
      <c r="AV50" s="395"/>
      <c r="AW50" s="395"/>
      <c r="AX50" s="395"/>
      <c r="AY50" s="395"/>
      <c r="AZ50" s="395"/>
      <c r="BA50" s="395"/>
      <c r="BB50" s="395"/>
      <c r="BC50" s="395"/>
      <c r="BD50" s="395"/>
      <c r="BE50" s="395"/>
      <c r="BF50" s="395"/>
      <c r="BG50" s="395"/>
      <c r="BH50" s="395"/>
      <c r="BI50" s="395"/>
      <c r="BJ50" s="395"/>
      <c r="BK50" s="395"/>
      <c r="BL50" s="395"/>
      <c r="BM50" s="395"/>
      <c r="BN50" s="395"/>
      <c r="BO50" s="395"/>
      <c r="BP50" s="395"/>
      <c r="BQ50" s="395"/>
      <c r="BR50" s="395"/>
      <c r="BS50" s="395"/>
      <c r="BT50" s="395"/>
      <c r="BU50" s="395"/>
      <c r="BV50" s="395"/>
      <c r="BW50" s="395"/>
      <c r="BX50" s="395"/>
      <c r="BY50" s="395"/>
      <c r="BZ50" s="395"/>
      <c r="CA50" s="395"/>
      <c r="CB50" s="395"/>
      <c r="CC50" s="395"/>
      <c r="CD50" s="395"/>
      <c r="CE50" s="386"/>
      <c r="CF50" s="377"/>
      <c r="CG50" s="377"/>
      <c r="CH50" s="377"/>
      <c r="CI50" s="377"/>
      <c r="CJ50" s="377"/>
      <c r="CK50" s="377"/>
      <c r="CL50" s="377"/>
      <c r="CM50" s="377"/>
      <c r="CN50" s="377"/>
      <c r="CO50" s="377"/>
      <c r="CP50" s="405"/>
      <c r="CQ50" s="431"/>
      <c r="CR50" s="386"/>
      <c r="CS50" s="377"/>
      <c r="CT50" s="377"/>
      <c r="CU50" s="377"/>
      <c r="CV50" s="377"/>
      <c r="CW50" s="377"/>
      <c r="CX50" s="377"/>
      <c r="CY50" s="377"/>
      <c r="CZ50" s="377"/>
      <c r="DA50" s="377"/>
      <c r="DB50" s="377"/>
      <c r="DC50" s="405"/>
      <c r="DD50" s="431"/>
      <c r="DE50" s="549"/>
      <c r="DF50" s="529"/>
      <c r="DG50" s="529"/>
      <c r="DH50" s="529"/>
      <c r="DI50" s="529"/>
      <c r="DJ50" s="529"/>
      <c r="DK50" s="529"/>
      <c r="DL50" s="529"/>
      <c r="DM50" s="529"/>
      <c r="DN50" s="529"/>
      <c r="DO50" s="529"/>
      <c r="DP50" s="530"/>
      <c r="DQ50" s="546"/>
      <c r="DR50" s="579"/>
      <c r="DS50" s="482"/>
      <c r="DT50" s="438"/>
      <c r="DU50" s="582"/>
      <c r="DV50" s="546"/>
      <c r="DW50" s="418"/>
      <c r="DX50" s="407"/>
      <c r="DY50" s="514"/>
      <c r="DZ50" s="364"/>
      <c r="EA50" s="364"/>
      <c r="EB50" s="364"/>
      <c r="EC50" s="364"/>
      <c r="ED50" s="364"/>
      <c r="EE50" s="364"/>
      <c r="EF50" s="364"/>
      <c r="EG50" s="364"/>
      <c r="EH50" s="364"/>
      <c r="EI50" s="364"/>
      <c r="EJ50" s="364"/>
      <c r="EK50" s="364"/>
      <c r="EL50" s="364"/>
      <c r="EM50" s="364"/>
      <c r="EN50" s="358"/>
    </row>
    <row r="51" spans="1:144" ht="28.5" customHeight="1" x14ac:dyDescent="0.35">
      <c r="A51" s="396">
        <v>25</v>
      </c>
      <c r="B51" s="608" t="s">
        <v>377</v>
      </c>
      <c r="C51" s="411" t="s">
        <v>264</v>
      </c>
      <c r="D51" s="398" t="s">
        <v>378</v>
      </c>
      <c r="E51" s="278"/>
      <c r="F51" s="265"/>
      <c r="G51" s="408" t="e">
        <f>F51+F52+#REF!+#REF!+#REF!+#REF!</f>
        <v>#REF!</v>
      </c>
      <c r="H51" s="632"/>
      <c r="I51" s="622"/>
      <c r="J51" s="636"/>
      <c r="K51" s="685">
        <v>44119</v>
      </c>
      <c r="L51" s="592"/>
      <c r="M51" s="642">
        <v>0</v>
      </c>
      <c r="N51" s="680">
        <f>+D51+DS51+360</f>
        <v>44479</v>
      </c>
      <c r="O51" s="674"/>
      <c r="P51" s="658">
        <f>ROUNDDOWN(($P$2-D51)/365,0)*30</f>
        <v>0</v>
      </c>
      <c r="Q51" s="394"/>
      <c r="R51" s="393"/>
      <c r="S51" s="393"/>
      <c r="T51" s="393"/>
      <c r="U51" s="393"/>
      <c r="V51" s="393"/>
      <c r="W51" s="393"/>
      <c r="X51" s="393"/>
      <c r="Y51" s="393"/>
      <c r="Z51" s="393"/>
      <c r="AA51" s="393"/>
      <c r="AB51" s="393"/>
      <c r="AC51" s="393"/>
      <c r="AD51" s="393"/>
      <c r="AE51" s="393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3"/>
      <c r="AQ51" s="393"/>
      <c r="AR51" s="393"/>
      <c r="AS51" s="393"/>
      <c r="AT51" s="393"/>
      <c r="AU51" s="393"/>
      <c r="AV51" s="393"/>
      <c r="AW51" s="393"/>
      <c r="AX51" s="393"/>
      <c r="AY51" s="393"/>
      <c r="AZ51" s="393"/>
      <c r="BA51" s="393"/>
      <c r="BB51" s="393"/>
      <c r="BC51" s="393"/>
      <c r="BD51" s="393"/>
      <c r="BE51" s="393"/>
      <c r="BF51" s="393"/>
      <c r="BG51" s="393"/>
      <c r="BH51" s="393"/>
      <c r="BI51" s="393"/>
      <c r="BJ51" s="393"/>
      <c r="BK51" s="393"/>
      <c r="BL51" s="393"/>
      <c r="BM51" s="393"/>
      <c r="BN51" s="393"/>
      <c r="BO51" s="393"/>
      <c r="BP51" s="393"/>
      <c r="BQ51" s="393"/>
      <c r="BR51" s="394"/>
      <c r="BS51" s="394"/>
      <c r="BT51" s="394"/>
      <c r="BU51" s="394"/>
      <c r="BV51" s="394"/>
      <c r="BW51" s="394"/>
      <c r="BX51" s="394"/>
      <c r="BY51" s="394"/>
      <c r="BZ51" s="394"/>
      <c r="CA51" s="394"/>
      <c r="CB51" s="394"/>
      <c r="CC51" s="394"/>
      <c r="CD51" s="393"/>
      <c r="CE51" s="388"/>
      <c r="CF51" s="387"/>
      <c r="CG51" s="387"/>
      <c r="CH51" s="387"/>
      <c r="CI51" s="387"/>
      <c r="CJ51" s="387"/>
      <c r="CK51" s="387"/>
      <c r="CL51" s="387"/>
      <c r="CM51" s="387"/>
      <c r="CN51" s="387"/>
      <c r="CO51" s="387"/>
      <c r="CP51" s="404"/>
      <c r="CQ51" s="412"/>
      <c r="CR51" s="388"/>
      <c r="CS51" s="387"/>
      <c r="CT51" s="387"/>
      <c r="CU51" s="387"/>
      <c r="CV51" s="387"/>
      <c r="CW51" s="387"/>
      <c r="CX51" s="387"/>
      <c r="CY51" s="387"/>
      <c r="CZ51" s="387"/>
      <c r="DA51" s="387"/>
      <c r="DB51" s="387"/>
      <c r="DC51" s="404"/>
      <c r="DD51" s="412"/>
      <c r="DE51" s="524"/>
      <c r="DF51" s="525"/>
      <c r="DG51" s="525"/>
      <c r="DH51" s="525"/>
      <c r="DI51" s="525"/>
      <c r="DJ51" s="525"/>
      <c r="DK51" s="525"/>
      <c r="DL51" s="525"/>
      <c r="DM51" s="525"/>
      <c r="DN51" s="525"/>
      <c r="DO51" s="525"/>
      <c r="DP51" s="526"/>
      <c r="DQ51" s="543">
        <f>SUM(DE51:DP52)</f>
        <v>0</v>
      </c>
      <c r="DR51" s="579"/>
      <c r="DS51" s="481"/>
      <c r="DT51" s="501"/>
      <c r="DU51" s="583"/>
      <c r="DV51" s="548"/>
      <c r="DW51" s="413"/>
      <c r="DX51" s="378">
        <f>Q51+AD51+AQ51+BD51+BQ51+CD51+CQ51+DD51+DQ51</f>
        <v>0</v>
      </c>
      <c r="DY51" s="513">
        <f>P51-DX51</f>
        <v>0</v>
      </c>
      <c r="DZ51" s="363"/>
      <c r="EA51" s="363"/>
      <c r="EB51" s="363"/>
      <c r="EC51" s="363"/>
      <c r="ED51" s="363"/>
      <c r="EE51" s="363"/>
      <c r="EF51" s="363"/>
      <c r="EG51" s="363"/>
      <c r="EH51" s="363"/>
      <c r="EI51" s="363"/>
      <c r="EJ51" s="363"/>
      <c r="EK51" s="363"/>
      <c r="EL51" s="363"/>
      <c r="EM51" s="363"/>
      <c r="EN51" s="357">
        <f>SUM(DZ51:EM52)</f>
        <v>0</v>
      </c>
    </row>
    <row r="52" spans="1:144" ht="28.5" customHeight="1" x14ac:dyDescent="0.35">
      <c r="A52" s="396"/>
      <c r="B52" s="613"/>
      <c r="C52" s="411"/>
      <c r="D52" s="398"/>
      <c r="E52" s="280"/>
      <c r="F52" s="267"/>
      <c r="G52" s="409"/>
      <c r="H52" s="633"/>
      <c r="I52" s="623"/>
      <c r="J52" s="635"/>
      <c r="K52" s="491"/>
      <c r="L52" s="429"/>
      <c r="M52" s="641"/>
      <c r="N52" s="650"/>
      <c r="O52" s="673"/>
      <c r="P52" s="660"/>
      <c r="Q52" s="395"/>
      <c r="R52" s="393"/>
      <c r="S52" s="393"/>
      <c r="T52" s="393"/>
      <c r="U52" s="393"/>
      <c r="V52" s="393"/>
      <c r="W52" s="393"/>
      <c r="X52" s="393"/>
      <c r="Y52" s="393"/>
      <c r="Z52" s="393"/>
      <c r="AA52" s="393"/>
      <c r="AB52" s="393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393"/>
      <c r="AN52" s="393"/>
      <c r="AO52" s="393"/>
      <c r="AP52" s="393"/>
      <c r="AQ52" s="393"/>
      <c r="AR52" s="393"/>
      <c r="AS52" s="393"/>
      <c r="AT52" s="393"/>
      <c r="AU52" s="393"/>
      <c r="AV52" s="393"/>
      <c r="AW52" s="393"/>
      <c r="AX52" s="393"/>
      <c r="AY52" s="393"/>
      <c r="AZ52" s="393"/>
      <c r="BA52" s="393"/>
      <c r="BB52" s="393"/>
      <c r="BC52" s="393"/>
      <c r="BD52" s="393"/>
      <c r="BE52" s="393"/>
      <c r="BF52" s="393"/>
      <c r="BG52" s="393"/>
      <c r="BH52" s="393"/>
      <c r="BI52" s="393"/>
      <c r="BJ52" s="393"/>
      <c r="BK52" s="393"/>
      <c r="BL52" s="393"/>
      <c r="BM52" s="393"/>
      <c r="BN52" s="393"/>
      <c r="BO52" s="393"/>
      <c r="BP52" s="393"/>
      <c r="BQ52" s="393"/>
      <c r="BR52" s="395"/>
      <c r="BS52" s="395"/>
      <c r="BT52" s="395"/>
      <c r="BU52" s="395"/>
      <c r="BV52" s="395"/>
      <c r="BW52" s="395"/>
      <c r="BX52" s="395"/>
      <c r="BY52" s="395"/>
      <c r="BZ52" s="395"/>
      <c r="CA52" s="395"/>
      <c r="CB52" s="395"/>
      <c r="CC52" s="395"/>
      <c r="CD52" s="393"/>
      <c r="CE52" s="389"/>
      <c r="CF52" s="377"/>
      <c r="CG52" s="377"/>
      <c r="CH52" s="377"/>
      <c r="CI52" s="377"/>
      <c r="CJ52" s="377"/>
      <c r="CK52" s="377"/>
      <c r="CL52" s="377"/>
      <c r="CM52" s="377"/>
      <c r="CN52" s="377"/>
      <c r="CO52" s="377"/>
      <c r="CP52" s="405"/>
      <c r="CQ52" s="412"/>
      <c r="CR52" s="389"/>
      <c r="CS52" s="377"/>
      <c r="CT52" s="377"/>
      <c r="CU52" s="377"/>
      <c r="CV52" s="377"/>
      <c r="CW52" s="377"/>
      <c r="CX52" s="377"/>
      <c r="CY52" s="377"/>
      <c r="CZ52" s="377"/>
      <c r="DA52" s="377"/>
      <c r="DB52" s="377"/>
      <c r="DC52" s="405"/>
      <c r="DD52" s="413"/>
      <c r="DE52" s="528"/>
      <c r="DF52" s="529"/>
      <c r="DG52" s="529"/>
      <c r="DH52" s="529"/>
      <c r="DI52" s="529"/>
      <c r="DJ52" s="529"/>
      <c r="DK52" s="529"/>
      <c r="DL52" s="529"/>
      <c r="DM52" s="529"/>
      <c r="DN52" s="529"/>
      <c r="DO52" s="529"/>
      <c r="DP52" s="530"/>
      <c r="DQ52" s="548"/>
      <c r="DR52" s="579"/>
      <c r="DS52" s="482"/>
      <c r="DT52" s="503"/>
      <c r="DU52" s="587"/>
      <c r="DV52" s="546"/>
      <c r="DW52" s="418"/>
      <c r="DX52" s="379"/>
      <c r="DY52" s="514"/>
      <c r="DZ52" s="364"/>
      <c r="EA52" s="364"/>
      <c r="EB52" s="364"/>
      <c r="EC52" s="364"/>
      <c r="ED52" s="364"/>
      <c r="EE52" s="364"/>
      <c r="EF52" s="364"/>
      <c r="EG52" s="364"/>
      <c r="EH52" s="364"/>
      <c r="EI52" s="364"/>
      <c r="EJ52" s="364"/>
      <c r="EK52" s="364"/>
      <c r="EL52" s="364"/>
      <c r="EM52" s="364"/>
      <c r="EN52" s="358"/>
    </row>
    <row r="53" spans="1:144" ht="28.5" customHeight="1" x14ac:dyDescent="0.35">
      <c r="A53" s="396">
        <v>24</v>
      </c>
      <c r="B53" s="608" t="s">
        <v>151</v>
      </c>
      <c r="C53" s="411" t="s">
        <v>264</v>
      </c>
      <c r="D53" s="398" t="s">
        <v>302</v>
      </c>
      <c r="E53" s="278" t="s">
        <v>303</v>
      </c>
      <c r="F53" s="265">
        <v>30</v>
      </c>
      <c r="G53" s="408" t="e">
        <f>F53+F54+#REF!+#REF!+#REF!+#REF!</f>
        <v>#REF!</v>
      </c>
      <c r="H53" s="632">
        <v>43722</v>
      </c>
      <c r="I53" s="622"/>
      <c r="J53" s="636"/>
      <c r="K53" s="490">
        <v>44044</v>
      </c>
      <c r="L53" s="629">
        <f>K53+DS53</f>
        <v>44088</v>
      </c>
      <c r="M53" s="642">
        <v>30</v>
      </c>
      <c r="N53" s="649">
        <f>+L53+360</f>
        <v>44448</v>
      </c>
      <c r="O53" s="674"/>
      <c r="P53" s="658">
        <f>ROUNDDOWN(($P$2-D53)/365,0)*30</f>
        <v>30</v>
      </c>
      <c r="Q53" s="394"/>
      <c r="R53" s="393"/>
      <c r="S53" s="393"/>
      <c r="T53" s="393"/>
      <c r="U53" s="393"/>
      <c r="V53" s="393"/>
      <c r="W53" s="393"/>
      <c r="X53" s="393"/>
      <c r="Y53" s="393"/>
      <c r="Z53" s="393"/>
      <c r="AA53" s="393"/>
      <c r="AB53" s="393"/>
      <c r="AC53" s="393"/>
      <c r="AD53" s="393"/>
      <c r="AE53" s="393"/>
      <c r="AF53" s="393"/>
      <c r="AG53" s="393"/>
      <c r="AH53" s="393"/>
      <c r="AI53" s="393"/>
      <c r="AJ53" s="393"/>
      <c r="AK53" s="393"/>
      <c r="AL53" s="393"/>
      <c r="AM53" s="393"/>
      <c r="AN53" s="393"/>
      <c r="AO53" s="393"/>
      <c r="AP53" s="393"/>
      <c r="AQ53" s="393"/>
      <c r="AR53" s="393"/>
      <c r="AS53" s="393"/>
      <c r="AT53" s="393"/>
      <c r="AU53" s="393"/>
      <c r="AV53" s="393"/>
      <c r="AW53" s="393"/>
      <c r="AX53" s="393"/>
      <c r="AY53" s="393"/>
      <c r="AZ53" s="393"/>
      <c r="BA53" s="393"/>
      <c r="BB53" s="393"/>
      <c r="BC53" s="393"/>
      <c r="BD53" s="393"/>
      <c r="BE53" s="393"/>
      <c r="BF53" s="393"/>
      <c r="BG53" s="393"/>
      <c r="BH53" s="393"/>
      <c r="BI53" s="393"/>
      <c r="BJ53" s="393"/>
      <c r="BK53" s="393"/>
      <c r="BL53" s="393"/>
      <c r="BM53" s="393"/>
      <c r="BN53" s="393"/>
      <c r="BO53" s="393"/>
      <c r="BP53" s="393"/>
      <c r="BQ53" s="393"/>
      <c r="BR53" s="394"/>
      <c r="BS53" s="394"/>
      <c r="BT53" s="394"/>
      <c r="BU53" s="394"/>
      <c r="BV53" s="394"/>
      <c r="BW53" s="394"/>
      <c r="BX53" s="394"/>
      <c r="BY53" s="394"/>
      <c r="BZ53" s="394"/>
      <c r="CA53" s="394"/>
      <c r="CB53" s="394"/>
      <c r="CC53" s="394"/>
      <c r="CD53" s="393"/>
      <c r="CE53" s="388"/>
      <c r="CF53" s="387"/>
      <c r="CG53" s="387"/>
      <c r="CH53" s="387"/>
      <c r="CI53" s="387"/>
      <c r="CJ53" s="387"/>
      <c r="CK53" s="387"/>
      <c r="CL53" s="387"/>
      <c r="CM53" s="387"/>
      <c r="CN53" s="387"/>
      <c r="CO53" s="387"/>
      <c r="CP53" s="404"/>
      <c r="CQ53" s="412"/>
      <c r="CR53" s="388"/>
      <c r="CS53" s="387"/>
      <c r="CT53" s="387"/>
      <c r="CU53" s="387"/>
      <c r="CV53" s="387"/>
      <c r="CW53" s="387"/>
      <c r="CX53" s="387"/>
      <c r="CY53" s="387"/>
      <c r="CZ53" s="387"/>
      <c r="DA53" s="387"/>
      <c r="DB53" s="387"/>
      <c r="DC53" s="404"/>
      <c r="DD53" s="412"/>
      <c r="DE53" s="524"/>
      <c r="DF53" s="525"/>
      <c r="DG53" s="525"/>
      <c r="DH53" s="525"/>
      <c r="DI53" s="525"/>
      <c r="DJ53" s="525"/>
      <c r="DK53" s="525"/>
      <c r="DL53" s="525"/>
      <c r="DM53" s="525"/>
      <c r="DN53" s="525"/>
      <c r="DO53" s="525"/>
      <c r="DP53" s="526"/>
      <c r="DQ53" s="543">
        <f>SUM(DE53:DP54)</f>
        <v>0</v>
      </c>
      <c r="DR53" s="579"/>
      <c r="DS53" s="481">
        <f>'Determ días de vacaciones'!S35</f>
        <v>44</v>
      </c>
      <c r="DU53" s="582"/>
      <c r="DV53" s="548"/>
      <c r="DW53" s="413">
        <f>ROUNDDOWN(($DW$2-H53)/365,0)*30</f>
        <v>30</v>
      </c>
      <c r="DX53" s="378">
        <f>Q53+AD53+AQ53+BD53+BQ53+CD53+CQ53+DD53+DQ53</f>
        <v>0</v>
      </c>
      <c r="DY53" s="513">
        <f>P53-DX53</f>
        <v>30</v>
      </c>
      <c r="DZ53" s="363">
        <v>30</v>
      </c>
      <c r="EA53" s="363"/>
      <c r="EB53" s="363"/>
      <c r="EC53" s="363"/>
      <c r="ED53" s="363"/>
      <c r="EE53" s="363"/>
      <c r="EF53" s="363"/>
      <c r="EG53" s="363"/>
      <c r="EH53" s="363"/>
      <c r="EI53" s="363"/>
      <c r="EJ53" s="363"/>
      <c r="EK53" s="363"/>
      <c r="EL53" s="363"/>
      <c r="EM53" s="363"/>
      <c r="EN53" s="357">
        <f>SUM(DZ53:EM54)</f>
        <v>30</v>
      </c>
    </row>
    <row r="54" spans="1:144" ht="28.5" customHeight="1" x14ac:dyDescent="0.35">
      <c r="A54" s="396"/>
      <c r="B54" s="613"/>
      <c r="C54" s="411"/>
      <c r="D54" s="398"/>
      <c r="E54" s="280"/>
      <c r="F54" s="267"/>
      <c r="G54" s="409"/>
      <c r="H54" s="633"/>
      <c r="I54" s="623"/>
      <c r="J54" s="635"/>
      <c r="K54" s="492"/>
      <c r="L54" s="429"/>
      <c r="M54" s="641"/>
      <c r="N54" s="650"/>
      <c r="O54" s="673"/>
      <c r="P54" s="660"/>
      <c r="Q54" s="395"/>
      <c r="R54" s="393"/>
      <c r="S54" s="393"/>
      <c r="T54" s="393"/>
      <c r="U54" s="393"/>
      <c r="V54" s="393"/>
      <c r="W54" s="393"/>
      <c r="X54" s="393"/>
      <c r="Y54" s="393"/>
      <c r="Z54" s="393"/>
      <c r="AA54" s="393"/>
      <c r="AB54" s="393"/>
      <c r="AC54" s="393"/>
      <c r="AD54" s="393"/>
      <c r="AE54" s="393"/>
      <c r="AF54" s="393"/>
      <c r="AG54" s="393"/>
      <c r="AH54" s="393"/>
      <c r="AI54" s="393"/>
      <c r="AJ54" s="393"/>
      <c r="AK54" s="393"/>
      <c r="AL54" s="393"/>
      <c r="AM54" s="393"/>
      <c r="AN54" s="393"/>
      <c r="AO54" s="393"/>
      <c r="AP54" s="393"/>
      <c r="AQ54" s="393"/>
      <c r="AR54" s="393"/>
      <c r="AS54" s="393"/>
      <c r="AT54" s="393"/>
      <c r="AU54" s="393"/>
      <c r="AV54" s="393"/>
      <c r="AW54" s="393"/>
      <c r="AX54" s="393"/>
      <c r="AY54" s="393"/>
      <c r="AZ54" s="393"/>
      <c r="BA54" s="393"/>
      <c r="BB54" s="393"/>
      <c r="BC54" s="393"/>
      <c r="BD54" s="393"/>
      <c r="BE54" s="393"/>
      <c r="BF54" s="393"/>
      <c r="BG54" s="393"/>
      <c r="BH54" s="393"/>
      <c r="BI54" s="393"/>
      <c r="BJ54" s="393"/>
      <c r="BK54" s="393"/>
      <c r="BL54" s="393"/>
      <c r="BM54" s="393"/>
      <c r="BN54" s="393"/>
      <c r="BO54" s="393"/>
      <c r="BP54" s="393"/>
      <c r="BQ54" s="393"/>
      <c r="BR54" s="395"/>
      <c r="BS54" s="395"/>
      <c r="BT54" s="395"/>
      <c r="BU54" s="395"/>
      <c r="BV54" s="395"/>
      <c r="BW54" s="395"/>
      <c r="BX54" s="395"/>
      <c r="BY54" s="395"/>
      <c r="BZ54" s="395"/>
      <c r="CA54" s="395"/>
      <c r="CB54" s="395"/>
      <c r="CC54" s="395"/>
      <c r="CD54" s="393"/>
      <c r="CE54" s="389"/>
      <c r="CF54" s="377"/>
      <c r="CG54" s="377"/>
      <c r="CH54" s="377"/>
      <c r="CI54" s="377"/>
      <c r="CJ54" s="377"/>
      <c r="CK54" s="377"/>
      <c r="CL54" s="377"/>
      <c r="CM54" s="377"/>
      <c r="CN54" s="377"/>
      <c r="CO54" s="377"/>
      <c r="CP54" s="405"/>
      <c r="CQ54" s="412"/>
      <c r="CR54" s="389"/>
      <c r="CS54" s="377"/>
      <c r="CT54" s="377"/>
      <c r="CU54" s="377"/>
      <c r="CV54" s="377"/>
      <c r="CW54" s="377"/>
      <c r="CX54" s="377"/>
      <c r="CY54" s="377"/>
      <c r="CZ54" s="377"/>
      <c r="DA54" s="377"/>
      <c r="DB54" s="377"/>
      <c r="DC54" s="405"/>
      <c r="DD54" s="412"/>
      <c r="DE54" s="528"/>
      <c r="DF54" s="529"/>
      <c r="DG54" s="529"/>
      <c r="DH54" s="529"/>
      <c r="DI54" s="529"/>
      <c r="DJ54" s="529"/>
      <c r="DK54" s="529"/>
      <c r="DL54" s="529"/>
      <c r="DM54" s="529"/>
      <c r="DN54" s="529"/>
      <c r="DO54" s="529"/>
      <c r="DP54" s="530"/>
      <c r="DQ54" s="543"/>
      <c r="DR54" s="579"/>
      <c r="DS54" s="482"/>
      <c r="DT54" s="438"/>
      <c r="DU54" s="582"/>
      <c r="DV54" s="555"/>
      <c r="DW54" s="418"/>
      <c r="DX54" s="379"/>
      <c r="DY54" s="514"/>
      <c r="DZ54" s="364"/>
      <c r="EA54" s="364"/>
      <c r="EB54" s="364"/>
      <c r="EC54" s="364"/>
      <c r="ED54" s="364"/>
      <c r="EE54" s="364"/>
      <c r="EF54" s="364"/>
      <c r="EG54" s="364"/>
      <c r="EH54" s="364"/>
      <c r="EI54" s="364"/>
      <c r="EJ54" s="364"/>
      <c r="EK54" s="364"/>
      <c r="EL54" s="364"/>
      <c r="EM54" s="364"/>
      <c r="EN54" s="358"/>
    </row>
    <row r="55" spans="1:144" ht="28.5" customHeight="1" x14ac:dyDescent="0.35">
      <c r="A55" s="396">
        <v>25</v>
      </c>
      <c r="B55" s="608" t="s">
        <v>304</v>
      </c>
      <c r="C55" s="411" t="s">
        <v>264</v>
      </c>
      <c r="D55" s="398" t="s">
        <v>305</v>
      </c>
      <c r="E55" s="278"/>
      <c r="F55" s="265"/>
      <c r="G55" s="408" t="e">
        <f>F55+F56+#REF!+#REF!+#REF!+#REF!</f>
        <v>#REF!</v>
      </c>
      <c r="H55" s="632"/>
      <c r="I55" s="622"/>
      <c r="J55" s="636"/>
      <c r="K55" s="685">
        <v>44044</v>
      </c>
      <c r="L55" s="592"/>
      <c r="M55" s="642">
        <v>0</v>
      </c>
      <c r="N55" s="680">
        <f>+D55+DS55+360</f>
        <v>44404</v>
      </c>
      <c r="O55" s="674"/>
      <c r="P55" s="658">
        <f>ROUNDDOWN(($P$2-D55)/365,0)*30</f>
        <v>0</v>
      </c>
      <c r="Q55" s="394"/>
      <c r="R55" s="393"/>
      <c r="S55" s="393"/>
      <c r="T55" s="393"/>
      <c r="U55" s="393"/>
      <c r="V55" s="393"/>
      <c r="W55" s="393"/>
      <c r="X55" s="393"/>
      <c r="Y55" s="393"/>
      <c r="Z55" s="393"/>
      <c r="AA55" s="393"/>
      <c r="AB55" s="393"/>
      <c r="AC55" s="393"/>
      <c r="AD55" s="393"/>
      <c r="AE55" s="393"/>
      <c r="AF55" s="393"/>
      <c r="AG55" s="393"/>
      <c r="AH55" s="393"/>
      <c r="AI55" s="393"/>
      <c r="AJ55" s="393"/>
      <c r="AK55" s="393"/>
      <c r="AL55" s="393"/>
      <c r="AM55" s="393"/>
      <c r="AN55" s="393"/>
      <c r="AO55" s="393"/>
      <c r="AP55" s="393"/>
      <c r="AQ55" s="393"/>
      <c r="AR55" s="393"/>
      <c r="AS55" s="393"/>
      <c r="AT55" s="393"/>
      <c r="AU55" s="393"/>
      <c r="AV55" s="393"/>
      <c r="AW55" s="393"/>
      <c r="AX55" s="393"/>
      <c r="AY55" s="393"/>
      <c r="AZ55" s="393"/>
      <c r="BA55" s="393"/>
      <c r="BB55" s="393"/>
      <c r="BC55" s="393"/>
      <c r="BD55" s="393"/>
      <c r="BE55" s="393"/>
      <c r="BF55" s="393"/>
      <c r="BG55" s="393"/>
      <c r="BH55" s="393"/>
      <c r="BI55" s="393"/>
      <c r="BJ55" s="393"/>
      <c r="BK55" s="393"/>
      <c r="BL55" s="393"/>
      <c r="BM55" s="393"/>
      <c r="BN55" s="393"/>
      <c r="BO55" s="393"/>
      <c r="BP55" s="393"/>
      <c r="BQ55" s="393"/>
      <c r="BR55" s="394"/>
      <c r="BS55" s="394"/>
      <c r="BT55" s="394"/>
      <c r="BU55" s="394"/>
      <c r="BV55" s="394"/>
      <c r="BW55" s="394"/>
      <c r="BX55" s="394"/>
      <c r="BY55" s="394"/>
      <c r="BZ55" s="394"/>
      <c r="CA55" s="394"/>
      <c r="CB55" s="394"/>
      <c r="CC55" s="394"/>
      <c r="CD55" s="393"/>
      <c r="CE55" s="388"/>
      <c r="CF55" s="387"/>
      <c r="CG55" s="387"/>
      <c r="CH55" s="387"/>
      <c r="CI55" s="387"/>
      <c r="CJ55" s="387"/>
      <c r="CK55" s="387"/>
      <c r="CL55" s="387"/>
      <c r="CM55" s="387"/>
      <c r="CN55" s="387"/>
      <c r="CO55" s="387"/>
      <c r="CP55" s="404"/>
      <c r="CQ55" s="412"/>
      <c r="CR55" s="388"/>
      <c r="CS55" s="387"/>
      <c r="CT55" s="387"/>
      <c r="CU55" s="387"/>
      <c r="CV55" s="387"/>
      <c r="CW55" s="387"/>
      <c r="CX55" s="387"/>
      <c r="CY55" s="387"/>
      <c r="CZ55" s="387"/>
      <c r="DA55" s="387"/>
      <c r="DB55" s="387"/>
      <c r="DC55" s="404"/>
      <c r="DD55" s="412"/>
      <c r="DE55" s="524"/>
      <c r="DF55" s="525"/>
      <c r="DG55" s="525"/>
      <c r="DH55" s="525"/>
      <c r="DI55" s="525"/>
      <c r="DJ55" s="525"/>
      <c r="DK55" s="525"/>
      <c r="DL55" s="525"/>
      <c r="DM55" s="525"/>
      <c r="DN55" s="525"/>
      <c r="DO55" s="525"/>
      <c r="DP55" s="526"/>
      <c r="DQ55" s="543">
        <f>SUM(DE55:DP56)</f>
        <v>0</v>
      </c>
      <c r="DR55" s="579"/>
      <c r="DS55" s="481"/>
      <c r="DT55" s="501"/>
      <c r="DU55" s="583"/>
      <c r="DV55" s="548"/>
      <c r="DW55" s="413"/>
      <c r="DX55" s="378">
        <f>Q55+AD55+AQ55+BD55+BQ55+CD55+CQ55+DD55+DQ55</f>
        <v>0</v>
      </c>
      <c r="DY55" s="513">
        <f>P55-DX55</f>
        <v>0</v>
      </c>
      <c r="DZ55" s="363"/>
      <c r="EA55" s="363"/>
      <c r="EB55" s="363"/>
      <c r="EC55" s="363"/>
      <c r="ED55" s="363"/>
      <c r="EE55" s="363"/>
      <c r="EF55" s="363"/>
      <c r="EG55" s="363"/>
      <c r="EH55" s="363"/>
      <c r="EI55" s="363"/>
      <c r="EJ55" s="363"/>
      <c r="EK55" s="363"/>
      <c r="EL55" s="363"/>
      <c r="EM55" s="363"/>
      <c r="EN55" s="357">
        <f>SUM(DZ55:EM56)</f>
        <v>0</v>
      </c>
    </row>
    <row r="56" spans="1:144" ht="28.5" customHeight="1" x14ac:dyDescent="0.35">
      <c r="A56" s="396"/>
      <c r="B56" s="613"/>
      <c r="C56" s="411"/>
      <c r="D56" s="398"/>
      <c r="E56" s="280"/>
      <c r="F56" s="267"/>
      <c r="G56" s="409"/>
      <c r="H56" s="633"/>
      <c r="I56" s="623"/>
      <c r="J56" s="635"/>
      <c r="K56" s="491"/>
      <c r="L56" s="429"/>
      <c r="M56" s="641"/>
      <c r="N56" s="650"/>
      <c r="O56" s="673"/>
      <c r="P56" s="660"/>
      <c r="Q56" s="395"/>
      <c r="R56" s="393"/>
      <c r="S56" s="393"/>
      <c r="T56" s="393"/>
      <c r="U56" s="393"/>
      <c r="V56" s="393"/>
      <c r="W56" s="393"/>
      <c r="X56" s="393"/>
      <c r="Y56" s="393"/>
      <c r="Z56" s="393"/>
      <c r="AA56" s="393"/>
      <c r="AB56" s="393"/>
      <c r="AC56" s="393"/>
      <c r="AD56" s="393"/>
      <c r="AE56" s="393"/>
      <c r="AF56" s="393"/>
      <c r="AG56" s="393"/>
      <c r="AH56" s="393"/>
      <c r="AI56" s="393"/>
      <c r="AJ56" s="393"/>
      <c r="AK56" s="393"/>
      <c r="AL56" s="393"/>
      <c r="AM56" s="393"/>
      <c r="AN56" s="393"/>
      <c r="AO56" s="393"/>
      <c r="AP56" s="393"/>
      <c r="AQ56" s="393"/>
      <c r="AR56" s="393"/>
      <c r="AS56" s="393"/>
      <c r="AT56" s="393"/>
      <c r="AU56" s="393"/>
      <c r="AV56" s="393"/>
      <c r="AW56" s="393"/>
      <c r="AX56" s="393"/>
      <c r="AY56" s="393"/>
      <c r="AZ56" s="393"/>
      <c r="BA56" s="393"/>
      <c r="BB56" s="393"/>
      <c r="BC56" s="393"/>
      <c r="BD56" s="393"/>
      <c r="BE56" s="393"/>
      <c r="BF56" s="393"/>
      <c r="BG56" s="393"/>
      <c r="BH56" s="393"/>
      <c r="BI56" s="393"/>
      <c r="BJ56" s="393"/>
      <c r="BK56" s="393"/>
      <c r="BL56" s="393"/>
      <c r="BM56" s="393"/>
      <c r="BN56" s="393"/>
      <c r="BO56" s="393"/>
      <c r="BP56" s="393"/>
      <c r="BQ56" s="393"/>
      <c r="BR56" s="395"/>
      <c r="BS56" s="395"/>
      <c r="BT56" s="395"/>
      <c r="BU56" s="395"/>
      <c r="BV56" s="395"/>
      <c r="BW56" s="395"/>
      <c r="BX56" s="395"/>
      <c r="BY56" s="395"/>
      <c r="BZ56" s="395"/>
      <c r="CA56" s="395"/>
      <c r="CB56" s="395"/>
      <c r="CC56" s="395"/>
      <c r="CD56" s="393"/>
      <c r="CE56" s="389"/>
      <c r="CF56" s="377"/>
      <c r="CG56" s="377"/>
      <c r="CH56" s="377"/>
      <c r="CI56" s="377"/>
      <c r="CJ56" s="377"/>
      <c r="CK56" s="377"/>
      <c r="CL56" s="377"/>
      <c r="CM56" s="377"/>
      <c r="CN56" s="377"/>
      <c r="CO56" s="377"/>
      <c r="CP56" s="405"/>
      <c r="CQ56" s="412"/>
      <c r="CR56" s="389"/>
      <c r="CS56" s="377"/>
      <c r="CT56" s="377"/>
      <c r="CU56" s="377"/>
      <c r="CV56" s="377"/>
      <c r="CW56" s="377"/>
      <c r="CX56" s="377"/>
      <c r="CY56" s="377"/>
      <c r="CZ56" s="377"/>
      <c r="DA56" s="377"/>
      <c r="DB56" s="377"/>
      <c r="DC56" s="405"/>
      <c r="DD56" s="413"/>
      <c r="DE56" s="528"/>
      <c r="DF56" s="529"/>
      <c r="DG56" s="529"/>
      <c r="DH56" s="529"/>
      <c r="DI56" s="529"/>
      <c r="DJ56" s="529"/>
      <c r="DK56" s="529"/>
      <c r="DL56" s="529"/>
      <c r="DM56" s="529"/>
      <c r="DN56" s="529"/>
      <c r="DO56" s="529"/>
      <c r="DP56" s="530"/>
      <c r="DQ56" s="548"/>
      <c r="DR56" s="579"/>
      <c r="DS56" s="482"/>
      <c r="DT56" s="503"/>
      <c r="DU56" s="587"/>
      <c r="DV56" s="546"/>
      <c r="DW56" s="418"/>
      <c r="DX56" s="379"/>
      <c r="DY56" s="514"/>
      <c r="DZ56" s="364"/>
      <c r="EA56" s="364"/>
      <c r="EB56" s="364"/>
      <c r="EC56" s="364"/>
      <c r="ED56" s="364"/>
      <c r="EE56" s="364"/>
      <c r="EF56" s="364"/>
      <c r="EG56" s="364"/>
      <c r="EH56" s="364"/>
      <c r="EI56" s="364"/>
      <c r="EJ56" s="364"/>
      <c r="EK56" s="364"/>
      <c r="EL56" s="364"/>
      <c r="EM56" s="364"/>
      <c r="EN56" s="358"/>
    </row>
    <row r="57" spans="1:144" ht="28.5" customHeight="1" x14ac:dyDescent="0.35">
      <c r="A57" s="396">
        <v>26</v>
      </c>
      <c r="B57" s="608" t="s">
        <v>306</v>
      </c>
      <c r="C57" s="411" t="s">
        <v>264</v>
      </c>
      <c r="D57" s="398" t="s">
        <v>307</v>
      </c>
      <c r="E57" s="278" t="s">
        <v>308</v>
      </c>
      <c r="F57" s="279">
        <v>30</v>
      </c>
      <c r="G57" s="428" t="e">
        <f>F57+F58+#REF!+#REF!+#REF!+#REF!</f>
        <v>#REF!</v>
      </c>
      <c r="H57" s="618">
        <v>43444</v>
      </c>
      <c r="I57" s="622">
        <f>D57+360</f>
        <v>43765</v>
      </c>
      <c r="J57" s="634">
        <v>30</v>
      </c>
      <c r="K57" s="488">
        <f>I57+360</f>
        <v>44125</v>
      </c>
      <c r="L57" s="629">
        <f>K57+DS57</f>
        <v>44164.5</v>
      </c>
      <c r="M57" s="640">
        <v>0</v>
      </c>
      <c r="N57" s="649">
        <f>+L57+360</f>
        <v>44524.5</v>
      </c>
      <c r="O57" s="675"/>
      <c r="P57" s="663">
        <f>ROUNDDOWN(($P$2-D57)/365,0)*30</f>
        <v>30</v>
      </c>
      <c r="Q57" s="373"/>
      <c r="R57" s="430"/>
      <c r="S57" s="393"/>
      <c r="T57" s="393"/>
      <c r="U57" s="393"/>
      <c r="V57" s="393"/>
      <c r="W57" s="393"/>
      <c r="X57" s="393"/>
      <c r="Y57" s="393"/>
      <c r="Z57" s="393"/>
      <c r="AA57" s="393"/>
      <c r="AB57" s="393"/>
      <c r="AC57" s="393"/>
      <c r="AD57" s="393"/>
      <c r="AE57" s="393"/>
      <c r="AF57" s="393"/>
      <c r="AG57" s="393"/>
      <c r="AH57" s="393"/>
      <c r="AI57" s="393"/>
      <c r="AJ57" s="393"/>
      <c r="AK57" s="393"/>
      <c r="AL57" s="393"/>
      <c r="AM57" s="393"/>
      <c r="AN57" s="393"/>
      <c r="AO57" s="393"/>
      <c r="AP57" s="393"/>
      <c r="AQ57" s="393"/>
      <c r="AR57" s="393"/>
      <c r="AS57" s="393"/>
      <c r="AT57" s="393"/>
      <c r="AU57" s="393"/>
      <c r="AV57" s="393"/>
      <c r="AW57" s="393"/>
      <c r="AX57" s="393"/>
      <c r="AY57" s="393"/>
      <c r="AZ57" s="393"/>
      <c r="BA57" s="393"/>
      <c r="BB57" s="393"/>
      <c r="BC57" s="393"/>
      <c r="BD57" s="393"/>
      <c r="BE57" s="393"/>
      <c r="BF57" s="393"/>
      <c r="BG57" s="393"/>
      <c r="BH57" s="393"/>
      <c r="BI57" s="393"/>
      <c r="BJ57" s="393"/>
      <c r="BK57" s="393"/>
      <c r="BL57" s="393"/>
      <c r="BM57" s="393"/>
      <c r="BN57" s="393"/>
      <c r="BO57" s="393"/>
      <c r="BP57" s="393"/>
      <c r="BQ57" s="393"/>
      <c r="BR57" s="394"/>
      <c r="BS57" s="394"/>
      <c r="BT57" s="394"/>
      <c r="BU57" s="394"/>
      <c r="BV57" s="394"/>
      <c r="BW57" s="394"/>
      <c r="BX57" s="394"/>
      <c r="BY57" s="394"/>
      <c r="BZ57" s="394"/>
      <c r="CA57" s="394"/>
      <c r="CB57" s="394"/>
      <c r="CC57" s="394"/>
      <c r="CD57" s="393"/>
      <c r="CE57" s="388"/>
      <c r="CF57" s="387"/>
      <c r="CG57" s="387"/>
      <c r="CH57" s="387"/>
      <c r="CI57" s="387"/>
      <c r="CJ57" s="387"/>
      <c r="CK57" s="387"/>
      <c r="CL57" s="387"/>
      <c r="CM57" s="387"/>
      <c r="CN57" s="387"/>
      <c r="CO57" s="387"/>
      <c r="CP57" s="404"/>
      <c r="CQ57" s="412"/>
      <c r="CR57" s="388"/>
      <c r="CS57" s="387"/>
      <c r="CT57" s="387"/>
      <c r="CU57" s="387"/>
      <c r="CV57" s="387"/>
      <c r="CW57" s="387"/>
      <c r="CX57" s="387"/>
      <c r="CY57" s="387"/>
      <c r="CZ57" s="387"/>
      <c r="DA57" s="387"/>
      <c r="DB57" s="387"/>
      <c r="DC57" s="390"/>
      <c r="DD57" s="376"/>
      <c r="DE57" s="550">
        <v>7</v>
      </c>
      <c r="DF57" s="550"/>
      <c r="DG57" s="550"/>
      <c r="DH57" s="550"/>
      <c r="DI57" s="550"/>
      <c r="DJ57" s="550"/>
      <c r="DK57" s="550"/>
      <c r="DL57" s="550"/>
      <c r="DM57" s="550">
        <v>5</v>
      </c>
      <c r="DN57" s="550">
        <v>21</v>
      </c>
      <c r="DO57" s="550"/>
      <c r="DP57" s="550"/>
      <c r="DQ57" s="551">
        <f>SUM(DE57:DP58)</f>
        <v>33</v>
      </c>
      <c r="DR57" s="683"/>
      <c r="DS57" s="486">
        <f>'Determ días de vacaciones'!S36</f>
        <v>39.5</v>
      </c>
      <c r="DU57" s="585"/>
      <c r="DV57" s="579"/>
      <c r="DW57" s="413">
        <f>ROUNDDOWN(($DW$2-H57)/365,0)*30</f>
        <v>30</v>
      </c>
      <c r="DX57" s="374">
        <f>Q57+AD57+AQ57+BD57+BQ57+CD57+CQ57+DD57+DQ57</f>
        <v>33</v>
      </c>
      <c r="DY57" s="515">
        <f>P57-DX57</f>
        <v>-3</v>
      </c>
      <c r="DZ57" s="363"/>
      <c r="EA57" s="363"/>
      <c r="EB57" s="363"/>
      <c r="EC57" s="363"/>
      <c r="ED57" s="363"/>
      <c r="EE57" s="363"/>
      <c r="EF57" s="363"/>
      <c r="EG57" s="363"/>
      <c r="EH57" s="363"/>
      <c r="EI57" s="363"/>
      <c r="EJ57" s="363"/>
      <c r="EK57" s="363"/>
      <c r="EL57" s="363"/>
      <c r="EM57" s="363"/>
      <c r="EN57" s="357">
        <f>SUM(DZ57:EM58)</f>
        <v>0</v>
      </c>
    </row>
    <row r="58" spans="1:144" ht="28.5" customHeight="1" x14ac:dyDescent="0.35">
      <c r="A58" s="396"/>
      <c r="B58" s="613"/>
      <c r="C58" s="411"/>
      <c r="D58" s="398"/>
      <c r="E58" s="278" t="s">
        <v>269</v>
      </c>
      <c r="F58" s="284">
        <v>30</v>
      </c>
      <c r="G58" s="429"/>
      <c r="H58" s="619"/>
      <c r="I58" s="623"/>
      <c r="J58" s="637"/>
      <c r="K58" s="493"/>
      <c r="L58" s="429"/>
      <c r="M58" s="643"/>
      <c r="N58" s="650"/>
      <c r="O58" s="676"/>
      <c r="P58" s="663"/>
      <c r="Q58" s="373"/>
      <c r="R58" s="430"/>
      <c r="S58" s="393"/>
      <c r="T58" s="393"/>
      <c r="U58" s="393"/>
      <c r="V58" s="393"/>
      <c r="W58" s="393"/>
      <c r="X58" s="393"/>
      <c r="Y58" s="393"/>
      <c r="Z58" s="393"/>
      <c r="AA58" s="393"/>
      <c r="AB58" s="393"/>
      <c r="AC58" s="393"/>
      <c r="AD58" s="393"/>
      <c r="AE58" s="393"/>
      <c r="AF58" s="393"/>
      <c r="AG58" s="393"/>
      <c r="AH58" s="393"/>
      <c r="AI58" s="393"/>
      <c r="AJ58" s="393"/>
      <c r="AK58" s="393"/>
      <c r="AL58" s="393"/>
      <c r="AM58" s="393"/>
      <c r="AN58" s="393"/>
      <c r="AO58" s="393"/>
      <c r="AP58" s="393"/>
      <c r="AQ58" s="393"/>
      <c r="AR58" s="393"/>
      <c r="AS58" s="393"/>
      <c r="AT58" s="393"/>
      <c r="AU58" s="393"/>
      <c r="AV58" s="393"/>
      <c r="AW58" s="393"/>
      <c r="AX58" s="393"/>
      <c r="AY58" s="393"/>
      <c r="AZ58" s="393"/>
      <c r="BA58" s="393"/>
      <c r="BB58" s="393"/>
      <c r="BC58" s="393"/>
      <c r="BD58" s="393"/>
      <c r="BE58" s="393"/>
      <c r="BF58" s="393"/>
      <c r="BG58" s="393"/>
      <c r="BH58" s="393"/>
      <c r="BI58" s="393"/>
      <c r="BJ58" s="393"/>
      <c r="BK58" s="393"/>
      <c r="BL58" s="393"/>
      <c r="BM58" s="393"/>
      <c r="BN58" s="393"/>
      <c r="BO58" s="393"/>
      <c r="BP58" s="393"/>
      <c r="BQ58" s="393"/>
      <c r="BR58" s="395"/>
      <c r="BS58" s="395"/>
      <c r="BT58" s="395"/>
      <c r="BU58" s="395"/>
      <c r="BV58" s="395"/>
      <c r="BW58" s="395"/>
      <c r="BX58" s="395"/>
      <c r="BY58" s="395"/>
      <c r="BZ58" s="395"/>
      <c r="CA58" s="395"/>
      <c r="CB58" s="395"/>
      <c r="CC58" s="395"/>
      <c r="CD58" s="393"/>
      <c r="CE58" s="389"/>
      <c r="CF58" s="377"/>
      <c r="CG58" s="377"/>
      <c r="CH58" s="377"/>
      <c r="CI58" s="377"/>
      <c r="CJ58" s="377"/>
      <c r="CK58" s="377"/>
      <c r="CL58" s="377"/>
      <c r="CM58" s="377"/>
      <c r="CN58" s="377"/>
      <c r="CO58" s="377"/>
      <c r="CP58" s="405"/>
      <c r="CQ58" s="412"/>
      <c r="CR58" s="389"/>
      <c r="CS58" s="377"/>
      <c r="CT58" s="377"/>
      <c r="CU58" s="377"/>
      <c r="CV58" s="377"/>
      <c r="CW58" s="377"/>
      <c r="CX58" s="377"/>
      <c r="CY58" s="377"/>
      <c r="CZ58" s="377"/>
      <c r="DA58" s="377"/>
      <c r="DB58" s="377"/>
      <c r="DC58" s="391"/>
      <c r="DD58" s="376"/>
      <c r="DE58" s="550"/>
      <c r="DF58" s="550"/>
      <c r="DG58" s="550"/>
      <c r="DH58" s="550"/>
      <c r="DI58" s="550"/>
      <c r="DJ58" s="550"/>
      <c r="DK58" s="550"/>
      <c r="DL58" s="550"/>
      <c r="DM58" s="550"/>
      <c r="DN58" s="550"/>
      <c r="DO58" s="550"/>
      <c r="DP58" s="550"/>
      <c r="DQ58" s="551"/>
      <c r="DR58" s="684"/>
      <c r="DS58" s="487"/>
      <c r="DT58" s="438"/>
      <c r="DU58" s="586"/>
      <c r="DV58" s="579"/>
      <c r="DW58" s="418"/>
      <c r="DX58" s="422"/>
      <c r="DY58" s="516"/>
      <c r="DZ58" s="364"/>
      <c r="EA58" s="364"/>
      <c r="EB58" s="364"/>
      <c r="EC58" s="364"/>
      <c r="ED58" s="364"/>
      <c r="EE58" s="364"/>
      <c r="EF58" s="364"/>
      <c r="EG58" s="364"/>
      <c r="EH58" s="364"/>
      <c r="EI58" s="364"/>
      <c r="EJ58" s="364"/>
      <c r="EK58" s="364"/>
      <c r="EL58" s="364"/>
      <c r="EM58" s="364"/>
      <c r="EN58" s="358"/>
    </row>
    <row r="59" spans="1:144" ht="28.5" customHeight="1" x14ac:dyDescent="0.35">
      <c r="A59" s="396">
        <v>27</v>
      </c>
      <c r="B59" s="608" t="s">
        <v>59</v>
      </c>
      <c r="C59" s="615" t="s">
        <v>292</v>
      </c>
      <c r="D59" s="410" t="s">
        <v>309</v>
      </c>
      <c r="E59" s="271" t="s">
        <v>283</v>
      </c>
      <c r="F59" s="270">
        <v>30</v>
      </c>
      <c r="G59" s="416" t="e">
        <f>F59+F60+#REF!+#REF!+#REF!+#REF!+#REF!</f>
        <v>#REF!</v>
      </c>
      <c r="H59" s="618">
        <v>41285</v>
      </c>
      <c r="I59" s="622">
        <f>D59+7*360</f>
        <v>43803</v>
      </c>
      <c r="J59" s="604">
        <v>210</v>
      </c>
      <c r="K59" s="618">
        <f>I59+360</f>
        <v>44163</v>
      </c>
      <c r="L59" s="629">
        <f>K59+DS59</f>
        <v>44165</v>
      </c>
      <c r="M59" s="371">
        <v>0</v>
      </c>
      <c r="N59" s="647">
        <f>+L59+360</f>
        <v>44525</v>
      </c>
      <c r="O59" s="677"/>
      <c r="P59" s="664">
        <f>ROUNDDOWN(($P$2-D59)/365,0)*30</f>
        <v>210</v>
      </c>
      <c r="Q59" s="403"/>
      <c r="R59" s="427"/>
      <c r="S59" s="427"/>
      <c r="T59" s="427"/>
      <c r="U59" s="427"/>
      <c r="V59" s="427"/>
      <c r="W59" s="427">
        <v>2</v>
      </c>
      <c r="X59" s="427"/>
      <c r="Y59" s="427"/>
      <c r="Z59" s="427"/>
      <c r="AA59" s="427"/>
      <c r="AB59" s="427"/>
      <c r="AC59" s="427">
        <v>24</v>
      </c>
      <c r="AD59" s="427">
        <f>SUM(R59:AC60)</f>
        <v>26</v>
      </c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>
        <f>SUM(AE59:AP60)</f>
        <v>0</v>
      </c>
      <c r="AR59" s="427"/>
      <c r="AS59" s="427"/>
      <c r="AT59" s="427">
        <v>1</v>
      </c>
      <c r="AU59" s="427"/>
      <c r="AV59" s="427">
        <v>1</v>
      </c>
      <c r="AW59" s="427">
        <v>5</v>
      </c>
      <c r="AX59" s="427">
        <v>1</v>
      </c>
      <c r="AY59" s="427">
        <v>1</v>
      </c>
      <c r="AZ59" s="427"/>
      <c r="BA59" s="427">
        <v>1</v>
      </c>
      <c r="BB59" s="427">
        <v>1</v>
      </c>
      <c r="BC59" s="427">
        <v>29</v>
      </c>
      <c r="BD59" s="427">
        <f>SUM(AR59:BC60)</f>
        <v>40</v>
      </c>
      <c r="BE59" s="427"/>
      <c r="BF59" s="427"/>
      <c r="BG59" s="427"/>
      <c r="BH59" s="427"/>
      <c r="BI59" s="427"/>
      <c r="BJ59" s="427"/>
      <c r="BK59" s="427"/>
      <c r="BL59" s="427"/>
      <c r="BM59" s="427"/>
      <c r="BN59" s="427"/>
      <c r="BO59" s="427">
        <v>1</v>
      </c>
      <c r="BP59" s="427"/>
      <c r="BQ59" s="427">
        <f>SUM(BE59:BP60)</f>
        <v>1</v>
      </c>
      <c r="BR59" s="395"/>
      <c r="BS59" s="395"/>
      <c r="BT59" s="395"/>
      <c r="BU59" s="395"/>
      <c r="BV59" s="395"/>
      <c r="BW59" s="395"/>
      <c r="BX59" s="395"/>
      <c r="BY59" s="395"/>
      <c r="BZ59" s="395"/>
      <c r="CA59" s="395">
        <v>1</v>
      </c>
      <c r="CB59" s="395">
        <v>3</v>
      </c>
      <c r="CC59" s="395">
        <v>5</v>
      </c>
      <c r="CD59" s="427">
        <f>SUM(BR59:CC60)</f>
        <v>9</v>
      </c>
      <c r="CE59" s="389">
        <v>8</v>
      </c>
      <c r="CF59" s="377">
        <v>3</v>
      </c>
      <c r="CG59" s="377"/>
      <c r="CH59" s="377"/>
      <c r="CI59" s="377">
        <v>1</v>
      </c>
      <c r="CJ59" s="377"/>
      <c r="CK59" s="377"/>
      <c r="CL59" s="377"/>
      <c r="CM59" s="377"/>
      <c r="CN59" s="377"/>
      <c r="CO59" s="377"/>
      <c r="CP59" s="405">
        <v>2</v>
      </c>
      <c r="CQ59" s="418">
        <f>SUM(CE59:CP60)</f>
        <v>14</v>
      </c>
      <c r="CR59" s="389"/>
      <c r="CS59" s="377"/>
      <c r="CT59" s="377"/>
      <c r="CU59" s="377"/>
      <c r="CV59" s="377">
        <v>2</v>
      </c>
      <c r="CW59" s="377"/>
      <c r="CX59" s="377"/>
      <c r="CY59" s="377">
        <v>1</v>
      </c>
      <c r="CZ59" s="377">
        <v>1</v>
      </c>
      <c r="DA59" s="377"/>
      <c r="DB59" s="377">
        <v>1</v>
      </c>
      <c r="DC59" s="391">
        <v>30</v>
      </c>
      <c r="DD59" s="376">
        <f>SUM(CR59:DC60)</f>
        <v>35</v>
      </c>
      <c r="DE59" s="550"/>
      <c r="DF59" s="550"/>
      <c r="DG59" s="550"/>
      <c r="DH59" s="550"/>
      <c r="DI59" s="550"/>
      <c r="DJ59" s="550"/>
      <c r="DK59" s="550"/>
      <c r="DL59" s="550"/>
      <c r="DM59" s="550">
        <v>14</v>
      </c>
      <c r="DN59" s="550">
        <v>9</v>
      </c>
      <c r="DO59" s="550"/>
      <c r="DP59" s="550"/>
      <c r="DQ59" s="551">
        <f>SUM(DE59:DP60)</f>
        <v>23</v>
      </c>
      <c r="DR59" s="683"/>
      <c r="DS59" s="481">
        <f>'Determ días de vacaciones'!S37</f>
        <v>2</v>
      </c>
      <c r="DT59" s="437">
        <f>K59+DS59</f>
        <v>44165</v>
      </c>
      <c r="DU59" s="585"/>
      <c r="DV59" s="579"/>
      <c r="DW59" s="413">
        <f>ROUNDDOWN(($DW$2-H59)/365,0)*30</f>
        <v>210</v>
      </c>
      <c r="DX59" s="374">
        <f>Q59+AD59+AQ59+BD59+BQ59+CD59+CQ59+DD59+DQ59</f>
        <v>148</v>
      </c>
      <c r="DY59" s="515">
        <f>P59-DX59</f>
        <v>62</v>
      </c>
      <c r="DZ59" s="363">
        <v>30</v>
      </c>
      <c r="EA59" s="363">
        <v>26</v>
      </c>
      <c r="EB59" s="363"/>
      <c r="EC59" s="363"/>
      <c r="ED59" s="363"/>
      <c r="EE59" s="363"/>
      <c r="EF59" s="363"/>
      <c r="EG59" s="363"/>
      <c r="EH59" s="363"/>
      <c r="EI59" s="363"/>
      <c r="EJ59" s="363"/>
      <c r="EK59" s="363"/>
      <c r="EL59" s="363"/>
      <c r="EM59" s="363"/>
      <c r="EN59" s="357">
        <f>SUM(DZ59:EM60)</f>
        <v>56</v>
      </c>
    </row>
    <row r="60" spans="1:144" ht="28.5" customHeight="1" x14ac:dyDescent="0.35">
      <c r="A60" s="396"/>
      <c r="B60" s="617"/>
      <c r="C60" s="411"/>
      <c r="D60" s="398"/>
      <c r="E60" s="271" t="s">
        <v>310</v>
      </c>
      <c r="F60" s="270">
        <v>30</v>
      </c>
      <c r="G60" s="416"/>
      <c r="H60" s="619"/>
      <c r="I60" s="623"/>
      <c r="J60" s="630"/>
      <c r="K60" s="628"/>
      <c r="L60" s="425"/>
      <c r="M60" s="372"/>
      <c r="N60" s="650"/>
      <c r="O60" s="673"/>
      <c r="P60" s="660"/>
      <c r="Q60" s="40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  <c r="AB60" s="393"/>
      <c r="AC60" s="393"/>
      <c r="AD60" s="393"/>
      <c r="AE60" s="393"/>
      <c r="AF60" s="393"/>
      <c r="AG60" s="393"/>
      <c r="AH60" s="393"/>
      <c r="AI60" s="393"/>
      <c r="AJ60" s="393"/>
      <c r="AK60" s="393"/>
      <c r="AL60" s="393"/>
      <c r="AM60" s="393"/>
      <c r="AN60" s="393"/>
      <c r="AO60" s="393"/>
      <c r="AP60" s="393"/>
      <c r="AQ60" s="393"/>
      <c r="AR60" s="393"/>
      <c r="AS60" s="393"/>
      <c r="AT60" s="393"/>
      <c r="AU60" s="393"/>
      <c r="AV60" s="393"/>
      <c r="AW60" s="393"/>
      <c r="AX60" s="393"/>
      <c r="AY60" s="393"/>
      <c r="AZ60" s="393"/>
      <c r="BA60" s="393"/>
      <c r="BB60" s="393"/>
      <c r="BC60" s="393"/>
      <c r="BD60" s="393"/>
      <c r="BE60" s="393"/>
      <c r="BF60" s="393"/>
      <c r="BG60" s="393"/>
      <c r="BH60" s="393"/>
      <c r="BI60" s="393"/>
      <c r="BJ60" s="393"/>
      <c r="BK60" s="393"/>
      <c r="BL60" s="393"/>
      <c r="BM60" s="393"/>
      <c r="BN60" s="393"/>
      <c r="BO60" s="393"/>
      <c r="BP60" s="393"/>
      <c r="BQ60" s="393"/>
      <c r="BR60" s="395"/>
      <c r="BS60" s="395"/>
      <c r="BT60" s="395"/>
      <c r="BU60" s="395"/>
      <c r="BV60" s="395"/>
      <c r="BW60" s="395"/>
      <c r="BX60" s="395"/>
      <c r="BY60" s="395"/>
      <c r="BZ60" s="395"/>
      <c r="CA60" s="395"/>
      <c r="CB60" s="395"/>
      <c r="CC60" s="395"/>
      <c r="CD60" s="393"/>
      <c r="CE60" s="389"/>
      <c r="CF60" s="377"/>
      <c r="CG60" s="377"/>
      <c r="CH60" s="377"/>
      <c r="CI60" s="377"/>
      <c r="CJ60" s="377"/>
      <c r="CK60" s="377"/>
      <c r="CL60" s="377"/>
      <c r="CM60" s="377"/>
      <c r="CN60" s="377"/>
      <c r="CO60" s="377"/>
      <c r="CP60" s="405"/>
      <c r="CQ60" s="412"/>
      <c r="CR60" s="389"/>
      <c r="CS60" s="377"/>
      <c r="CT60" s="377"/>
      <c r="CU60" s="377"/>
      <c r="CV60" s="377"/>
      <c r="CW60" s="377"/>
      <c r="CX60" s="377"/>
      <c r="CY60" s="377"/>
      <c r="CZ60" s="377"/>
      <c r="DA60" s="377"/>
      <c r="DB60" s="377"/>
      <c r="DC60" s="391"/>
      <c r="DD60" s="376"/>
      <c r="DE60" s="550"/>
      <c r="DF60" s="550"/>
      <c r="DG60" s="550"/>
      <c r="DH60" s="550"/>
      <c r="DI60" s="550"/>
      <c r="DJ60" s="550"/>
      <c r="DK60" s="550"/>
      <c r="DL60" s="550"/>
      <c r="DM60" s="550"/>
      <c r="DN60" s="550"/>
      <c r="DO60" s="550"/>
      <c r="DP60" s="550"/>
      <c r="DQ60" s="551"/>
      <c r="DR60" s="684"/>
      <c r="DS60" s="482"/>
      <c r="DT60" s="438"/>
      <c r="DU60" s="586"/>
      <c r="DV60" s="579"/>
      <c r="DW60" s="418"/>
      <c r="DX60" s="422"/>
      <c r="DY60" s="516"/>
      <c r="DZ60" s="364"/>
      <c r="EA60" s="364"/>
      <c r="EB60" s="364"/>
      <c r="EC60" s="364"/>
      <c r="ED60" s="364"/>
      <c r="EE60" s="364"/>
      <c r="EF60" s="364"/>
      <c r="EG60" s="364"/>
      <c r="EH60" s="364"/>
      <c r="EI60" s="364"/>
      <c r="EJ60" s="364"/>
      <c r="EK60" s="364"/>
      <c r="EL60" s="364"/>
      <c r="EM60" s="364"/>
      <c r="EN60" s="358"/>
    </row>
    <row r="61" spans="1:144" ht="28.5" customHeight="1" x14ac:dyDescent="0.35">
      <c r="A61" s="396">
        <v>28</v>
      </c>
      <c r="B61" s="608" t="s">
        <v>97</v>
      </c>
      <c r="C61" s="411"/>
      <c r="D61" s="398" t="s">
        <v>300</v>
      </c>
      <c r="E61" s="285" t="s">
        <v>315</v>
      </c>
      <c r="F61" s="262">
        <v>30</v>
      </c>
      <c r="G61" s="426" t="e">
        <f>F61+F62+#REF!</f>
        <v>#REF!</v>
      </c>
      <c r="H61" s="618">
        <v>42948</v>
      </c>
      <c r="I61" s="622">
        <f>D61+2*360</f>
        <v>43576</v>
      </c>
      <c r="J61" s="604">
        <v>60</v>
      </c>
      <c r="K61" s="511">
        <f>I61+360</f>
        <v>43936</v>
      </c>
      <c r="L61" s="437">
        <f>K61+DS61</f>
        <v>44028</v>
      </c>
      <c r="M61" s="640">
        <v>30</v>
      </c>
      <c r="N61" s="649">
        <f>+L61+360</f>
        <v>44388</v>
      </c>
      <c r="O61" s="677"/>
      <c r="P61" s="665">
        <f>ROUNDDOWN(($P$2-D61)/365,0)*30</f>
        <v>90</v>
      </c>
      <c r="Q61" s="402"/>
      <c r="R61" s="393"/>
      <c r="S61" s="393"/>
      <c r="T61" s="393"/>
      <c r="U61" s="393"/>
      <c r="V61" s="393"/>
      <c r="W61" s="393"/>
      <c r="X61" s="393"/>
      <c r="Y61" s="393"/>
      <c r="Z61" s="393"/>
      <c r="AA61" s="393"/>
      <c r="AB61" s="393"/>
      <c r="AC61" s="393"/>
      <c r="AD61" s="393"/>
      <c r="AE61" s="393"/>
      <c r="AF61" s="393"/>
      <c r="AG61" s="393"/>
      <c r="AH61" s="393"/>
      <c r="AI61" s="393"/>
      <c r="AJ61" s="393"/>
      <c r="AK61" s="393"/>
      <c r="AL61" s="393"/>
      <c r="AM61" s="393"/>
      <c r="AN61" s="393"/>
      <c r="AO61" s="393"/>
      <c r="AP61" s="393"/>
      <c r="AQ61" s="393"/>
      <c r="AR61" s="393"/>
      <c r="AS61" s="393"/>
      <c r="AT61" s="393"/>
      <c r="AU61" s="393"/>
      <c r="AV61" s="393"/>
      <c r="AW61" s="393"/>
      <c r="AX61" s="393"/>
      <c r="AY61" s="393"/>
      <c r="AZ61" s="393"/>
      <c r="BA61" s="393"/>
      <c r="BB61" s="393"/>
      <c r="BC61" s="393"/>
      <c r="BD61" s="393"/>
      <c r="BE61" s="393"/>
      <c r="BF61" s="393"/>
      <c r="BG61" s="393"/>
      <c r="BH61" s="393"/>
      <c r="BI61" s="393"/>
      <c r="BJ61" s="393"/>
      <c r="BK61" s="393"/>
      <c r="BL61" s="393"/>
      <c r="BM61" s="393"/>
      <c r="BN61" s="393"/>
      <c r="BO61" s="393"/>
      <c r="BP61" s="393"/>
      <c r="BQ61" s="393"/>
      <c r="BR61" s="394"/>
      <c r="BS61" s="394"/>
      <c r="BT61" s="394"/>
      <c r="BU61" s="394"/>
      <c r="BV61" s="394"/>
      <c r="BW61" s="394"/>
      <c r="BX61" s="394"/>
      <c r="BY61" s="394"/>
      <c r="BZ61" s="394"/>
      <c r="CA61" s="394"/>
      <c r="CB61" s="394"/>
      <c r="CC61" s="394"/>
      <c r="CD61" s="393"/>
      <c r="CE61" s="388"/>
      <c r="CF61" s="387"/>
      <c r="CG61" s="387"/>
      <c r="CH61" s="387"/>
      <c r="CI61" s="387">
        <v>5</v>
      </c>
      <c r="CJ61" s="387"/>
      <c r="CK61" s="387"/>
      <c r="CL61" s="387"/>
      <c r="CM61" s="387"/>
      <c r="CN61" s="387">
        <v>7</v>
      </c>
      <c r="CO61" s="387"/>
      <c r="CP61" s="404"/>
      <c r="CQ61" s="412">
        <f>SUM(CE61:CP62)</f>
        <v>12</v>
      </c>
      <c r="CR61" s="388"/>
      <c r="CS61" s="387"/>
      <c r="CT61" s="387"/>
      <c r="CU61" s="387">
        <v>1</v>
      </c>
      <c r="CV61" s="387"/>
      <c r="CW61" s="387"/>
      <c r="CX61" s="387"/>
      <c r="CY61" s="387">
        <v>3</v>
      </c>
      <c r="CZ61" s="387"/>
      <c r="DA61" s="387"/>
      <c r="DB61" s="387"/>
      <c r="DC61" s="390"/>
      <c r="DD61" s="376">
        <f>SUM(CR61:DC62)</f>
        <v>4</v>
      </c>
      <c r="DE61" s="550"/>
      <c r="DF61" s="550"/>
      <c r="DG61" s="550"/>
      <c r="DH61" s="550"/>
      <c r="DI61" s="550"/>
      <c r="DJ61" s="550"/>
      <c r="DK61" s="550"/>
      <c r="DL61" s="550"/>
      <c r="DM61" s="550"/>
      <c r="DN61" s="550"/>
      <c r="DO61" s="550"/>
      <c r="DP61" s="550"/>
      <c r="DQ61" s="551">
        <f>SUM(DE61:DP62)</f>
        <v>0</v>
      </c>
      <c r="DR61" s="683"/>
      <c r="DS61" s="481">
        <f>'Determ días de vacaciones'!S38</f>
        <v>92</v>
      </c>
      <c r="DU61" s="585"/>
      <c r="DV61" s="579"/>
      <c r="DW61" s="413">
        <f>ROUNDDOWN(($DW$2-H61)/365,0)*30</f>
        <v>90</v>
      </c>
      <c r="DX61" s="374">
        <f>Q61+AD61+AQ61+BD61+BQ61+CD61+CQ61+DD61</f>
        <v>16</v>
      </c>
      <c r="DY61" s="515">
        <f>P61-DX61</f>
        <v>74</v>
      </c>
      <c r="DZ61" s="363">
        <v>30</v>
      </c>
      <c r="EA61" s="363">
        <v>31</v>
      </c>
      <c r="EB61" s="363">
        <v>13</v>
      </c>
      <c r="EC61" s="363"/>
      <c r="ED61" s="363"/>
      <c r="EE61" s="363"/>
      <c r="EF61" s="363"/>
      <c r="EG61" s="363"/>
      <c r="EH61" s="363"/>
      <c r="EI61" s="363"/>
      <c r="EJ61" s="363"/>
      <c r="EK61" s="363"/>
      <c r="EL61" s="363"/>
      <c r="EM61" s="363"/>
      <c r="EN61" s="357">
        <f>SUM(DZ61:EM62)</f>
        <v>74</v>
      </c>
    </row>
    <row r="62" spans="1:144" ht="28.5" customHeight="1" x14ac:dyDescent="0.35">
      <c r="A62" s="396"/>
      <c r="B62" s="613"/>
      <c r="C62" s="411"/>
      <c r="D62" s="398"/>
      <c r="E62" s="275" t="s">
        <v>250</v>
      </c>
      <c r="F62" s="286">
        <v>30</v>
      </c>
      <c r="G62" s="416"/>
      <c r="H62" s="619"/>
      <c r="I62" s="623"/>
      <c r="J62" s="630"/>
      <c r="K62" s="626"/>
      <c r="L62" s="626"/>
      <c r="M62" s="643"/>
      <c r="N62" s="653"/>
      <c r="O62" s="678"/>
      <c r="P62" s="665"/>
      <c r="Q62" s="403"/>
      <c r="R62" s="393"/>
      <c r="S62" s="393"/>
      <c r="T62" s="393"/>
      <c r="U62" s="393"/>
      <c r="V62" s="393"/>
      <c r="W62" s="393"/>
      <c r="X62" s="393"/>
      <c r="Y62" s="393"/>
      <c r="Z62" s="393"/>
      <c r="AA62" s="393"/>
      <c r="AB62" s="393"/>
      <c r="AC62" s="393"/>
      <c r="AD62" s="393"/>
      <c r="AE62" s="393"/>
      <c r="AF62" s="393"/>
      <c r="AG62" s="393"/>
      <c r="AH62" s="393"/>
      <c r="AI62" s="393"/>
      <c r="AJ62" s="393"/>
      <c r="AK62" s="393"/>
      <c r="AL62" s="393"/>
      <c r="AM62" s="393"/>
      <c r="AN62" s="393"/>
      <c r="AO62" s="393"/>
      <c r="AP62" s="393"/>
      <c r="AQ62" s="393"/>
      <c r="AR62" s="393"/>
      <c r="AS62" s="393"/>
      <c r="AT62" s="393"/>
      <c r="AU62" s="393"/>
      <c r="AV62" s="393"/>
      <c r="AW62" s="393"/>
      <c r="AX62" s="393"/>
      <c r="AY62" s="393"/>
      <c r="AZ62" s="393"/>
      <c r="BA62" s="393"/>
      <c r="BB62" s="393"/>
      <c r="BC62" s="393"/>
      <c r="BD62" s="393"/>
      <c r="BE62" s="393"/>
      <c r="BF62" s="393"/>
      <c r="BG62" s="393"/>
      <c r="BH62" s="393"/>
      <c r="BI62" s="393"/>
      <c r="BJ62" s="393"/>
      <c r="BK62" s="393"/>
      <c r="BL62" s="393"/>
      <c r="BM62" s="393"/>
      <c r="BN62" s="393"/>
      <c r="BO62" s="393"/>
      <c r="BP62" s="393"/>
      <c r="BQ62" s="393"/>
      <c r="BR62" s="395"/>
      <c r="BS62" s="395"/>
      <c r="BT62" s="395"/>
      <c r="BU62" s="395"/>
      <c r="BV62" s="395"/>
      <c r="BW62" s="395"/>
      <c r="BX62" s="395"/>
      <c r="BY62" s="395"/>
      <c r="BZ62" s="395"/>
      <c r="CA62" s="395"/>
      <c r="CB62" s="395"/>
      <c r="CC62" s="395"/>
      <c r="CD62" s="393"/>
      <c r="CE62" s="389"/>
      <c r="CF62" s="377"/>
      <c r="CG62" s="377"/>
      <c r="CH62" s="377"/>
      <c r="CI62" s="377"/>
      <c r="CJ62" s="377"/>
      <c r="CK62" s="377"/>
      <c r="CL62" s="377"/>
      <c r="CM62" s="377"/>
      <c r="CN62" s="377"/>
      <c r="CO62" s="377"/>
      <c r="CP62" s="405"/>
      <c r="CQ62" s="412"/>
      <c r="CR62" s="389"/>
      <c r="CS62" s="377"/>
      <c r="CT62" s="377"/>
      <c r="CU62" s="377"/>
      <c r="CV62" s="377"/>
      <c r="CW62" s="377"/>
      <c r="CX62" s="377"/>
      <c r="CY62" s="377"/>
      <c r="CZ62" s="377"/>
      <c r="DA62" s="377"/>
      <c r="DB62" s="377"/>
      <c r="DC62" s="391"/>
      <c r="DD62" s="376"/>
      <c r="DE62" s="550"/>
      <c r="DF62" s="550"/>
      <c r="DG62" s="550"/>
      <c r="DH62" s="550"/>
      <c r="DI62" s="550"/>
      <c r="DJ62" s="550"/>
      <c r="DK62" s="550"/>
      <c r="DL62" s="550"/>
      <c r="DM62" s="550"/>
      <c r="DN62" s="550"/>
      <c r="DO62" s="550"/>
      <c r="DP62" s="550"/>
      <c r="DQ62" s="551"/>
      <c r="DR62" s="684"/>
      <c r="DS62" s="482"/>
      <c r="DT62" s="438"/>
      <c r="DU62" s="586"/>
      <c r="DV62" s="579"/>
      <c r="DW62" s="418"/>
      <c r="DX62" s="422"/>
      <c r="DY62" s="516"/>
      <c r="DZ62" s="364"/>
      <c r="EA62" s="364"/>
      <c r="EB62" s="364"/>
      <c r="EC62" s="364"/>
      <c r="ED62" s="364"/>
      <c r="EE62" s="364"/>
      <c r="EF62" s="364"/>
      <c r="EG62" s="364"/>
      <c r="EH62" s="364"/>
      <c r="EI62" s="364"/>
      <c r="EJ62" s="364"/>
      <c r="EK62" s="364"/>
      <c r="EL62" s="364"/>
      <c r="EM62" s="364"/>
      <c r="EN62" s="358"/>
    </row>
    <row r="63" spans="1:144" ht="28.5" customHeight="1" x14ac:dyDescent="0.35">
      <c r="A63" s="396">
        <v>29</v>
      </c>
      <c r="B63" s="614" t="s">
        <v>365</v>
      </c>
      <c r="C63" s="411" t="s">
        <v>317</v>
      </c>
      <c r="D63" s="423" t="s">
        <v>356</v>
      </c>
      <c r="E63" s="256" t="s">
        <v>234</v>
      </c>
      <c r="F63" s="287">
        <v>30</v>
      </c>
      <c r="G63" s="424" t="e">
        <f>F63+F64+#REF!+#REF!+#REF!+#REF!+#REF!+#REF!</f>
        <v>#REF!</v>
      </c>
      <c r="H63" s="618">
        <v>40784</v>
      </c>
      <c r="I63" s="622">
        <f>D63+8*360</f>
        <v>43605</v>
      </c>
      <c r="J63" s="604">
        <v>240</v>
      </c>
      <c r="K63" s="511">
        <f>I63+360</f>
        <v>43965</v>
      </c>
      <c r="L63" s="437">
        <f>K63+DS63</f>
        <v>44024</v>
      </c>
      <c r="M63" s="640">
        <v>30</v>
      </c>
      <c r="N63" s="649">
        <f>+L63+360</f>
        <v>44384</v>
      </c>
      <c r="O63" s="671"/>
      <c r="P63" s="664">
        <f>ROUNDDOWN(($P$2-D63)/365,0)*30</f>
        <v>270</v>
      </c>
      <c r="Q63" s="402">
        <v>30</v>
      </c>
      <c r="R63" s="393"/>
      <c r="S63" s="393"/>
      <c r="T63" s="393"/>
      <c r="U63" s="393"/>
      <c r="V63" s="393">
        <v>1</v>
      </c>
      <c r="W63" s="393"/>
      <c r="X63" s="393"/>
      <c r="Y63" s="393"/>
      <c r="Z63" s="393">
        <v>3</v>
      </c>
      <c r="AA63" s="393"/>
      <c r="AB63" s="393"/>
      <c r="AC63" s="393">
        <v>15</v>
      </c>
      <c r="AD63" s="393">
        <f>SUM(R63:AC64)</f>
        <v>19</v>
      </c>
      <c r="AE63" s="393"/>
      <c r="AF63" s="393"/>
      <c r="AG63" s="393">
        <v>5</v>
      </c>
      <c r="AH63" s="393">
        <v>8</v>
      </c>
      <c r="AI63" s="393">
        <v>1</v>
      </c>
      <c r="AJ63" s="393"/>
      <c r="AK63" s="393"/>
      <c r="AL63" s="393"/>
      <c r="AM63" s="393">
        <v>3</v>
      </c>
      <c r="AN63" s="393"/>
      <c r="AO63" s="393"/>
      <c r="AP63" s="393">
        <v>9</v>
      </c>
      <c r="AQ63" s="393">
        <f>SUM(AE63:AP64)</f>
        <v>26</v>
      </c>
      <c r="AR63" s="393"/>
      <c r="AS63" s="393"/>
      <c r="AT63" s="393"/>
      <c r="AU63" s="393">
        <v>1</v>
      </c>
      <c r="AV63" s="393">
        <v>7</v>
      </c>
      <c r="AW63" s="393"/>
      <c r="AX63" s="393">
        <v>1</v>
      </c>
      <c r="AY63" s="393">
        <v>4</v>
      </c>
      <c r="AZ63" s="393">
        <v>1</v>
      </c>
      <c r="BA63" s="393"/>
      <c r="BB63" s="393"/>
      <c r="BC63" s="393"/>
      <c r="BD63" s="393">
        <f>SUM(AR63:BC64)</f>
        <v>14</v>
      </c>
      <c r="BE63" s="393"/>
      <c r="BF63" s="393"/>
      <c r="BG63" s="393">
        <v>1</v>
      </c>
      <c r="BH63" s="393"/>
      <c r="BI63" s="393"/>
      <c r="BJ63" s="393"/>
      <c r="BK63" s="393"/>
      <c r="BL63" s="393"/>
      <c r="BM63" s="393"/>
      <c r="BN63" s="393"/>
      <c r="BO63" s="393">
        <v>1</v>
      </c>
      <c r="BP63" s="393"/>
      <c r="BQ63" s="393">
        <f>SUM(BE63:BP64)</f>
        <v>2</v>
      </c>
      <c r="BR63" s="394"/>
      <c r="BS63" s="394"/>
      <c r="BT63" s="394"/>
      <c r="BU63" s="394"/>
      <c r="BV63" s="394"/>
      <c r="BW63" s="394"/>
      <c r="BX63" s="394">
        <v>15</v>
      </c>
      <c r="BY63" s="394"/>
      <c r="BZ63" s="394"/>
      <c r="CA63" s="394"/>
      <c r="CB63" s="394"/>
      <c r="CC63" s="394"/>
      <c r="CD63" s="393">
        <f>SUM(BR63:CC64)</f>
        <v>15</v>
      </c>
      <c r="CE63" s="421"/>
      <c r="CF63" s="420"/>
      <c r="CG63" s="420"/>
      <c r="CH63" s="420"/>
      <c r="CI63" s="420"/>
      <c r="CJ63" s="420"/>
      <c r="CK63" s="420"/>
      <c r="CL63" s="420"/>
      <c r="CM63" s="420"/>
      <c r="CN63" s="420"/>
      <c r="CO63" s="420"/>
      <c r="CP63" s="417"/>
      <c r="CQ63" s="412">
        <f>SUM(CE63:CP64)</f>
        <v>0</v>
      </c>
      <c r="CR63" s="421"/>
      <c r="CS63" s="420"/>
      <c r="CT63" s="420"/>
      <c r="CU63" s="420"/>
      <c r="CV63" s="420">
        <v>7</v>
      </c>
      <c r="CW63" s="420"/>
      <c r="CX63" s="420"/>
      <c r="CY63" s="420"/>
      <c r="CZ63" s="420"/>
      <c r="DA63" s="420"/>
      <c r="DB63" s="420"/>
      <c r="DC63" s="417"/>
      <c r="DD63" s="418">
        <f>SUM(CR63:DC64)</f>
        <v>7</v>
      </c>
      <c r="DE63" s="552"/>
      <c r="DF63" s="529">
        <v>5</v>
      </c>
      <c r="DG63" s="553"/>
      <c r="DH63" s="553"/>
      <c r="DI63" s="553"/>
      <c r="DJ63" s="553"/>
      <c r="DK63" s="553"/>
      <c r="DL63" s="553"/>
      <c r="DM63" s="553"/>
      <c r="DN63" s="553"/>
      <c r="DO63" s="553"/>
      <c r="DP63" s="554"/>
      <c r="DQ63" s="555">
        <f>SUM(DE63:DP64)</f>
        <v>5</v>
      </c>
      <c r="DR63" s="579"/>
      <c r="DS63" s="481">
        <f>'Determ días de vacaciones'!S39</f>
        <v>59</v>
      </c>
      <c r="DU63" s="585"/>
      <c r="DV63" s="546"/>
      <c r="DW63" s="413">
        <f>ROUNDDOWN(($DW$2-H63)/365,0)*30</f>
        <v>270</v>
      </c>
      <c r="DX63" s="407">
        <f>Q63+AD63+AQ63+BD63+BQ63+CD63+CQ63+DD63+DQ63</f>
        <v>118</v>
      </c>
      <c r="DY63" s="513">
        <f>P63-DX63</f>
        <v>152</v>
      </c>
      <c r="DZ63" s="363">
        <v>15</v>
      </c>
      <c r="EA63" s="363">
        <v>15</v>
      </c>
      <c r="EB63" s="363">
        <v>15</v>
      </c>
      <c r="EC63" s="363">
        <v>15</v>
      </c>
      <c r="ED63" s="363">
        <v>15</v>
      </c>
      <c r="EE63" s="363">
        <v>15</v>
      </c>
      <c r="EF63" s="363">
        <v>15</v>
      </c>
      <c r="EG63" s="363">
        <v>15</v>
      </c>
      <c r="EH63" s="363">
        <v>15</v>
      </c>
      <c r="EI63" s="363">
        <v>15</v>
      </c>
      <c r="EJ63" s="363">
        <v>2</v>
      </c>
      <c r="EK63" s="363"/>
      <c r="EL63" s="363"/>
      <c r="EM63" s="363"/>
      <c r="EN63" s="357">
        <f>SUM(DZ63:EM64)</f>
        <v>152</v>
      </c>
    </row>
    <row r="64" spans="1:144" ht="28.5" customHeight="1" x14ac:dyDescent="0.35">
      <c r="A64" s="396"/>
      <c r="B64" s="609"/>
      <c r="C64" s="411"/>
      <c r="D64" s="398"/>
      <c r="E64" s="271" t="s">
        <v>235</v>
      </c>
      <c r="F64" s="288">
        <v>30</v>
      </c>
      <c r="G64" s="425"/>
      <c r="H64" s="619"/>
      <c r="I64" s="623"/>
      <c r="J64" s="605"/>
      <c r="K64" s="626"/>
      <c r="L64" s="626"/>
      <c r="M64" s="643"/>
      <c r="N64" s="650"/>
      <c r="O64" s="673"/>
      <c r="P64" s="660"/>
      <c r="Q64" s="403"/>
      <c r="R64" s="393"/>
      <c r="S64" s="393"/>
      <c r="T64" s="393"/>
      <c r="U64" s="393"/>
      <c r="V64" s="393"/>
      <c r="W64" s="393"/>
      <c r="X64" s="393"/>
      <c r="Y64" s="393"/>
      <c r="Z64" s="393"/>
      <c r="AA64" s="393"/>
      <c r="AB64" s="393"/>
      <c r="AC64" s="393"/>
      <c r="AD64" s="393"/>
      <c r="AE64" s="393"/>
      <c r="AF64" s="393"/>
      <c r="AG64" s="393"/>
      <c r="AH64" s="393"/>
      <c r="AI64" s="393"/>
      <c r="AJ64" s="393"/>
      <c r="AK64" s="393"/>
      <c r="AL64" s="393"/>
      <c r="AM64" s="393"/>
      <c r="AN64" s="393"/>
      <c r="AO64" s="393"/>
      <c r="AP64" s="393"/>
      <c r="AQ64" s="393"/>
      <c r="AR64" s="393"/>
      <c r="AS64" s="393"/>
      <c r="AT64" s="393"/>
      <c r="AU64" s="393"/>
      <c r="AV64" s="393"/>
      <c r="AW64" s="393"/>
      <c r="AX64" s="393"/>
      <c r="AY64" s="393"/>
      <c r="AZ64" s="393"/>
      <c r="BA64" s="393"/>
      <c r="BB64" s="393"/>
      <c r="BC64" s="393"/>
      <c r="BD64" s="393"/>
      <c r="BE64" s="393"/>
      <c r="BF64" s="393"/>
      <c r="BG64" s="393"/>
      <c r="BH64" s="393"/>
      <c r="BI64" s="393"/>
      <c r="BJ64" s="393"/>
      <c r="BK64" s="393"/>
      <c r="BL64" s="393"/>
      <c r="BM64" s="393"/>
      <c r="BN64" s="393"/>
      <c r="BO64" s="393"/>
      <c r="BP64" s="393"/>
      <c r="BQ64" s="393"/>
      <c r="BR64" s="395"/>
      <c r="BS64" s="395"/>
      <c r="BT64" s="395"/>
      <c r="BU64" s="395"/>
      <c r="BV64" s="395"/>
      <c r="BW64" s="395"/>
      <c r="BX64" s="395"/>
      <c r="BY64" s="395"/>
      <c r="BZ64" s="395"/>
      <c r="CA64" s="395"/>
      <c r="CB64" s="395"/>
      <c r="CC64" s="395"/>
      <c r="CD64" s="393"/>
      <c r="CE64" s="419"/>
      <c r="CF64" s="414"/>
      <c r="CG64" s="414"/>
      <c r="CH64" s="414"/>
      <c r="CI64" s="414"/>
      <c r="CJ64" s="414"/>
      <c r="CK64" s="414"/>
      <c r="CL64" s="414"/>
      <c r="CM64" s="414"/>
      <c r="CN64" s="414"/>
      <c r="CO64" s="414"/>
      <c r="CP64" s="415"/>
      <c r="CQ64" s="412"/>
      <c r="CR64" s="419"/>
      <c r="CS64" s="414"/>
      <c r="CT64" s="414"/>
      <c r="CU64" s="414"/>
      <c r="CV64" s="414"/>
      <c r="CW64" s="414"/>
      <c r="CX64" s="414"/>
      <c r="CY64" s="414"/>
      <c r="CZ64" s="414"/>
      <c r="DA64" s="414"/>
      <c r="DB64" s="414"/>
      <c r="DC64" s="415"/>
      <c r="DD64" s="412"/>
      <c r="DE64" s="552"/>
      <c r="DF64" s="529"/>
      <c r="DG64" s="553"/>
      <c r="DH64" s="553"/>
      <c r="DI64" s="553"/>
      <c r="DJ64" s="553"/>
      <c r="DK64" s="553"/>
      <c r="DL64" s="553"/>
      <c r="DM64" s="553"/>
      <c r="DN64" s="553"/>
      <c r="DO64" s="553"/>
      <c r="DP64" s="554"/>
      <c r="DQ64" s="543"/>
      <c r="DR64" s="579"/>
      <c r="DS64" s="482"/>
      <c r="DT64" s="438"/>
      <c r="DU64" s="586"/>
      <c r="DV64" s="555"/>
      <c r="DW64" s="418"/>
      <c r="DX64" s="379"/>
      <c r="DY64" s="514"/>
      <c r="DZ64" s="364"/>
      <c r="EA64" s="364"/>
      <c r="EB64" s="364"/>
      <c r="EC64" s="364"/>
      <c r="ED64" s="364"/>
      <c r="EE64" s="364"/>
      <c r="EF64" s="364"/>
      <c r="EG64" s="364"/>
      <c r="EH64" s="364"/>
      <c r="EI64" s="364"/>
      <c r="EJ64" s="364"/>
      <c r="EK64" s="364"/>
      <c r="EL64" s="364"/>
      <c r="EM64" s="364"/>
      <c r="EN64" s="358"/>
    </row>
    <row r="65" spans="1:144" ht="28.5" customHeight="1" x14ac:dyDescent="0.35">
      <c r="A65" s="396">
        <v>30</v>
      </c>
      <c r="B65" s="608" t="s">
        <v>96</v>
      </c>
      <c r="C65" s="411"/>
      <c r="D65" s="410" t="s">
        <v>319</v>
      </c>
      <c r="E65" s="256" t="s">
        <v>320</v>
      </c>
      <c r="F65" s="257">
        <v>30</v>
      </c>
      <c r="G65" s="416" t="e">
        <f>F65+F66+#REF!</f>
        <v>#REF!</v>
      </c>
      <c r="H65" s="618">
        <v>42757</v>
      </c>
      <c r="I65" s="622">
        <f>D65+2*360</f>
        <v>43790</v>
      </c>
      <c r="J65" s="604">
        <v>60</v>
      </c>
      <c r="K65" s="511">
        <f>I65+360</f>
        <v>44150</v>
      </c>
      <c r="L65" s="437">
        <f>+K65+DS65</f>
        <v>44202</v>
      </c>
      <c r="M65" s="640">
        <v>0</v>
      </c>
      <c r="N65" s="437">
        <v>44202</v>
      </c>
      <c r="O65" s="677"/>
      <c r="P65" s="665">
        <f>ROUNDDOWN(($P$2-D65)/365,0)*30</f>
        <v>60</v>
      </c>
      <c r="Q65" s="402"/>
      <c r="R65" s="393"/>
      <c r="S65" s="393"/>
      <c r="T65" s="393"/>
      <c r="U65" s="393"/>
      <c r="V65" s="393"/>
      <c r="W65" s="393"/>
      <c r="X65" s="393"/>
      <c r="Y65" s="393"/>
      <c r="Z65" s="393"/>
      <c r="AA65" s="393"/>
      <c r="AB65" s="393"/>
      <c r="AC65" s="393"/>
      <c r="AD65" s="393">
        <f>SUM(R65:AC66)</f>
        <v>0</v>
      </c>
      <c r="AE65" s="393"/>
      <c r="AF65" s="393"/>
      <c r="AG65" s="393"/>
      <c r="AH65" s="393"/>
      <c r="AI65" s="393"/>
      <c r="AJ65" s="393">
        <v>1</v>
      </c>
      <c r="AK65" s="393"/>
      <c r="AL65" s="393"/>
      <c r="AM65" s="393"/>
      <c r="AN65" s="393">
        <v>1</v>
      </c>
      <c r="AO65" s="393"/>
      <c r="AP65" s="393"/>
      <c r="AQ65" s="393"/>
      <c r="AR65" s="393"/>
      <c r="AS65" s="393"/>
      <c r="AT65" s="393"/>
      <c r="AU65" s="393">
        <v>2</v>
      </c>
      <c r="AV65" s="393"/>
      <c r="AW65" s="393">
        <v>1</v>
      </c>
      <c r="AX65" s="393">
        <v>1</v>
      </c>
      <c r="AY65" s="393"/>
      <c r="AZ65" s="393">
        <v>1</v>
      </c>
      <c r="BA65" s="393">
        <v>1</v>
      </c>
      <c r="BB65" s="393">
        <v>1</v>
      </c>
      <c r="BC65" s="393">
        <v>1</v>
      </c>
      <c r="BD65" s="393"/>
      <c r="BE65" s="393">
        <v>2</v>
      </c>
      <c r="BF65" s="393">
        <v>1</v>
      </c>
      <c r="BG65" s="393"/>
      <c r="BH65" s="393">
        <v>1</v>
      </c>
      <c r="BI65" s="393"/>
      <c r="BJ65" s="393"/>
      <c r="BK65" s="393">
        <v>1</v>
      </c>
      <c r="BL65" s="393"/>
      <c r="BM65" s="393"/>
      <c r="BN65" s="393"/>
      <c r="BO65" s="393">
        <v>1</v>
      </c>
      <c r="BP65" s="393"/>
      <c r="BQ65" s="393"/>
      <c r="BR65" s="394"/>
      <c r="BS65" s="394"/>
      <c r="BT65" s="394"/>
      <c r="BU65" s="394"/>
      <c r="BV65" s="394"/>
      <c r="BW65" s="394"/>
      <c r="BX65" s="394"/>
      <c r="BY65" s="394"/>
      <c r="BZ65" s="394"/>
      <c r="CA65" s="394"/>
      <c r="CB65" s="394"/>
      <c r="CC65" s="394"/>
      <c r="CD65" s="393">
        <f>SUM(BR65:CC66)</f>
        <v>0</v>
      </c>
      <c r="CE65" s="388"/>
      <c r="CF65" s="387"/>
      <c r="CG65" s="387"/>
      <c r="CH65" s="387">
        <v>22</v>
      </c>
      <c r="CI65" s="387"/>
      <c r="CJ65" s="387"/>
      <c r="CK65" s="387"/>
      <c r="CL65" s="387"/>
      <c r="CM65" s="387"/>
      <c r="CN65" s="387"/>
      <c r="CO65" s="387"/>
      <c r="CP65" s="404"/>
      <c r="CQ65" s="412">
        <f>SUM(CE65:CP66)</f>
        <v>22</v>
      </c>
      <c r="CR65" s="388"/>
      <c r="CS65" s="387"/>
      <c r="CT65" s="387"/>
      <c r="CU65" s="387"/>
      <c r="CV65" s="387">
        <v>4</v>
      </c>
      <c r="CW65" s="387"/>
      <c r="CX65" s="387"/>
      <c r="CY65" s="387"/>
      <c r="CZ65" s="387"/>
      <c r="DA65" s="387"/>
      <c r="DB65" s="387"/>
      <c r="DC65" s="404"/>
      <c r="DD65" s="412">
        <f>SUM(CR65:DC66)</f>
        <v>4</v>
      </c>
      <c r="DE65" s="524"/>
      <c r="DF65" s="525"/>
      <c r="DG65" s="525"/>
      <c r="DH65" s="525"/>
      <c r="DI65" s="525"/>
      <c r="DJ65" s="525"/>
      <c r="DK65" s="525"/>
      <c r="DL65" s="525">
        <v>8</v>
      </c>
      <c r="DM65" s="525">
        <v>30</v>
      </c>
      <c r="DN65" s="525">
        <v>14</v>
      </c>
      <c r="DO65" s="525"/>
      <c r="DP65" s="526"/>
      <c r="DQ65" s="543">
        <f>SUM(DE65:DP66)</f>
        <v>52</v>
      </c>
      <c r="DR65" s="579"/>
      <c r="DS65" s="481">
        <v>52</v>
      </c>
      <c r="DT65" s="437">
        <f>K65+DS65</f>
        <v>44202</v>
      </c>
      <c r="DU65" s="585"/>
      <c r="DV65" s="548"/>
      <c r="DW65" s="413">
        <f>ROUNDDOWN(($DW$2-H65)/365,0)*30</f>
        <v>90</v>
      </c>
      <c r="DX65" s="378">
        <f>Q65+AD65+AQ65+BD65+BQ65+CD65+CQ65+DD65+DQ65</f>
        <v>78</v>
      </c>
      <c r="DY65" s="513">
        <f>P65-DX65</f>
        <v>-18</v>
      </c>
      <c r="DZ65" s="363"/>
      <c r="EA65" s="363"/>
      <c r="EB65" s="363"/>
      <c r="EC65" s="363"/>
      <c r="ED65" s="363"/>
      <c r="EE65" s="363"/>
      <c r="EF65" s="363"/>
      <c r="EG65" s="363"/>
      <c r="EH65" s="363"/>
      <c r="EI65" s="363"/>
      <c r="EJ65" s="363"/>
      <c r="EK65" s="363"/>
      <c r="EL65" s="363"/>
      <c r="EM65" s="363"/>
      <c r="EN65" s="357">
        <f>SUM(DZ65:EM66)</f>
        <v>0</v>
      </c>
    </row>
    <row r="66" spans="1:144" ht="28.5" customHeight="1" x14ac:dyDescent="0.35">
      <c r="A66" s="396"/>
      <c r="B66" s="613"/>
      <c r="C66" s="411"/>
      <c r="D66" s="398"/>
      <c r="E66" s="271" t="s">
        <v>321</v>
      </c>
      <c r="F66" s="270">
        <v>30</v>
      </c>
      <c r="G66" s="416"/>
      <c r="H66" s="619"/>
      <c r="I66" s="631"/>
      <c r="J66" s="630"/>
      <c r="K66" s="626"/>
      <c r="L66" s="626"/>
      <c r="M66" s="643"/>
      <c r="N66" s="653"/>
      <c r="O66" s="678"/>
      <c r="P66" s="665"/>
      <c r="Q66" s="403"/>
      <c r="R66" s="393"/>
      <c r="S66" s="393"/>
      <c r="T66" s="393"/>
      <c r="U66" s="393"/>
      <c r="V66" s="393"/>
      <c r="W66" s="393"/>
      <c r="X66" s="393"/>
      <c r="Y66" s="393"/>
      <c r="Z66" s="393"/>
      <c r="AA66" s="393"/>
      <c r="AB66" s="393"/>
      <c r="AC66" s="393"/>
      <c r="AD66" s="393"/>
      <c r="AE66" s="393"/>
      <c r="AF66" s="393"/>
      <c r="AG66" s="393"/>
      <c r="AH66" s="393"/>
      <c r="AI66" s="393"/>
      <c r="AJ66" s="393"/>
      <c r="AK66" s="393"/>
      <c r="AL66" s="393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93"/>
      <c r="AY66" s="393"/>
      <c r="AZ66" s="393"/>
      <c r="BA66" s="393"/>
      <c r="BB66" s="393"/>
      <c r="BC66" s="393"/>
      <c r="BD66" s="393"/>
      <c r="BE66" s="393"/>
      <c r="BF66" s="393"/>
      <c r="BG66" s="393"/>
      <c r="BH66" s="393"/>
      <c r="BI66" s="393"/>
      <c r="BJ66" s="393"/>
      <c r="BK66" s="393"/>
      <c r="BL66" s="393"/>
      <c r="BM66" s="393"/>
      <c r="BN66" s="393"/>
      <c r="BO66" s="393"/>
      <c r="BP66" s="393"/>
      <c r="BQ66" s="393"/>
      <c r="BR66" s="395"/>
      <c r="BS66" s="395"/>
      <c r="BT66" s="395"/>
      <c r="BU66" s="395"/>
      <c r="BV66" s="395"/>
      <c r="BW66" s="395"/>
      <c r="BX66" s="395"/>
      <c r="BY66" s="395"/>
      <c r="BZ66" s="395"/>
      <c r="CA66" s="395"/>
      <c r="CB66" s="395"/>
      <c r="CC66" s="395"/>
      <c r="CD66" s="393"/>
      <c r="CE66" s="389"/>
      <c r="CF66" s="377"/>
      <c r="CG66" s="377"/>
      <c r="CH66" s="377"/>
      <c r="CI66" s="377"/>
      <c r="CJ66" s="377"/>
      <c r="CK66" s="377"/>
      <c r="CL66" s="377"/>
      <c r="CM66" s="377"/>
      <c r="CN66" s="377"/>
      <c r="CO66" s="377"/>
      <c r="CP66" s="405"/>
      <c r="CQ66" s="413"/>
      <c r="CR66" s="389"/>
      <c r="CS66" s="377"/>
      <c r="CT66" s="377"/>
      <c r="CU66" s="377"/>
      <c r="CV66" s="377"/>
      <c r="CW66" s="377"/>
      <c r="CX66" s="377"/>
      <c r="CY66" s="377"/>
      <c r="CZ66" s="377"/>
      <c r="DA66" s="377"/>
      <c r="DB66" s="377"/>
      <c r="DC66" s="405"/>
      <c r="DD66" s="413"/>
      <c r="DE66" s="528"/>
      <c r="DF66" s="529"/>
      <c r="DG66" s="529"/>
      <c r="DH66" s="529"/>
      <c r="DI66" s="529"/>
      <c r="DJ66" s="529"/>
      <c r="DK66" s="529"/>
      <c r="DL66" s="529"/>
      <c r="DM66" s="529"/>
      <c r="DN66" s="529"/>
      <c r="DO66" s="529"/>
      <c r="DP66" s="530"/>
      <c r="DQ66" s="543"/>
      <c r="DR66" s="579"/>
      <c r="DS66" s="482"/>
      <c r="DT66" s="438"/>
      <c r="DU66" s="586"/>
      <c r="DV66" s="555"/>
      <c r="DW66" s="418"/>
      <c r="DX66" s="379"/>
      <c r="DY66" s="514"/>
      <c r="DZ66" s="364"/>
      <c r="EA66" s="364"/>
      <c r="EB66" s="364"/>
      <c r="EC66" s="364"/>
      <c r="ED66" s="364"/>
      <c r="EE66" s="364"/>
      <c r="EF66" s="364"/>
      <c r="EG66" s="364"/>
      <c r="EH66" s="364"/>
      <c r="EI66" s="364"/>
      <c r="EJ66" s="364"/>
      <c r="EK66" s="364"/>
      <c r="EL66" s="364"/>
      <c r="EM66" s="364"/>
      <c r="EN66" s="358"/>
    </row>
    <row r="67" spans="1:144" ht="28.5" customHeight="1" x14ac:dyDescent="0.35">
      <c r="A67" s="396">
        <v>31</v>
      </c>
      <c r="B67" s="608" t="s">
        <v>323</v>
      </c>
      <c r="C67" s="411" t="s">
        <v>264</v>
      </c>
      <c r="D67" s="398" t="s">
        <v>324</v>
      </c>
      <c r="E67" s="278"/>
      <c r="F67" s="265"/>
      <c r="G67" s="408" t="e">
        <f>F67+F68+#REF!+#REF!+#REF!+#REF!</f>
        <v>#REF!</v>
      </c>
      <c r="H67" s="632"/>
      <c r="I67" s="622"/>
      <c r="J67" s="605"/>
      <c r="K67" s="688" t="s">
        <v>324</v>
      </c>
      <c r="L67" s="424"/>
      <c r="M67" s="640">
        <v>0</v>
      </c>
      <c r="N67" s="686">
        <f>K67+DS67+360</f>
        <v>44435</v>
      </c>
      <c r="O67" s="679"/>
      <c r="P67" s="664">
        <f>ROUNDDOWN(($P$2-D67)/365,0)*30</f>
        <v>0</v>
      </c>
      <c r="Q67" s="402"/>
      <c r="R67" s="393"/>
      <c r="S67" s="393"/>
      <c r="T67" s="393"/>
      <c r="U67" s="393"/>
      <c r="V67" s="393"/>
      <c r="W67" s="393"/>
      <c r="X67" s="393"/>
      <c r="Y67" s="393"/>
      <c r="Z67" s="393"/>
      <c r="AA67" s="393"/>
      <c r="AB67" s="393"/>
      <c r="AC67" s="393"/>
      <c r="AD67" s="393"/>
      <c r="AE67" s="393"/>
      <c r="AF67" s="393"/>
      <c r="AG67" s="393"/>
      <c r="AH67" s="393"/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/>
      <c r="AZ67" s="393"/>
      <c r="BA67" s="393"/>
      <c r="BB67" s="393"/>
      <c r="BC67" s="393"/>
      <c r="BD67" s="393"/>
      <c r="BE67" s="393"/>
      <c r="BF67" s="393"/>
      <c r="BG67" s="393"/>
      <c r="BH67" s="393"/>
      <c r="BI67" s="393"/>
      <c r="BJ67" s="393"/>
      <c r="BK67" s="393"/>
      <c r="BL67" s="393"/>
      <c r="BM67" s="393"/>
      <c r="BN67" s="393"/>
      <c r="BO67" s="393"/>
      <c r="BP67" s="393"/>
      <c r="BQ67" s="393"/>
      <c r="BR67" s="394"/>
      <c r="BS67" s="394"/>
      <c r="BT67" s="394"/>
      <c r="BU67" s="394"/>
      <c r="BV67" s="394"/>
      <c r="BW67" s="394"/>
      <c r="BX67" s="394"/>
      <c r="BY67" s="394"/>
      <c r="BZ67" s="394"/>
      <c r="CA67" s="394"/>
      <c r="CB67" s="394"/>
      <c r="CC67" s="394"/>
      <c r="CD67" s="393"/>
      <c r="CE67" s="388"/>
      <c r="CF67" s="387"/>
      <c r="CG67" s="387"/>
      <c r="CH67" s="387"/>
      <c r="CI67" s="387"/>
      <c r="CJ67" s="387"/>
      <c r="CK67" s="387"/>
      <c r="CL67" s="387"/>
      <c r="CM67" s="387"/>
      <c r="CN67" s="387"/>
      <c r="CO67" s="387"/>
      <c r="CP67" s="390"/>
      <c r="CQ67" s="376"/>
      <c r="CR67" s="373"/>
      <c r="CS67" s="373"/>
      <c r="CT67" s="373"/>
      <c r="CU67" s="373"/>
      <c r="CV67" s="373"/>
      <c r="CW67" s="373"/>
      <c r="CX67" s="373"/>
      <c r="CY67" s="373"/>
      <c r="CZ67" s="373"/>
      <c r="DA67" s="373"/>
      <c r="DB67" s="373"/>
      <c r="DC67" s="373"/>
      <c r="DD67" s="376"/>
      <c r="DE67" s="547"/>
      <c r="DF67" s="525"/>
      <c r="DG67" s="525"/>
      <c r="DH67" s="525"/>
      <c r="DI67" s="525"/>
      <c r="DJ67" s="525"/>
      <c r="DK67" s="525"/>
      <c r="DL67" s="525"/>
      <c r="DM67" s="525"/>
      <c r="DN67" s="525"/>
      <c r="DO67" s="525"/>
      <c r="DP67" s="526"/>
      <c r="DQ67" s="543">
        <f>SUM(DE67:DP68)</f>
        <v>0</v>
      </c>
      <c r="DR67" s="579"/>
      <c r="DS67" s="481"/>
      <c r="DT67" s="500"/>
      <c r="DU67" s="588"/>
      <c r="DV67" s="548"/>
      <c r="DW67" s="413"/>
      <c r="DX67" s="378">
        <f>Q67+AD67+AQ67+BD67+BQ67+CD67+CQ67+DD67+DQ67</f>
        <v>0</v>
      </c>
      <c r="DY67" s="513">
        <f>P67-DX67</f>
        <v>0</v>
      </c>
      <c r="DZ67" s="363"/>
      <c r="EA67" s="363"/>
      <c r="EB67" s="363"/>
      <c r="EC67" s="363"/>
      <c r="ED67" s="363"/>
      <c r="EE67" s="363"/>
      <c r="EF67" s="363"/>
      <c r="EG67" s="363"/>
      <c r="EH67" s="363"/>
      <c r="EI67" s="363"/>
      <c r="EJ67" s="363"/>
      <c r="EK67" s="363"/>
      <c r="EL67" s="363"/>
      <c r="EM67" s="363"/>
      <c r="EN67" s="357">
        <f>SUM(DZ67:EM68)</f>
        <v>0</v>
      </c>
    </row>
    <row r="68" spans="1:144" ht="28.5" customHeight="1" x14ac:dyDescent="0.35">
      <c r="A68" s="396"/>
      <c r="B68" s="613"/>
      <c r="C68" s="411"/>
      <c r="D68" s="398"/>
      <c r="E68" s="280"/>
      <c r="F68" s="267"/>
      <c r="G68" s="409"/>
      <c r="H68" s="633"/>
      <c r="I68" s="623"/>
      <c r="J68" s="605"/>
      <c r="K68" s="626"/>
      <c r="L68" s="626"/>
      <c r="M68" s="643"/>
      <c r="N68" s="653"/>
      <c r="O68" s="673"/>
      <c r="P68" s="660"/>
      <c r="Q68" s="403"/>
      <c r="R68" s="393"/>
      <c r="S68" s="393"/>
      <c r="T68" s="393"/>
      <c r="U68" s="393"/>
      <c r="V68" s="393"/>
      <c r="W68" s="393"/>
      <c r="X68" s="393"/>
      <c r="Y68" s="393"/>
      <c r="Z68" s="393"/>
      <c r="AA68" s="393"/>
      <c r="AB68" s="393"/>
      <c r="AC68" s="393"/>
      <c r="AD68" s="393"/>
      <c r="AE68" s="393"/>
      <c r="AF68" s="393"/>
      <c r="AG68" s="393"/>
      <c r="AH68" s="393"/>
      <c r="AI68" s="393"/>
      <c r="AJ68" s="393"/>
      <c r="AK68" s="393"/>
      <c r="AL68" s="393"/>
      <c r="AM68" s="393"/>
      <c r="AN68" s="393"/>
      <c r="AO68" s="393"/>
      <c r="AP68" s="393"/>
      <c r="AQ68" s="393"/>
      <c r="AR68" s="393"/>
      <c r="AS68" s="393"/>
      <c r="AT68" s="393"/>
      <c r="AU68" s="393"/>
      <c r="AV68" s="393"/>
      <c r="AW68" s="393"/>
      <c r="AX68" s="393"/>
      <c r="AY68" s="393"/>
      <c r="AZ68" s="393"/>
      <c r="BA68" s="393"/>
      <c r="BB68" s="393"/>
      <c r="BC68" s="393"/>
      <c r="BD68" s="393"/>
      <c r="BE68" s="393"/>
      <c r="BF68" s="393"/>
      <c r="BG68" s="393"/>
      <c r="BH68" s="393"/>
      <c r="BI68" s="393"/>
      <c r="BJ68" s="393"/>
      <c r="BK68" s="393"/>
      <c r="BL68" s="393"/>
      <c r="BM68" s="393"/>
      <c r="BN68" s="393"/>
      <c r="BO68" s="393"/>
      <c r="BP68" s="393"/>
      <c r="BQ68" s="393"/>
      <c r="BR68" s="395"/>
      <c r="BS68" s="395"/>
      <c r="BT68" s="395"/>
      <c r="BU68" s="395"/>
      <c r="BV68" s="395"/>
      <c r="BW68" s="395"/>
      <c r="BX68" s="395"/>
      <c r="BY68" s="395"/>
      <c r="BZ68" s="395"/>
      <c r="CA68" s="395"/>
      <c r="CB68" s="395"/>
      <c r="CC68" s="395"/>
      <c r="CD68" s="393"/>
      <c r="CE68" s="389"/>
      <c r="CF68" s="377"/>
      <c r="CG68" s="377"/>
      <c r="CH68" s="377"/>
      <c r="CI68" s="377"/>
      <c r="CJ68" s="377"/>
      <c r="CK68" s="377"/>
      <c r="CL68" s="377"/>
      <c r="CM68" s="377"/>
      <c r="CN68" s="377"/>
      <c r="CO68" s="377"/>
      <c r="CP68" s="391"/>
      <c r="CQ68" s="376"/>
      <c r="CR68" s="373"/>
      <c r="CS68" s="373"/>
      <c r="CT68" s="373"/>
      <c r="CU68" s="373"/>
      <c r="CV68" s="373"/>
      <c r="CW68" s="373"/>
      <c r="CX68" s="373"/>
      <c r="CY68" s="373"/>
      <c r="CZ68" s="373"/>
      <c r="DA68" s="373"/>
      <c r="DB68" s="373"/>
      <c r="DC68" s="373"/>
      <c r="DD68" s="376"/>
      <c r="DE68" s="549"/>
      <c r="DF68" s="529"/>
      <c r="DG68" s="529"/>
      <c r="DH68" s="529"/>
      <c r="DI68" s="529"/>
      <c r="DJ68" s="529"/>
      <c r="DK68" s="529"/>
      <c r="DL68" s="529"/>
      <c r="DM68" s="529"/>
      <c r="DN68" s="529"/>
      <c r="DO68" s="529"/>
      <c r="DP68" s="530"/>
      <c r="DQ68" s="543"/>
      <c r="DR68" s="579"/>
      <c r="DS68" s="482"/>
      <c r="DT68" s="500"/>
      <c r="DU68" s="588"/>
      <c r="DV68" s="555"/>
      <c r="DW68" s="418"/>
      <c r="DX68" s="379"/>
      <c r="DY68" s="514"/>
      <c r="DZ68" s="364"/>
      <c r="EA68" s="364"/>
      <c r="EB68" s="364"/>
      <c r="EC68" s="364"/>
      <c r="ED68" s="364"/>
      <c r="EE68" s="364"/>
      <c r="EF68" s="364"/>
      <c r="EG68" s="364"/>
      <c r="EH68" s="364"/>
      <c r="EI68" s="364"/>
      <c r="EJ68" s="364"/>
      <c r="EK68" s="364"/>
      <c r="EL68" s="364"/>
      <c r="EM68" s="364"/>
      <c r="EN68" s="358"/>
    </row>
    <row r="69" spans="1:144" ht="28.5" customHeight="1" x14ac:dyDescent="0.35">
      <c r="A69" s="396">
        <v>32</v>
      </c>
      <c r="B69" s="614" t="s">
        <v>366</v>
      </c>
      <c r="C69" s="411"/>
      <c r="D69" s="381" t="s">
        <v>356</v>
      </c>
      <c r="E69" s="289" t="s">
        <v>325</v>
      </c>
      <c r="F69" s="279">
        <v>30</v>
      </c>
      <c r="G69" s="408" t="e">
        <f>F69+F70+#REF!+#REF!+#REF!+#REF!+#REF!+#REF!+#REF!</f>
        <v>#REF!</v>
      </c>
      <c r="H69" s="632">
        <v>40766</v>
      </c>
      <c r="I69" s="622">
        <f>D69+8*360</f>
        <v>43605</v>
      </c>
      <c r="J69" s="636">
        <v>240</v>
      </c>
      <c r="K69" s="494">
        <f>I69+360</f>
        <v>43965</v>
      </c>
      <c r="L69" s="438">
        <f>K69+DS69</f>
        <v>44006</v>
      </c>
      <c r="M69" s="370">
        <v>30</v>
      </c>
      <c r="N69" s="649">
        <f>+L69+360</f>
        <v>44366</v>
      </c>
      <c r="O69" s="671"/>
      <c r="P69" s="658">
        <f>ROUNDDOWN(($P$2-D69)/365,0)*30</f>
        <v>270</v>
      </c>
      <c r="Q69" s="402"/>
      <c r="R69" s="393"/>
      <c r="S69" s="393"/>
      <c r="T69" s="393">
        <v>1</v>
      </c>
      <c r="U69" s="393"/>
      <c r="V69" s="393">
        <v>1</v>
      </c>
      <c r="W69" s="393"/>
      <c r="X69" s="393">
        <v>2</v>
      </c>
      <c r="Y69" s="393"/>
      <c r="Z69" s="393"/>
      <c r="AA69" s="393">
        <v>1</v>
      </c>
      <c r="AB69" s="393"/>
      <c r="AC69" s="393"/>
      <c r="AD69" s="394">
        <f>SUM(R69:AC70)</f>
        <v>5</v>
      </c>
      <c r="AE69" s="393">
        <v>7</v>
      </c>
      <c r="AF69" s="393"/>
      <c r="AG69" s="393"/>
      <c r="AH69" s="393"/>
      <c r="AI69" s="393"/>
      <c r="AJ69" s="393">
        <v>1</v>
      </c>
      <c r="AK69" s="393">
        <v>1</v>
      </c>
      <c r="AL69" s="393"/>
      <c r="AM69" s="393"/>
      <c r="AN69" s="393"/>
      <c r="AO69" s="393"/>
      <c r="AP69" s="393"/>
      <c r="AQ69" s="394">
        <f>SUM(AE69:AP70)</f>
        <v>9</v>
      </c>
      <c r="AR69" s="393"/>
      <c r="AS69" s="393"/>
      <c r="AT69" s="393">
        <v>4</v>
      </c>
      <c r="AU69" s="393">
        <v>1</v>
      </c>
      <c r="AV69" s="393"/>
      <c r="AW69" s="393"/>
      <c r="AX69" s="393">
        <v>6</v>
      </c>
      <c r="AY69" s="393">
        <v>1</v>
      </c>
      <c r="AZ69" s="393">
        <v>1</v>
      </c>
      <c r="BA69" s="393">
        <v>1</v>
      </c>
      <c r="BB69" s="393">
        <v>3</v>
      </c>
      <c r="BC69" s="393"/>
      <c r="BD69" s="394">
        <f>SUM(AR69:BC70)</f>
        <v>17</v>
      </c>
      <c r="BE69" s="393"/>
      <c r="BF69" s="393"/>
      <c r="BG69" s="393"/>
      <c r="BH69" s="393">
        <v>2</v>
      </c>
      <c r="BI69" s="393">
        <v>10</v>
      </c>
      <c r="BJ69" s="393"/>
      <c r="BK69" s="393">
        <v>1</v>
      </c>
      <c r="BL69" s="393"/>
      <c r="BM69" s="393">
        <v>2</v>
      </c>
      <c r="BN69" s="393">
        <v>1</v>
      </c>
      <c r="BO69" s="393">
        <v>3</v>
      </c>
      <c r="BP69" s="393">
        <v>1</v>
      </c>
      <c r="BQ69" s="394">
        <f>SUM(BE69:BP70)</f>
        <v>20</v>
      </c>
      <c r="BR69" s="394">
        <v>1</v>
      </c>
      <c r="BS69" s="394">
        <v>8</v>
      </c>
      <c r="BT69" s="394"/>
      <c r="BU69" s="394">
        <v>2</v>
      </c>
      <c r="BV69" s="394">
        <v>2</v>
      </c>
      <c r="BW69" s="394"/>
      <c r="BX69" s="394">
        <v>3</v>
      </c>
      <c r="BY69" s="394">
        <v>7</v>
      </c>
      <c r="BZ69" s="394"/>
      <c r="CA69" s="394">
        <v>2</v>
      </c>
      <c r="CB69" s="394"/>
      <c r="CC69" s="394">
        <v>6</v>
      </c>
      <c r="CD69" s="394">
        <f>SUM(BR69:CC70)</f>
        <v>31</v>
      </c>
      <c r="CE69" s="388">
        <v>2</v>
      </c>
      <c r="CF69" s="387">
        <v>2</v>
      </c>
      <c r="CG69" s="387">
        <v>6</v>
      </c>
      <c r="CH69" s="387"/>
      <c r="CI69" s="387">
        <v>4</v>
      </c>
      <c r="CJ69" s="387"/>
      <c r="CK69" s="387"/>
      <c r="CL69" s="387">
        <v>5</v>
      </c>
      <c r="CM69" s="387"/>
      <c r="CN69" s="387">
        <f>3+1</f>
        <v>4</v>
      </c>
      <c r="CO69" s="387"/>
      <c r="CP69" s="390">
        <v>1</v>
      </c>
      <c r="CQ69" s="376">
        <f>SUM(CE69:CP70)</f>
        <v>24</v>
      </c>
      <c r="CR69" s="373">
        <v>1</v>
      </c>
      <c r="CS69" s="373">
        <v>1</v>
      </c>
      <c r="CT69" s="373">
        <v>5</v>
      </c>
      <c r="CU69" s="373"/>
      <c r="CV69" s="373">
        <v>3</v>
      </c>
      <c r="CW69" s="373"/>
      <c r="CX69" s="373">
        <v>8</v>
      </c>
      <c r="CY69" s="373"/>
      <c r="CZ69" s="373">
        <f>1+1</f>
        <v>2</v>
      </c>
      <c r="DA69" s="373">
        <f>1+1+1</f>
        <v>3</v>
      </c>
      <c r="DB69" s="373">
        <f>1+2</f>
        <v>3</v>
      </c>
      <c r="DC69" s="373">
        <f>1+1</f>
        <v>2</v>
      </c>
      <c r="DD69" s="376">
        <f>SUM(CR69:DC70)</f>
        <v>28</v>
      </c>
      <c r="DE69" s="556">
        <v>3</v>
      </c>
      <c r="DF69" s="557">
        <v>6</v>
      </c>
      <c r="DG69" s="558"/>
      <c r="DH69" s="558"/>
      <c r="DI69" s="558"/>
      <c r="DJ69" s="559"/>
      <c r="DK69" s="560"/>
      <c r="DL69" s="558"/>
      <c r="DM69" s="558"/>
      <c r="DN69" s="558"/>
      <c r="DO69" s="558"/>
      <c r="DP69" s="561"/>
      <c r="DQ69" s="551">
        <f>SUM(DE69:DP70)</f>
        <v>9</v>
      </c>
      <c r="DR69" s="683"/>
      <c r="DS69" s="481">
        <f>'Determ días de vacaciones'!S41</f>
        <v>41</v>
      </c>
      <c r="DU69" s="589"/>
      <c r="DV69" s="579"/>
      <c r="DW69" s="413">
        <f>ROUNDDOWN(($DW$2-H69)/365,0)*30</f>
        <v>270</v>
      </c>
      <c r="DX69" s="374">
        <f>Q69+AD69+AQ69+BD69+BQ69+CD69+CQ69+DD69+DQ69</f>
        <v>143</v>
      </c>
      <c r="DY69" s="515">
        <f>P69-DX69</f>
        <v>127</v>
      </c>
      <c r="DZ69" s="363">
        <v>2</v>
      </c>
      <c r="EA69" s="363">
        <v>15</v>
      </c>
      <c r="EB69" s="363">
        <v>15</v>
      </c>
      <c r="EC69" s="363">
        <v>15</v>
      </c>
      <c r="ED69" s="363">
        <v>15</v>
      </c>
      <c r="EE69" s="363">
        <v>15</v>
      </c>
      <c r="EF69" s="363">
        <v>15</v>
      </c>
      <c r="EG69" s="363">
        <v>15</v>
      </c>
      <c r="EH69" s="363">
        <v>15</v>
      </c>
      <c r="EI69" s="363">
        <v>5</v>
      </c>
      <c r="EJ69" s="363"/>
      <c r="EK69" s="363"/>
      <c r="EL69" s="363"/>
      <c r="EM69" s="363"/>
      <c r="EN69" s="357">
        <f>SUM(DZ69:EM70)</f>
        <v>127</v>
      </c>
    </row>
    <row r="70" spans="1:144" ht="28.5" customHeight="1" x14ac:dyDescent="0.35">
      <c r="A70" s="396"/>
      <c r="B70" s="609"/>
      <c r="C70" s="411"/>
      <c r="D70" s="381"/>
      <c r="E70" s="266" t="s">
        <v>326</v>
      </c>
      <c r="F70" s="284">
        <v>30</v>
      </c>
      <c r="G70" s="409"/>
      <c r="H70" s="633"/>
      <c r="I70" s="623"/>
      <c r="J70" s="635"/>
      <c r="K70" s="492"/>
      <c r="L70" s="429"/>
      <c r="M70" s="370"/>
      <c r="N70" s="650"/>
      <c r="O70" s="673"/>
      <c r="P70" s="660"/>
      <c r="Q70" s="40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  <c r="AB70" s="393"/>
      <c r="AC70" s="393"/>
      <c r="AD70" s="395"/>
      <c r="AE70" s="393"/>
      <c r="AF70" s="393"/>
      <c r="AG70" s="393"/>
      <c r="AH70" s="393"/>
      <c r="AI70" s="393"/>
      <c r="AJ70" s="393"/>
      <c r="AK70" s="393"/>
      <c r="AL70" s="393"/>
      <c r="AM70" s="393"/>
      <c r="AN70" s="393"/>
      <c r="AO70" s="393"/>
      <c r="AP70" s="393"/>
      <c r="AQ70" s="395"/>
      <c r="AR70" s="393"/>
      <c r="AS70" s="393"/>
      <c r="AT70" s="393"/>
      <c r="AU70" s="393"/>
      <c r="AV70" s="393"/>
      <c r="AW70" s="393"/>
      <c r="AX70" s="393"/>
      <c r="AY70" s="393"/>
      <c r="AZ70" s="393"/>
      <c r="BA70" s="393"/>
      <c r="BB70" s="393"/>
      <c r="BC70" s="393"/>
      <c r="BD70" s="395"/>
      <c r="BE70" s="393"/>
      <c r="BF70" s="393"/>
      <c r="BG70" s="393"/>
      <c r="BH70" s="393"/>
      <c r="BI70" s="393"/>
      <c r="BJ70" s="393"/>
      <c r="BK70" s="393"/>
      <c r="BL70" s="393"/>
      <c r="BM70" s="393"/>
      <c r="BN70" s="393"/>
      <c r="BO70" s="393"/>
      <c r="BP70" s="393"/>
      <c r="BQ70" s="395"/>
      <c r="BR70" s="395"/>
      <c r="BS70" s="395"/>
      <c r="BT70" s="395"/>
      <c r="BU70" s="395"/>
      <c r="BV70" s="395"/>
      <c r="BW70" s="395"/>
      <c r="BX70" s="395"/>
      <c r="BY70" s="395"/>
      <c r="BZ70" s="395"/>
      <c r="CA70" s="395"/>
      <c r="CB70" s="395"/>
      <c r="CC70" s="395"/>
      <c r="CD70" s="395"/>
      <c r="CE70" s="389"/>
      <c r="CF70" s="377"/>
      <c r="CG70" s="377"/>
      <c r="CH70" s="377"/>
      <c r="CI70" s="377"/>
      <c r="CJ70" s="377"/>
      <c r="CK70" s="377"/>
      <c r="CL70" s="377"/>
      <c r="CM70" s="377"/>
      <c r="CN70" s="377"/>
      <c r="CO70" s="377"/>
      <c r="CP70" s="391"/>
      <c r="CQ70" s="376"/>
      <c r="CR70" s="373"/>
      <c r="CS70" s="373"/>
      <c r="CT70" s="373"/>
      <c r="CU70" s="373"/>
      <c r="CV70" s="373"/>
      <c r="CW70" s="373"/>
      <c r="CX70" s="373"/>
      <c r="CY70" s="373"/>
      <c r="CZ70" s="373"/>
      <c r="DA70" s="373"/>
      <c r="DB70" s="373"/>
      <c r="DC70" s="373"/>
      <c r="DD70" s="376"/>
      <c r="DE70" s="562"/>
      <c r="DF70" s="346"/>
      <c r="DG70" s="563"/>
      <c r="DH70" s="563"/>
      <c r="DI70" s="563"/>
      <c r="DJ70" s="564"/>
      <c r="DK70" s="346"/>
      <c r="DL70" s="563"/>
      <c r="DM70" s="563"/>
      <c r="DN70" s="563"/>
      <c r="DO70" s="563"/>
      <c r="DP70" s="565"/>
      <c r="DQ70" s="551"/>
      <c r="DR70" s="684"/>
      <c r="DS70" s="482"/>
      <c r="DT70" s="438"/>
      <c r="DU70" s="582"/>
      <c r="DV70" s="579"/>
      <c r="DW70" s="418"/>
      <c r="DX70" s="374"/>
      <c r="DY70" s="516"/>
      <c r="DZ70" s="364"/>
      <c r="EA70" s="364"/>
      <c r="EB70" s="364"/>
      <c r="EC70" s="364"/>
      <c r="ED70" s="364"/>
      <c r="EE70" s="364"/>
      <c r="EF70" s="364"/>
      <c r="EG70" s="364"/>
      <c r="EH70" s="364"/>
      <c r="EI70" s="364"/>
      <c r="EJ70" s="364"/>
      <c r="EK70" s="364"/>
      <c r="EL70" s="364"/>
      <c r="EM70" s="364"/>
      <c r="EN70" s="358"/>
    </row>
    <row r="71" spans="1:144" ht="28.5" customHeight="1" x14ac:dyDescent="0.35">
      <c r="A71" s="396">
        <v>33</v>
      </c>
      <c r="B71" s="608" t="s">
        <v>56</v>
      </c>
      <c r="C71" s="411"/>
      <c r="D71" s="410" t="s">
        <v>329</v>
      </c>
      <c r="E71" s="256" t="s">
        <v>330</v>
      </c>
      <c r="F71" s="270">
        <v>30</v>
      </c>
      <c r="G71" s="400" t="e">
        <f>F71+F72+#REF!+#REF!+#REF!+#REF!</f>
        <v>#REF!</v>
      </c>
      <c r="H71" s="632">
        <v>41732</v>
      </c>
      <c r="I71" s="622">
        <f>D71+5*360</f>
        <v>43471</v>
      </c>
      <c r="J71" s="636">
        <v>150</v>
      </c>
      <c r="K71" s="687">
        <f>I71+360</f>
        <v>43831</v>
      </c>
      <c r="L71" s="424"/>
      <c r="M71" s="625">
        <v>30</v>
      </c>
      <c r="N71" s="687">
        <f>K71+DS71+360</f>
        <v>44253</v>
      </c>
      <c r="O71" s="674"/>
      <c r="P71" s="658">
        <f>ROUNDDOWN(($P$2-D71)/365,0)*30</f>
        <v>180</v>
      </c>
      <c r="Q71" s="402"/>
      <c r="R71" s="393"/>
      <c r="S71" s="393"/>
      <c r="T71" s="393"/>
      <c r="U71" s="393"/>
      <c r="V71" s="393"/>
      <c r="W71" s="393"/>
      <c r="X71" s="393"/>
      <c r="Y71" s="393"/>
      <c r="Z71" s="393"/>
      <c r="AA71" s="393"/>
      <c r="AB71" s="393"/>
      <c r="AC71" s="393"/>
      <c r="AD71" s="393">
        <f>SUM(R71:AC72)</f>
        <v>0</v>
      </c>
      <c r="AE71" s="393"/>
      <c r="AF71" s="393"/>
      <c r="AG71" s="393"/>
      <c r="AH71" s="393"/>
      <c r="AI71" s="393"/>
      <c r="AJ71" s="393">
        <v>1</v>
      </c>
      <c r="AK71" s="393"/>
      <c r="AL71" s="393"/>
      <c r="AM71" s="393"/>
      <c r="AN71" s="393">
        <v>1</v>
      </c>
      <c r="AO71" s="393"/>
      <c r="AP71" s="393"/>
      <c r="AQ71" s="393">
        <f>SUM(AE71:AP72)</f>
        <v>2</v>
      </c>
      <c r="AR71" s="393"/>
      <c r="AS71" s="393"/>
      <c r="AT71" s="393"/>
      <c r="AU71" s="393">
        <v>2</v>
      </c>
      <c r="AV71" s="393"/>
      <c r="AW71" s="393">
        <v>1</v>
      </c>
      <c r="AX71" s="393">
        <v>1</v>
      </c>
      <c r="AY71" s="393"/>
      <c r="AZ71" s="393">
        <v>1</v>
      </c>
      <c r="BA71" s="393">
        <v>1</v>
      </c>
      <c r="BB71" s="393">
        <v>1</v>
      </c>
      <c r="BC71" s="393">
        <v>1</v>
      </c>
      <c r="BD71" s="393">
        <f>SUM(AR71:BC72)</f>
        <v>8</v>
      </c>
      <c r="BE71" s="393">
        <v>2</v>
      </c>
      <c r="BF71" s="393">
        <v>1</v>
      </c>
      <c r="BG71" s="393"/>
      <c r="BH71" s="393">
        <v>1</v>
      </c>
      <c r="BI71" s="393"/>
      <c r="BJ71" s="393"/>
      <c r="BK71" s="393">
        <v>1</v>
      </c>
      <c r="BL71" s="393"/>
      <c r="BM71" s="393"/>
      <c r="BN71" s="393"/>
      <c r="BO71" s="393">
        <v>1</v>
      </c>
      <c r="BP71" s="393"/>
      <c r="BQ71" s="393">
        <f>SUM(BE71:BP72)</f>
        <v>6</v>
      </c>
      <c r="BR71" s="394"/>
      <c r="BS71" s="394"/>
      <c r="BT71" s="394"/>
      <c r="BU71" s="394"/>
      <c r="BV71" s="394"/>
      <c r="BW71" s="394"/>
      <c r="BX71" s="394"/>
      <c r="BY71" s="394"/>
      <c r="BZ71" s="394"/>
      <c r="CA71" s="394"/>
      <c r="CB71" s="394"/>
      <c r="CC71" s="394">
        <v>6</v>
      </c>
      <c r="CD71" s="393">
        <f>SUM(BR71:CC72)</f>
        <v>6</v>
      </c>
      <c r="CE71" s="388"/>
      <c r="CF71" s="387">
        <v>1</v>
      </c>
      <c r="CG71" s="387"/>
      <c r="CH71" s="387"/>
      <c r="CI71" s="387"/>
      <c r="CJ71" s="387"/>
      <c r="CK71" s="387"/>
      <c r="CL71" s="387"/>
      <c r="CM71" s="387"/>
      <c r="CN71" s="387"/>
      <c r="CO71" s="387"/>
      <c r="CP71" s="390"/>
      <c r="CQ71" s="376">
        <f>SUM(CE71:CP72)</f>
        <v>1</v>
      </c>
      <c r="CR71" s="373"/>
      <c r="CS71" s="373"/>
      <c r="CT71" s="373">
        <v>1</v>
      </c>
      <c r="CU71" s="373"/>
      <c r="CV71" s="373"/>
      <c r="CW71" s="373">
        <v>1</v>
      </c>
      <c r="CX71" s="373">
        <v>1</v>
      </c>
      <c r="CY71" s="373">
        <v>1</v>
      </c>
      <c r="CZ71" s="373">
        <v>1</v>
      </c>
      <c r="DA71" s="373">
        <v>2</v>
      </c>
      <c r="DB71" s="373"/>
      <c r="DC71" s="373"/>
      <c r="DD71" s="376">
        <f>SUM(CR71:DC72)</f>
        <v>7</v>
      </c>
      <c r="DE71" s="549"/>
      <c r="DF71" s="529">
        <v>1</v>
      </c>
      <c r="DG71" s="529"/>
      <c r="DH71" s="529"/>
      <c r="DI71" s="529"/>
      <c r="DJ71" s="529"/>
      <c r="DK71" s="529"/>
      <c r="DL71" s="529"/>
      <c r="DM71" s="529">
        <v>12</v>
      </c>
      <c r="DN71" s="529"/>
      <c r="DO71" s="529"/>
      <c r="DP71" s="537"/>
      <c r="DQ71" s="566">
        <f>SUM(DE71:DP72)</f>
        <v>13</v>
      </c>
      <c r="DR71" s="681"/>
      <c r="DS71" s="481">
        <f>'Determ días de vacaciones'!S42</f>
        <v>62</v>
      </c>
      <c r="DT71" s="437">
        <f>K71+DS71</f>
        <v>43893</v>
      </c>
      <c r="DU71" s="582"/>
      <c r="DV71" s="579"/>
      <c r="DW71" s="413">
        <f>ROUNDDOWN(($DW$2-H71)/365,0)*30</f>
        <v>180</v>
      </c>
      <c r="DX71" s="407">
        <f>Q71+AD71+AQ71+BD71+BQ71+CD71+CQ71+DD71+DQ71</f>
        <v>43</v>
      </c>
      <c r="DY71" s="513">
        <f>P71-DX71</f>
        <v>137</v>
      </c>
      <c r="DZ71" s="363">
        <v>15</v>
      </c>
      <c r="EA71" s="363">
        <v>15</v>
      </c>
      <c r="EB71" s="363">
        <v>15</v>
      </c>
      <c r="EC71" s="363">
        <v>15</v>
      </c>
      <c r="ED71" s="363">
        <v>15</v>
      </c>
      <c r="EE71" s="363">
        <v>15</v>
      </c>
      <c r="EF71" s="363">
        <v>15</v>
      </c>
      <c r="EG71" s="363">
        <v>15</v>
      </c>
      <c r="EH71" s="363">
        <v>15</v>
      </c>
      <c r="EI71" s="363">
        <v>2</v>
      </c>
      <c r="EJ71" s="363"/>
      <c r="EK71" s="363"/>
      <c r="EL71" s="363"/>
      <c r="EM71" s="363"/>
      <c r="EN71" s="357">
        <f>SUM(DZ71:EM72)</f>
        <v>137</v>
      </c>
    </row>
    <row r="72" spans="1:144" ht="28.5" customHeight="1" x14ac:dyDescent="0.35">
      <c r="A72" s="396"/>
      <c r="B72" s="613"/>
      <c r="C72" s="411"/>
      <c r="D72" s="398"/>
      <c r="E72" s="259" t="s">
        <v>331</v>
      </c>
      <c r="F72" s="269">
        <v>30</v>
      </c>
      <c r="G72" s="401"/>
      <c r="H72" s="633"/>
      <c r="I72" s="623"/>
      <c r="J72" s="635"/>
      <c r="K72" s="624"/>
      <c r="L72" s="626"/>
      <c r="M72" s="372"/>
      <c r="N72" s="650"/>
      <c r="O72" s="673"/>
      <c r="P72" s="660"/>
      <c r="Q72" s="403"/>
      <c r="R72" s="393"/>
      <c r="S72" s="393"/>
      <c r="T72" s="393"/>
      <c r="U72" s="393"/>
      <c r="V72" s="393"/>
      <c r="W72" s="393"/>
      <c r="X72" s="393"/>
      <c r="Y72" s="393"/>
      <c r="Z72" s="393"/>
      <c r="AA72" s="393"/>
      <c r="AB72" s="393"/>
      <c r="AC72" s="393"/>
      <c r="AD72" s="393"/>
      <c r="AE72" s="393"/>
      <c r="AF72" s="393"/>
      <c r="AG72" s="393"/>
      <c r="AH72" s="393"/>
      <c r="AI72" s="393"/>
      <c r="AJ72" s="393"/>
      <c r="AK72" s="393"/>
      <c r="AL72" s="393"/>
      <c r="AM72" s="393"/>
      <c r="AN72" s="393"/>
      <c r="AO72" s="393"/>
      <c r="AP72" s="393"/>
      <c r="AQ72" s="393"/>
      <c r="AR72" s="393"/>
      <c r="AS72" s="393"/>
      <c r="AT72" s="393"/>
      <c r="AU72" s="393"/>
      <c r="AV72" s="393"/>
      <c r="AW72" s="393"/>
      <c r="AX72" s="393"/>
      <c r="AY72" s="393"/>
      <c r="AZ72" s="393"/>
      <c r="BA72" s="393"/>
      <c r="BB72" s="393"/>
      <c r="BC72" s="393"/>
      <c r="BD72" s="393"/>
      <c r="BE72" s="393"/>
      <c r="BF72" s="393"/>
      <c r="BG72" s="393"/>
      <c r="BH72" s="393"/>
      <c r="BI72" s="393"/>
      <c r="BJ72" s="393"/>
      <c r="BK72" s="393"/>
      <c r="BL72" s="393"/>
      <c r="BM72" s="393"/>
      <c r="BN72" s="393"/>
      <c r="BO72" s="393"/>
      <c r="BP72" s="393"/>
      <c r="BQ72" s="393"/>
      <c r="BR72" s="395"/>
      <c r="BS72" s="395"/>
      <c r="BT72" s="395"/>
      <c r="BU72" s="395"/>
      <c r="BV72" s="395"/>
      <c r="BW72" s="395"/>
      <c r="BX72" s="395"/>
      <c r="BY72" s="395"/>
      <c r="BZ72" s="395"/>
      <c r="CA72" s="395"/>
      <c r="CB72" s="395"/>
      <c r="CC72" s="395"/>
      <c r="CD72" s="393"/>
      <c r="CE72" s="389"/>
      <c r="CF72" s="377"/>
      <c r="CG72" s="377"/>
      <c r="CH72" s="377"/>
      <c r="CI72" s="377"/>
      <c r="CJ72" s="377"/>
      <c r="CK72" s="377"/>
      <c r="CL72" s="377"/>
      <c r="CM72" s="377"/>
      <c r="CN72" s="377"/>
      <c r="CO72" s="377"/>
      <c r="CP72" s="391"/>
      <c r="CQ72" s="376"/>
      <c r="CR72" s="373"/>
      <c r="CS72" s="373"/>
      <c r="CT72" s="373"/>
      <c r="CU72" s="373"/>
      <c r="CV72" s="373"/>
      <c r="CW72" s="373"/>
      <c r="CX72" s="373"/>
      <c r="CY72" s="373"/>
      <c r="CZ72" s="373"/>
      <c r="DA72" s="373"/>
      <c r="DB72" s="373"/>
      <c r="DC72" s="373"/>
      <c r="DD72" s="376"/>
      <c r="DE72" s="549"/>
      <c r="DF72" s="529"/>
      <c r="DG72" s="529"/>
      <c r="DH72" s="529"/>
      <c r="DI72" s="529"/>
      <c r="DJ72" s="529"/>
      <c r="DK72" s="529"/>
      <c r="DL72" s="529"/>
      <c r="DM72" s="529"/>
      <c r="DN72" s="529"/>
      <c r="DO72" s="529"/>
      <c r="DP72" s="537"/>
      <c r="DQ72" s="545"/>
      <c r="DR72" s="681"/>
      <c r="DS72" s="482"/>
      <c r="DT72" s="438"/>
      <c r="DU72" s="582"/>
      <c r="DV72" s="580"/>
      <c r="DW72" s="418"/>
      <c r="DX72" s="379"/>
      <c r="DY72" s="514"/>
      <c r="DZ72" s="364"/>
      <c r="EA72" s="364"/>
      <c r="EB72" s="364"/>
      <c r="EC72" s="364"/>
      <c r="ED72" s="364"/>
      <c r="EE72" s="364"/>
      <c r="EF72" s="364"/>
      <c r="EG72" s="364"/>
      <c r="EH72" s="364"/>
      <c r="EI72" s="364"/>
      <c r="EJ72" s="364"/>
      <c r="EK72" s="364"/>
      <c r="EL72" s="364"/>
      <c r="EM72" s="364"/>
      <c r="EN72" s="358"/>
    </row>
    <row r="73" spans="1:144" ht="28.5" customHeight="1" x14ac:dyDescent="0.35">
      <c r="A73" s="396">
        <v>34</v>
      </c>
      <c r="B73" s="608" t="s">
        <v>336</v>
      </c>
      <c r="C73" s="411" t="s">
        <v>264</v>
      </c>
      <c r="D73" s="398" t="s">
        <v>265</v>
      </c>
      <c r="E73" s="259" t="s">
        <v>190</v>
      </c>
      <c r="F73" s="265">
        <v>30</v>
      </c>
      <c r="G73" s="408" t="e">
        <f>F73+F74+#REF!+#REF!+#REF!+#REF!</f>
        <v>#REF!</v>
      </c>
      <c r="H73" s="632">
        <v>43527</v>
      </c>
      <c r="I73" s="622"/>
      <c r="J73" s="636"/>
      <c r="K73" s="687">
        <v>43831</v>
      </c>
      <c r="L73" s="581"/>
      <c r="M73" s="369">
        <v>30</v>
      </c>
      <c r="N73" s="687">
        <f>K73+DS73+360</f>
        <v>44253</v>
      </c>
      <c r="O73" s="674"/>
      <c r="P73" s="658">
        <f>ROUNDDOWN(($P$2-D73)/365,0)*30</f>
        <v>30</v>
      </c>
      <c r="Q73" s="402"/>
      <c r="R73" s="393"/>
      <c r="S73" s="393"/>
      <c r="T73" s="393"/>
      <c r="U73" s="393"/>
      <c r="V73" s="393"/>
      <c r="W73" s="393"/>
      <c r="X73" s="393"/>
      <c r="Y73" s="393"/>
      <c r="Z73" s="393"/>
      <c r="AA73" s="393"/>
      <c r="AB73" s="393"/>
      <c r="AC73" s="393"/>
      <c r="AD73" s="393"/>
      <c r="AE73" s="393"/>
      <c r="AF73" s="393"/>
      <c r="AG73" s="393"/>
      <c r="AH73" s="393"/>
      <c r="AI73" s="393"/>
      <c r="AJ73" s="393"/>
      <c r="AK73" s="393"/>
      <c r="AL73" s="393"/>
      <c r="AM73" s="393"/>
      <c r="AN73" s="393"/>
      <c r="AO73" s="393"/>
      <c r="AP73" s="393"/>
      <c r="AQ73" s="393"/>
      <c r="AR73" s="393"/>
      <c r="AS73" s="393"/>
      <c r="AT73" s="393"/>
      <c r="AU73" s="393"/>
      <c r="AV73" s="393"/>
      <c r="AW73" s="393"/>
      <c r="AX73" s="393"/>
      <c r="AY73" s="393"/>
      <c r="AZ73" s="393"/>
      <c r="BA73" s="393"/>
      <c r="BB73" s="393"/>
      <c r="BC73" s="393"/>
      <c r="BD73" s="393"/>
      <c r="BE73" s="393"/>
      <c r="BF73" s="393"/>
      <c r="BG73" s="393"/>
      <c r="BH73" s="393"/>
      <c r="BI73" s="393"/>
      <c r="BJ73" s="393"/>
      <c r="BK73" s="393"/>
      <c r="BL73" s="393"/>
      <c r="BM73" s="393"/>
      <c r="BN73" s="393"/>
      <c r="BO73" s="393"/>
      <c r="BP73" s="393"/>
      <c r="BQ73" s="393"/>
      <c r="BR73" s="394"/>
      <c r="BS73" s="394"/>
      <c r="BT73" s="394"/>
      <c r="BU73" s="394"/>
      <c r="BV73" s="394"/>
      <c r="BW73" s="394"/>
      <c r="BX73" s="394"/>
      <c r="BY73" s="394"/>
      <c r="BZ73" s="394"/>
      <c r="CA73" s="394"/>
      <c r="CB73" s="394"/>
      <c r="CC73" s="394"/>
      <c r="CD73" s="393"/>
      <c r="CE73" s="388"/>
      <c r="CF73" s="387"/>
      <c r="CG73" s="387"/>
      <c r="CH73" s="387"/>
      <c r="CI73" s="387"/>
      <c r="CJ73" s="387"/>
      <c r="CK73" s="387"/>
      <c r="CL73" s="387"/>
      <c r="CM73" s="387"/>
      <c r="CN73" s="387"/>
      <c r="CO73" s="387"/>
      <c r="CP73" s="390"/>
      <c r="CQ73" s="376"/>
      <c r="CR73" s="373"/>
      <c r="CS73" s="373"/>
      <c r="CT73" s="373"/>
      <c r="CU73" s="373"/>
      <c r="CV73" s="373"/>
      <c r="CW73" s="373"/>
      <c r="CX73" s="373"/>
      <c r="CY73" s="373"/>
      <c r="CZ73" s="373"/>
      <c r="DA73" s="373"/>
      <c r="DB73" s="373"/>
      <c r="DC73" s="373"/>
      <c r="DD73" s="376"/>
      <c r="DE73" s="547"/>
      <c r="DF73" s="525"/>
      <c r="DG73" s="525"/>
      <c r="DH73" s="525"/>
      <c r="DI73" s="525"/>
      <c r="DJ73" s="525"/>
      <c r="DK73" s="525"/>
      <c r="DL73" s="525"/>
      <c r="DM73" s="525"/>
      <c r="DN73" s="525"/>
      <c r="DO73" s="525"/>
      <c r="DP73" s="526"/>
      <c r="DQ73" s="543">
        <f>SUM(DE73:DP74)</f>
        <v>0</v>
      </c>
      <c r="DR73" s="579"/>
      <c r="DS73" s="481">
        <f>'Determ días de vacaciones'!S43</f>
        <v>62</v>
      </c>
      <c r="DT73" s="437">
        <f>K73+DS73</f>
        <v>43893</v>
      </c>
      <c r="DU73" s="582"/>
      <c r="DV73" s="548"/>
      <c r="DW73" s="413">
        <f>ROUNDDOWN(($DW$2-H73)/365,0)*30</f>
        <v>30</v>
      </c>
      <c r="DX73" s="378">
        <f>Q73+AD73+AQ73+BD73+BQ73+CD73+CQ73+DD73+DQ73</f>
        <v>0</v>
      </c>
      <c r="DY73" s="513">
        <f>P73-DX73</f>
        <v>30</v>
      </c>
      <c r="DZ73" s="363"/>
      <c r="EA73" s="363"/>
      <c r="EB73" s="363"/>
      <c r="EC73" s="363"/>
      <c r="ED73" s="363"/>
      <c r="EE73" s="363"/>
      <c r="EF73" s="363"/>
      <c r="EG73" s="363"/>
      <c r="EH73" s="363"/>
      <c r="EI73" s="363"/>
      <c r="EJ73" s="363"/>
      <c r="EK73" s="363"/>
      <c r="EL73" s="363"/>
      <c r="EM73" s="363"/>
      <c r="EN73" s="357">
        <f>SUM(DZ73:EM74)</f>
        <v>0</v>
      </c>
    </row>
    <row r="74" spans="1:144" ht="28.5" customHeight="1" x14ac:dyDescent="0.35">
      <c r="A74" s="396"/>
      <c r="B74" s="613"/>
      <c r="C74" s="411"/>
      <c r="D74" s="398"/>
      <c r="E74" s="259" t="s">
        <v>191</v>
      </c>
      <c r="F74" s="267"/>
      <c r="G74" s="409"/>
      <c r="H74" s="633"/>
      <c r="I74" s="623"/>
      <c r="J74" s="635"/>
      <c r="K74" s="492"/>
      <c r="L74" s="429"/>
      <c r="M74" s="370"/>
      <c r="N74" s="650"/>
      <c r="O74" s="673"/>
      <c r="P74" s="660"/>
      <c r="Q74" s="403"/>
      <c r="R74" s="393"/>
      <c r="S74" s="393"/>
      <c r="T74" s="393"/>
      <c r="U74" s="393"/>
      <c r="V74" s="393"/>
      <c r="W74" s="393"/>
      <c r="X74" s="393"/>
      <c r="Y74" s="393"/>
      <c r="Z74" s="393"/>
      <c r="AA74" s="393"/>
      <c r="AB74" s="393"/>
      <c r="AC74" s="393"/>
      <c r="AD74" s="393"/>
      <c r="AE74" s="393"/>
      <c r="AF74" s="393"/>
      <c r="AG74" s="393"/>
      <c r="AH74" s="393"/>
      <c r="AI74" s="393"/>
      <c r="AJ74" s="393"/>
      <c r="AK74" s="393"/>
      <c r="AL74" s="393"/>
      <c r="AM74" s="393"/>
      <c r="AN74" s="393"/>
      <c r="AO74" s="393"/>
      <c r="AP74" s="393"/>
      <c r="AQ74" s="393"/>
      <c r="AR74" s="393"/>
      <c r="AS74" s="393"/>
      <c r="AT74" s="393"/>
      <c r="AU74" s="393"/>
      <c r="AV74" s="393"/>
      <c r="AW74" s="393"/>
      <c r="AX74" s="393"/>
      <c r="AY74" s="393"/>
      <c r="AZ74" s="393"/>
      <c r="BA74" s="393"/>
      <c r="BB74" s="393"/>
      <c r="BC74" s="393"/>
      <c r="BD74" s="393"/>
      <c r="BE74" s="393"/>
      <c r="BF74" s="393"/>
      <c r="BG74" s="393"/>
      <c r="BH74" s="393"/>
      <c r="BI74" s="393"/>
      <c r="BJ74" s="393"/>
      <c r="BK74" s="393"/>
      <c r="BL74" s="393"/>
      <c r="BM74" s="393"/>
      <c r="BN74" s="393"/>
      <c r="BO74" s="393"/>
      <c r="BP74" s="393"/>
      <c r="BQ74" s="393"/>
      <c r="BR74" s="395"/>
      <c r="BS74" s="395"/>
      <c r="BT74" s="395"/>
      <c r="BU74" s="395"/>
      <c r="BV74" s="395"/>
      <c r="BW74" s="395"/>
      <c r="BX74" s="395"/>
      <c r="BY74" s="395"/>
      <c r="BZ74" s="395"/>
      <c r="CA74" s="395"/>
      <c r="CB74" s="395"/>
      <c r="CC74" s="395"/>
      <c r="CD74" s="393"/>
      <c r="CE74" s="389"/>
      <c r="CF74" s="377"/>
      <c r="CG74" s="377"/>
      <c r="CH74" s="377"/>
      <c r="CI74" s="377"/>
      <c r="CJ74" s="377"/>
      <c r="CK74" s="377"/>
      <c r="CL74" s="377"/>
      <c r="CM74" s="377"/>
      <c r="CN74" s="377"/>
      <c r="CO74" s="377"/>
      <c r="CP74" s="391"/>
      <c r="CQ74" s="376"/>
      <c r="CR74" s="373"/>
      <c r="CS74" s="373"/>
      <c r="CT74" s="373"/>
      <c r="CU74" s="373"/>
      <c r="CV74" s="373"/>
      <c r="CW74" s="373"/>
      <c r="CX74" s="373"/>
      <c r="CY74" s="373"/>
      <c r="CZ74" s="373"/>
      <c r="DA74" s="373"/>
      <c r="DB74" s="373"/>
      <c r="DC74" s="373"/>
      <c r="DD74" s="376"/>
      <c r="DE74" s="549"/>
      <c r="DF74" s="529"/>
      <c r="DG74" s="529"/>
      <c r="DH74" s="529"/>
      <c r="DI74" s="529"/>
      <c r="DJ74" s="529"/>
      <c r="DK74" s="529"/>
      <c r="DL74" s="529"/>
      <c r="DM74" s="529"/>
      <c r="DN74" s="529"/>
      <c r="DO74" s="529"/>
      <c r="DP74" s="530"/>
      <c r="DQ74" s="543"/>
      <c r="DR74" s="579"/>
      <c r="DS74" s="482"/>
      <c r="DT74" s="438"/>
      <c r="DU74" s="582"/>
      <c r="DV74" s="555"/>
      <c r="DW74" s="418"/>
      <c r="DX74" s="379"/>
      <c r="DY74" s="514"/>
      <c r="DZ74" s="364"/>
      <c r="EA74" s="364"/>
      <c r="EB74" s="364"/>
      <c r="EC74" s="364"/>
      <c r="ED74" s="364"/>
      <c r="EE74" s="364"/>
      <c r="EF74" s="364"/>
      <c r="EG74" s="364"/>
      <c r="EH74" s="364"/>
      <c r="EI74" s="364"/>
      <c r="EJ74" s="364"/>
      <c r="EK74" s="364"/>
      <c r="EL74" s="364"/>
      <c r="EM74" s="364"/>
      <c r="EN74" s="358"/>
    </row>
    <row r="75" spans="1:144" ht="28.5" customHeight="1" x14ac:dyDescent="0.35">
      <c r="A75" s="396">
        <v>35</v>
      </c>
      <c r="B75" s="608" t="s">
        <v>95</v>
      </c>
      <c r="C75" s="411"/>
      <c r="D75" s="398" t="s">
        <v>337</v>
      </c>
      <c r="E75" s="256" t="s">
        <v>338</v>
      </c>
      <c r="F75" s="257">
        <v>30</v>
      </c>
      <c r="G75" s="400" t="e">
        <f>F75+F76+#REF!</f>
        <v>#REF!</v>
      </c>
      <c r="H75" s="632">
        <v>43148</v>
      </c>
      <c r="I75" s="622">
        <f>D75+2*360</f>
        <v>43821</v>
      </c>
      <c r="J75" s="636">
        <v>60</v>
      </c>
      <c r="K75" s="490">
        <f>I75+360</f>
        <v>44181</v>
      </c>
      <c r="L75" s="437">
        <f>K75+DS75</f>
        <v>44228</v>
      </c>
      <c r="M75" s="369">
        <v>0</v>
      </c>
      <c r="N75" s="437">
        <v>44228</v>
      </c>
      <c r="O75" s="674"/>
      <c r="P75" s="658">
        <f>ROUNDDOWN(($P$2-D75)/365,0)*30</f>
        <v>60</v>
      </c>
      <c r="Q75" s="402"/>
      <c r="R75" s="393"/>
      <c r="S75" s="393"/>
      <c r="T75" s="393"/>
      <c r="U75" s="393"/>
      <c r="V75" s="393"/>
      <c r="W75" s="393"/>
      <c r="X75" s="393"/>
      <c r="Y75" s="393"/>
      <c r="Z75" s="393"/>
      <c r="AA75" s="393"/>
      <c r="AB75" s="393"/>
      <c r="AC75" s="393"/>
      <c r="AD75" s="393">
        <f>SUM(R75:AC76)</f>
        <v>0</v>
      </c>
      <c r="AE75" s="393"/>
      <c r="AF75" s="393"/>
      <c r="AG75" s="393"/>
      <c r="AH75" s="393"/>
      <c r="AI75" s="393"/>
      <c r="AJ75" s="393">
        <v>1</v>
      </c>
      <c r="AK75" s="393"/>
      <c r="AL75" s="393"/>
      <c r="AM75" s="393"/>
      <c r="AN75" s="393">
        <v>1</v>
      </c>
      <c r="AO75" s="393"/>
      <c r="AP75" s="393"/>
      <c r="AQ75" s="393"/>
      <c r="AR75" s="393"/>
      <c r="AS75" s="393"/>
      <c r="AT75" s="393"/>
      <c r="AU75" s="393">
        <v>2</v>
      </c>
      <c r="AV75" s="393"/>
      <c r="AW75" s="393">
        <v>1</v>
      </c>
      <c r="AX75" s="393">
        <v>1</v>
      </c>
      <c r="AY75" s="393"/>
      <c r="AZ75" s="393">
        <v>1</v>
      </c>
      <c r="BA75" s="393">
        <v>1</v>
      </c>
      <c r="BB75" s="393">
        <v>1</v>
      </c>
      <c r="BC75" s="393">
        <v>1</v>
      </c>
      <c r="BD75" s="393"/>
      <c r="BE75" s="393">
        <v>2</v>
      </c>
      <c r="BF75" s="393">
        <v>1</v>
      </c>
      <c r="BG75" s="393"/>
      <c r="BH75" s="393">
        <v>1</v>
      </c>
      <c r="BI75" s="393"/>
      <c r="BJ75" s="393"/>
      <c r="BK75" s="393">
        <v>1</v>
      </c>
      <c r="BL75" s="393"/>
      <c r="BM75" s="393"/>
      <c r="BN75" s="393"/>
      <c r="BO75" s="393">
        <v>1</v>
      </c>
      <c r="BP75" s="393"/>
      <c r="BQ75" s="393"/>
      <c r="BR75" s="394"/>
      <c r="BS75" s="394"/>
      <c r="BT75" s="394"/>
      <c r="BU75" s="394"/>
      <c r="BV75" s="394"/>
      <c r="BW75" s="394"/>
      <c r="BX75" s="394"/>
      <c r="BY75" s="394"/>
      <c r="BZ75" s="394"/>
      <c r="CA75" s="394"/>
      <c r="CB75" s="394"/>
      <c r="CC75" s="394"/>
      <c r="CD75" s="393">
        <f>SUM(BR75:CC76)</f>
        <v>0</v>
      </c>
      <c r="CE75" s="388"/>
      <c r="CF75" s="387"/>
      <c r="CG75" s="387">
        <v>6</v>
      </c>
      <c r="CH75" s="387"/>
      <c r="CI75" s="387">
        <v>1</v>
      </c>
      <c r="CJ75" s="387"/>
      <c r="CK75" s="387">
        <v>2</v>
      </c>
      <c r="CL75" s="387"/>
      <c r="CM75" s="387">
        <v>7</v>
      </c>
      <c r="CN75" s="387"/>
      <c r="CO75" s="387"/>
      <c r="CP75" s="390">
        <v>14</v>
      </c>
      <c r="CQ75" s="376">
        <f>SUM(CE75:CP76)</f>
        <v>30</v>
      </c>
      <c r="CR75" s="373"/>
      <c r="CS75" s="373"/>
      <c r="CT75" s="373"/>
      <c r="CU75" s="373"/>
      <c r="CV75" s="373"/>
      <c r="CW75" s="373">
        <v>17</v>
      </c>
      <c r="CX75" s="373">
        <v>3</v>
      </c>
      <c r="CY75" s="373"/>
      <c r="CZ75" s="373"/>
      <c r="DA75" s="373"/>
      <c r="DB75" s="373"/>
      <c r="DC75" s="373">
        <v>13</v>
      </c>
      <c r="DD75" s="376">
        <f>SUM(CR75:DC76)</f>
        <v>33</v>
      </c>
      <c r="DE75" s="547"/>
      <c r="DF75" s="525"/>
      <c r="DG75" s="525"/>
      <c r="DH75" s="525"/>
      <c r="DI75" s="525"/>
      <c r="DJ75" s="525"/>
      <c r="DK75" s="525"/>
      <c r="DL75" s="525"/>
      <c r="DM75" s="525">
        <v>15</v>
      </c>
      <c r="DN75" s="525">
        <v>1</v>
      </c>
      <c r="DO75" s="525"/>
      <c r="DP75" s="526"/>
      <c r="DQ75" s="543">
        <f>SUM(DE75:DP76)</f>
        <v>16</v>
      </c>
      <c r="DR75" s="579"/>
      <c r="DS75" s="481">
        <f>'Determ días de vacaciones'!S44</f>
        <v>47</v>
      </c>
      <c r="DT75" s="437">
        <f>K75+DS75</f>
        <v>44228</v>
      </c>
      <c r="DU75" s="582"/>
      <c r="DV75" s="548"/>
      <c r="DW75" s="413">
        <f>ROUNDDOWN(($DW$2-H75)/365,0)*30</f>
        <v>60</v>
      </c>
      <c r="DX75" s="378">
        <f>Q75+AD75+AQ75+BD75+BQ75+CD75+CQ75+DD75+DQ75</f>
        <v>79</v>
      </c>
      <c r="DY75" s="513">
        <f>P75-DX75</f>
        <v>-19</v>
      </c>
      <c r="DZ75" s="363"/>
      <c r="EA75" s="363"/>
      <c r="EB75" s="363"/>
      <c r="EC75" s="363"/>
      <c r="ED75" s="363"/>
      <c r="EE75" s="363"/>
      <c r="EF75" s="363"/>
      <c r="EG75" s="363"/>
      <c r="EH75" s="363"/>
      <c r="EI75" s="363"/>
      <c r="EJ75" s="363"/>
      <c r="EK75" s="363"/>
      <c r="EL75" s="363"/>
      <c r="EM75" s="363"/>
      <c r="EN75" s="357">
        <f>SUM(DZ75:EM76)</f>
        <v>0</v>
      </c>
    </row>
    <row r="76" spans="1:144" ht="28.5" customHeight="1" x14ac:dyDescent="0.35">
      <c r="A76" s="396"/>
      <c r="B76" s="613"/>
      <c r="C76" s="411"/>
      <c r="D76" s="398"/>
      <c r="E76" s="271" t="s">
        <v>339</v>
      </c>
      <c r="F76" s="270">
        <v>30</v>
      </c>
      <c r="G76" s="401"/>
      <c r="H76" s="633"/>
      <c r="I76" s="623"/>
      <c r="J76" s="635"/>
      <c r="K76" s="492"/>
      <c r="L76" s="429"/>
      <c r="M76" s="370"/>
      <c r="N76" s="650"/>
      <c r="O76" s="673"/>
      <c r="P76" s="660"/>
      <c r="Q76" s="403"/>
      <c r="R76" s="393"/>
      <c r="S76" s="393"/>
      <c r="T76" s="393"/>
      <c r="U76" s="393"/>
      <c r="V76" s="393"/>
      <c r="W76" s="393"/>
      <c r="X76" s="393"/>
      <c r="Y76" s="393"/>
      <c r="Z76" s="393"/>
      <c r="AA76" s="393"/>
      <c r="AB76" s="393"/>
      <c r="AC76" s="393"/>
      <c r="AD76" s="393"/>
      <c r="AE76" s="393"/>
      <c r="AF76" s="393"/>
      <c r="AG76" s="393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393"/>
      <c r="AV76" s="393"/>
      <c r="AW76" s="393"/>
      <c r="AX76" s="393"/>
      <c r="AY76" s="393"/>
      <c r="AZ76" s="393"/>
      <c r="BA76" s="393"/>
      <c r="BB76" s="393"/>
      <c r="BC76" s="393"/>
      <c r="BD76" s="393"/>
      <c r="BE76" s="393"/>
      <c r="BF76" s="393"/>
      <c r="BG76" s="393"/>
      <c r="BH76" s="393"/>
      <c r="BI76" s="393"/>
      <c r="BJ76" s="393"/>
      <c r="BK76" s="393"/>
      <c r="BL76" s="393"/>
      <c r="BM76" s="393"/>
      <c r="BN76" s="393"/>
      <c r="BO76" s="393"/>
      <c r="BP76" s="393"/>
      <c r="BQ76" s="393"/>
      <c r="BR76" s="395"/>
      <c r="BS76" s="395"/>
      <c r="BT76" s="395"/>
      <c r="BU76" s="395"/>
      <c r="BV76" s="395"/>
      <c r="BW76" s="395"/>
      <c r="BX76" s="395"/>
      <c r="BY76" s="395"/>
      <c r="BZ76" s="395"/>
      <c r="CA76" s="395"/>
      <c r="CB76" s="395"/>
      <c r="CC76" s="395"/>
      <c r="CD76" s="393"/>
      <c r="CE76" s="389"/>
      <c r="CF76" s="377"/>
      <c r="CG76" s="377"/>
      <c r="CH76" s="377"/>
      <c r="CI76" s="377"/>
      <c r="CJ76" s="377"/>
      <c r="CK76" s="377"/>
      <c r="CL76" s="377"/>
      <c r="CM76" s="377"/>
      <c r="CN76" s="377"/>
      <c r="CO76" s="377"/>
      <c r="CP76" s="391"/>
      <c r="CQ76" s="376"/>
      <c r="CR76" s="373"/>
      <c r="CS76" s="373"/>
      <c r="CT76" s="373"/>
      <c r="CU76" s="373"/>
      <c r="CV76" s="373"/>
      <c r="CW76" s="373"/>
      <c r="CX76" s="373"/>
      <c r="CY76" s="373"/>
      <c r="CZ76" s="373"/>
      <c r="DA76" s="373"/>
      <c r="DB76" s="373"/>
      <c r="DC76" s="373"/>
      <c r="DD76" s="376"/>
      <c r="DE76" s="549"/>
      <c r="DF76" s="529"/>
      <c r="DG76" s="529"/>
      <c r="DH76" s="529"/>
      <c r="DI76" s="529"/>
      <c r="DJ76" s="529"/>
      <c r="DK76" s="529"/>
      <c r="DL76" s="529"/>
      <c r="DM76" s="529"/>
      <c r="DN76" s="529"/>
      <c r="DO76" s="529"/>
      <c r="DP76" s="530"/>
      <c r="DQ76" s="543"/>
      <c r="DR76" s="579"/>
      <c r="DS76" s="482"/>
      <c r="DT76" s="438"/>
      <c r="DU76" s="582"/>
      <c r="DV76" s="555"/>
      <c r="DW76" s="418"/>
      <c r="DX76" s="379"/>
      <c r="DY76" s="51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58"/>
    </row>
    <row r="77" spans="1:144" ht="28.5" customHeight="1" x14ac:dyDescent="0.35">
      <c r="A77" s="396">
        <v>36</v>
      </c>
      <c r="B77" s="608" t="s">
        <v>109</v>
      </c>
      <c r="C77" s="411"/>
      <c r="D77" s="398" t="s">
        <v>355</v>
      </c>
      <c r="E77" s="256" t="s">
        <v>340</v>
      </c>
      <c r="F77" s="257">
        <v>30</v>
      </c>
      <c r="G77" s="400" t="e">
        <f>F77+F78+#REF!</f>
        <v>#REF!</v>
      </c>
      <c r="H77" s="632">
        <v>43390</v>
      </c>
      <c r="I77" s="622">
        <f>D77+360</f>
        <v>43673</v>
      </c>
      <c r="J77" s="636">
        <v>30</v>
      </c>
      <c r="K77" s="490">
        <f>I77+360</f>
        <v>44033</v>
      </c>
      <c r="L77" s="437">
        <f>K77+DS77</f>
        <v>44110</v>
      </c>
      <c r="M77" s="369">
        <v>30</v>
      </c>
      <c r="N77" s="649">
        <f>+L77+360</f>
        <v>44470</v>
      </c>
      <c r="O77" s="674"/>
      <c r="P77" s="658">
        <f>ROUNDDOWN(($P$2-D77)/365,0)*30</f>
        <v>60</v>
      </c>
      <c r="Q77" s="402"/>
      <c r="R77" s="393"/>
      <c r="S77" s="393"/>
      <c r="T77" s="393"/>
      <c r="U77" s="393"/>
      <c r="V77" s="393"/>
      <c r="W77" s="393"/>
      <c r="X77" s="393"/>
      <c r="Y77" s="393"/>
      <c r="Z77" s="393"/>
      <c r="AA77" s="393"/>
      <c r="AB77" s="393"/>
      <c r="AC77" s="393"/>
      <c r="AD77" s="393">
        <f>SUM(R77:AC78)</f>
        <v>0</v>
      </c>
      <c r="AE77" s="393"/>
      <c r="AF77" s="393"/>
      <c r="AG77" s="393"/>
      <c r="AH77" s="393"/>
      <c r="AI77" s="393"/>
      <c r="AJ77" s="393">
        <v>1</v>
      </c>
      <c r="AK77" s="393"/>
      <c r="AL77" s="393"/>
      <c r="AM77" s="393"/>
      <c r="AN77" s="393">
        <v>1</v>
      </c>
      <c r="AO77" s="393"/>
      <c r="AP77" s="393"/>
      <c r="AQ77" s="393"/>
      <c r="AR77" s="393"/>
      <c r="AS77" s="393"/>
      <c r="AT77" s="393"/>
      <c r="AU77" s="393">
        <v>2</v>
      </c>
      <c r="AV77" s="393"/>
      <c r="AW77" s="393">
        <v>1</v>
      </c>
      <c r="AX77" s="393">
        <v>1</v>
      </c>
      <c r="AY77" s="393"/>
      <c r="AZ77" s="393">
        <v>1</v>
      </c>
      <c r="BA77" s="393">
        <v>1</v>
      </c>
      <c r="BB77" s="393">
        <v>1</v>
      </c>
      <c r="BC77" s="393">
        <v>1</v>
      </c>
      <c r="BD77" s="393"/>
      <c r="BE77" s="393">
        <v>2</v>
      </c>
      <c r="BF77" s="393">
        <v>1</v>
      </c>
      <c r="BG77" s="393"/>
      <c r="BH77" s="393">
        <v>1</v>
      </c>
      <c r="BI77" s="393"/>
      <c r="BJ77" s="393"/>
      <c r="BK77" s="393">
        <v>1</v>
      </c>
      <c r="BL77" s="393"/>
      <c r="BM77" s="393"/>
      <c r="BN77" s="393"/>
      <c r="BO77" s="393">
        <v>1</v>
      </c>
      <c r="BP77" s="393"/>
      <c r="BQ77" s="393"/>
      <c r="BR77" s="394"/>
      <c r="BS77" s="394"/>
      <c r="BT77" s="394"/>
      <c r="BU77" s="394"/>
      <c r="BV77" s="394"/>
      <c r="BW77" s="394"/>
      <c r="BX77" s="394"/>
      <c r="BY77" s="394"/>
      <c r="BZ77" s="394"/>
      <c r="CA77" s="394"/>
      <c r="CB77" s="394"/>
      <c r="CC77" s="394"/>
      <c r="CD77" s="393">
        <f>SUM(BR77:CC78)</f>
        <v>0</v>
      </c>
      <c r="CE77" s="392"/>
      <c r="CF77" s="387"/>
      <c r="CG77" s="387"/>
      <c r="CH77" s="387"/>
      <c r="CI77" s="387"/>
      <c r="CJ77" s="387"/>
      <c r="CK77" s="387"/>
      <c r="CL77" s="387"/>
      <c r="CM77" s="388">
        <v>1</v>
      </c>
      <c r="CN77" s="387"/>
      <c r="CO77" s="387"/>
      <c r="CP77" s="390"/>
      <c r="CQ77" s="376">
        <f>SUM(CF77:CP78)</f>
        <v>1</v>
      </c>
      <c r="CR77" s="373"/>
      <c r="CS77" s="373">
        <v>14</v>
      </c>
      <c r="CT77" s="373"/>
      <c r="CU77" s="373"/>
      <c r="CV77" s="373"/>
      <c r="CW77" s="373"/>
      <c r="CX77" s="373"/>
      <c r="CY77" s="373"/>
      <c r="CZ77" s="373"/>
      <c r="DA77" s="373"/>
      <c r="DB77" s="373"/>
      <c r="DC77" s="373"/>
      <c r="DD77" s="376">
        <f>SUM(CR77:DC78)</f>
        <v>14</v>
      </c>
      <c r="DE77" s="567"/>
      <c r="DF77" s="568"/>
      <c r="DG77" s="568">
        <v>7</v>
      </c>
      <c r="DH77" s="568"/>
      <c r="DI77" s="568"/>
      <c r="DJ77" s="568"/>
      <c r="DK77" s="568"/>
      <c r="DL77" s="568">
        <v>30</v>
      </c>
      <c r="DM77" s="568">
        <v>2</v>
      </c>
      <c r="DN77" s="568"/>
      <c r="DO77" s="568"/>
      <c r="DP77" s="569"/>
      <c r="DQ77" s="570">
        <f>SUM(DE77:DP78)</f>
        <v>39</v>
      </c>
      <c r="DR77" s="579"/>
      <c r="DS77" s="481">
        <f>'Determ días de vacaciones'!S45</f>
        <v>77</v>
      </c>
      <c r="DU77" s="582"/>
      <c r="DV77" s="572"/>
      <c r="DW77" s="413">
        <f>ROUNDDOWN(($DW$2-H77)/365,0)*30</f>
        <v>60</v>
      </c>
      <c r="DX77" s="378">
        <f>Q77+AD77+AQ77+BD77+BQ77+CD77+CQ77+DD77+DQ77</f>
        <v>54</v>
      </c>
      <c r="DY77" s="513">
        <f>P77-DX77</f>
        <v>6</v>
      </c>
      <c r="DZ77" s="363">
        <v>6</v>
      </c>
      <c r="EA77" s="363"/>
      <c r="EB77" s="363"/>
      <c r="EC77" s="363"/>
      <c r="ED77" s="363"/>
      <c r="EE77" s="363"/>
      <c r="EF77" s="363"/>
      <c r="EG77" s="363"/>
      <c r="EH77" s="363"/>
      <c r="EI77" s="363"/>
      <c r="EJ77" s="363"/>
      <c r="EK77" s="363"/>
      <c r="EL77" s="363"/>
      <c r="EM77" s="363"/>
      <c r="EN77" s="357">
        <f>SUM(DZ77:EM78)</f>
        <v>6</v>
      </c>
    </row>
    <row r="78" spans="1:144" ht="28.5" customHeight="1" x14ac:dyDescent="0.35">
      <c r="A78" s="396"/>
      <c r="B78" s="613"/>
      <c r="C78" s="606"/>
      <c r="D78" s="399"/>
      <c r="E78" s="259" t="s">
        <v>201</v>
      </c>
      <c r="F78" s="269">
        <v>30</v>
      </c>
      <c r="G78" s="401"/>
      <c r="H78" s="633"/>
      <c r="I78" s="623"/>
      <c r="J78" s="635"/>
      <c r="K78" s="491"/>
      <c r="L78" s="429"/>
      <c r="M78" s="370"/>
      <c r="N78" s="650"/>
      <c r="O78" s="673"/>
      <c r="P78" s="660"/>
      <c r="Q78" s="403"/>
      <c r="R78" s="394"/>
      <c r="S78" s="394"/>
      <c r="T78" s="394"/>
      <c r="U78" s="394"/>
      <c r="V78" s="394"/>
      <c r="W78" s="394"/>
      <c r="X78" s="394"/>
      <c r="Y78" s="394"/>
      <c r="Z78" s="394"/>
      <c r="AA78" s="394"/>
      <c r="AB78" s="394"/>
      <c r="AC78" s="394"/>
      <c r="AD78" s="394"/>
      <c r="AE78" s="394"/>
      <c r="AF78" s="394"/>
      <c r="AG78" s="394"/>
      <c r="AH78" s="394"/>
      <c r="AI78" s="394"/>
      <c r="AJ78" s="394"/>
      <c r="AK78" s="394"/>
      <c r="AL78" s="394"/>
      <c r="AM78" s="394"/>
      <c r="AN78" s="394"/>
      <c r="AO78" s="394"/>
      <c r="AP78" s="394"/>
      <c r="AQ78" s="394"/>
      <c r="AR78" s="394"/>
      <c r="AS78" s="394"/>
      <c r="AT78" s="394"/>
      <c r="AU78" s="394"/>
      <c r="AV78" s="394"/>
      <c r="AW78" s="394"/>
      <c r="AX78" s="394"/>
      <c r="AY78" s="394"/>
      <c r="AZ78" s="394"/>
      <c r="BA78" s="394"/>
      <c r="BB78" s="394"/>
      <c r="BC78" s="394"/>
      <c r="BD78" s="394"/>
      <c r="BE78" s="394"/>
      <c r="BF78" s="394"/>
      <c r="BG78" s="394"/>
      <c r="BH78" s="394"/>
      <c r="BI78" s="394"/>
      <c r="BJ78" s="394"/>
      <c r="BK78" s="394"/>
      <c r="BL78" s="394"/>
      <c r="BM78" s="394"/>
      <c r="BN78" s="394"/>
      <c r="BO78" s="394"/>
      <c r="BP78" s="394"/>
      <c r="BQ78" s="394"/>
      <c r="BR78" s="395"/>
      <c r="BS78" s="395"/>
      <c r="BT78" s="395"/>
      <c r="BU78" s="395"/>
      <c r="BV78" s="395"/>
      <c r="BW78" s="395"/>
      <c r="BX78" s="395"/>
      <c r="BY78" s="395"/>
      <c r="BZ78" s="395"/>
      <c r="CA78" s="395"/>
      <c r="CB78" s="395"/>
      <c r="CC78" s="395"/>
      <c r="CD78" s="394"/>
      <c r="CE78" s="392"/>
      <c r="CF78" s="377"/>
      <c r="CG78" s="377"/>
      <c r="CH78" s="377"/>
      <c r="CI78" s="377"/>
      <c r="CJ78" s="377"/>
      <c r="CK78" s="377"/>
      <c r="CL78" s="377"/>
      <c r="CM78" s="389"/>
      <c r="CN78" s="377"/>
      <c r="CO78" s="377"/>
      <c r="CP78" s="391"/>
      <c r="CQ78" s="385"/>
      <c r="CR78" s="384"/>
      <c r="CS78" s="384"/>
      <c r="CT78" s="384"/>
      <c r="CU78" s="384"/>
      <c r="CV78" s="384"/>
      <c r="CW78" s="384"/>
      <c r="CX78" s="384"/>
      <c r="CY78" s="384"/>
      <c r="CZ78" s="384"/>
      <c r="DA78" s="384"/>
      <c r="DB78" s="384"/>
      <c r="DC78" s="384"/>
      <c r="DD78" s="385"/>
      <c r="DE78" s="549"/>
      <c r="DF78" s="529"/>
      <c r="DG78" s="529"/>
      <c r="DH78" s="529"/>
      <c r="DI78" s="529"/>
      <c r="DJ78" s="529"/>
      <c r="DK78" s="529"/>
      <c r="DL78" s="529"/>
      <c r="DM78" s="529"/>
      <c r="DN78" s="529"/>
      <c r="DO78" s="529"/>
      <c r="DP78" s="571"/>
      <c r="DQ78" s="572"/>
      <c r="DR78" s="579"/>
      <c r="DS78" s="482"/>
      <c r="DT78" s="438"/>
      <c r="DU78" s="582"/>
      <c r="DV78" s="579"/>
      <c r="DW78" s="418"/>
      <c r="DX78" s="379"/>
      <c r="DY78" s="514"/>
      <c r="DZ78" s="364"/>
      <c r="EA78" s="364"/>
      <c r="EB78" s="364"/>
      <c r="EC78" s="364"/>
      <c r="ED78" s="364"/>
      <c r="EE78" s="364"/>
      <c r="EF78" s="364"/>
      <c r="EG78" s="364"/>
      <c r="EH78" s="364"/>
      <c r="EI78" s="364"/>
      <c r="EJ78" s="364"/>
      <c r="EK78" s="364"/>
      <c r="EL78" s="364"/>
      <c r="EM78" s="364"/>
      <c r="EN78" s="358"/>
    </row>
    <row r="79" spans="1:144" ht="28.5" customHeight="1" x14ac:dyDescent="0.35">
      <c r="A79" s="396">
        <v>37</v>
      </c>
      <c r="B79" s="608" t="s">
        <v>61</v>
      </c>
      <c r="C79" s="616"/>
      <c r="D79" s="381" t="s">
        <v>341</v>
      </c>
      <c r="E79" s="290" t="s">
        <v>354</v>
      </c>
      <c r="F79" s="291">
        <v>30</v>
      </c>
      <c r="G79" s="382" t="e">
        <f>F79+F80+#REF!+#REF!+#REF!+#REF!</f>
        <v>#REF!</v>
      </c>
      <c r="H79" s="618">
        <v>41915</v>
      </c>
      <c r="I79" s="622">
        <f>D79+5*360</f>
        <v>43713</v>
      </c>
      <c r="J79" s="634">
        <v>150</v>
      </c>
      <c r="K79" s="488">
        <f>I79+360</f>
        <v>44073</v>
      </c>
      <c r="L79" s="629">
        <f>K79+DS79</f>
        <v>44075</v>
      </c>
      <c r="M79" s="640">
        <v>30</v>
      </c>
      <c r="N79" s="649">
        <f>+L79+360</f>
        <v>44435</v>
      </c>
      <c r="O79" s="651"/>
      <c r="P79" s="661">
        <f>ROUNDDOWN(($P$2-D79)/365,0)*30</f>
        <v>180</v>
      </c>
      <c r="Q79" s="383"/>
      <c r="R79" s="373"/>
      <c r="S79" s="373"/>
      <c r="T79" s="373"/>
      <c r="U79" s="373"/>
      <c r="V79" s="373"/>
      <c r="W79" s="373"/>
      <c r="X79" s="373"/>
      <c r="Y79" s="373"/>
      <c r="Z79" s="373"/>
      <c r="AA79" s="373"/>
      <c r="AB79" s="373"/>
      <c r="AC79" s="373"/>
      <c r="AD79" s="373">
        <f>SUM(R79:AC80)</f>
        <v>0</v>
      </c>
      <c r="AE79" s="373"/>
      <c r="AF79" s="373"/>
      <c r="AG79" s="373"/>
      <c r="AH79" s="373"/>
      <c r="AI79" s="373"/>
      <c r="AJ79" s="373"/>
      <c r="AK79" s="373"/>
      <c r="AL79" s="373"/>
      <c r="AM79" s="373"/>
      <c r="AN79" s="373">
        <v>1</v>
      </c>
      <c r="AO79" s="373"/>
      <c r="AP79" s="373">
        <v>4</v>
      </c>
      <c r="AQ79" s="373">
        <f>SUM(AE79:AP80)</f>
        <v>5</v>
      </c>
      <c r="AR79" s="373"/>
      <c r="AS79" s="373"/>
      <c r="AT79" s="373">
        <v>2</v>
      </c>
      <c r="AU79" s="373"/>
      <c r="AV79" s="373">
        <v>2</v>
      </c>
      <c r="AW79" s="373"/>
      <c r="AX79" s="373">
        <v>1</v>
      </c>
      <c r="AY79" s="373"/>
      <c r="AZ79" s="373"/>
      <c r="BA79" s="373"/>
      <c r="BB79" s="373"/>
      <c r="BC79" s="373">
        <v>15</v>
      </c>
      <c r="BD79" s="373">
        <f>SUM(AR79:BC80)</f>
        <v>20</v>
      </c>
      <c r="BE79" s="373"/>
      <c r="BF79" s="373">
        <v>3</v>
      </c>
      <c r="BG79" s="373"/>
      <c r="BH79" s="373">
        <v>2</v>
      </c>
      <c r="BI79" s="373"/>
      <c r="BJ79" s="373"/>
      <c r="BK79" s="373"/>
      <c r="BL79" s="373"/>
      <c r="BM79" s="373"/>
      <c r="BN79" s="373">
        <v>7</v>
      </c>
      <c r="BO79" s="373">
        <v>2</v>
      </c>
      <c r="BP79" s="373">
        <v>11</v>
      </c>
      <c r="BQ79" s="373">
        <f>SUM(BE79:BP80)</f>
        <v>25</v>
      </c>
      <c r="BR79" s="373"/>
      <c r="BS79" s="373"/>
      <c r="BT79" s="373"/>
      <c r="BU79" s="373"/>
      <c r="BV79" s="373">
        <v>1</v>
      </c>
      <c r="BW79" s="373"/>
      <c r="BX79" s="373">
        <v>7</v>
      </c>
      <c r="BY79" s="373"/>
      <c r="BZ79" s="373"/>
      <c r="CA79" s="373">
        <v>2</v>
      </c>
      <c r="CB79" s="373"/>
      <c r="CC79" s="373">
        <v>15</v>
      </c>
      <c r="CD79" s="373">
        <f>SUM(BR79:CC80)</f>
        <v>25</v>
      </c>
      <c r="CE79" s="373"/>
      <c r="CF79" s="373"/>
      <c r="CG79" s="373">
        <v>7</v>
      </c>
      <c r="CH79" s="373"/>
      <c r="CI79" s="373">
        <v>1</v>
      </c>
      <c r="CJ79" s="373"/>
      <c r="CK79" s="373"/>
      <c r="CL79" s="373">
        <v>3</v>
      </c>
      <c r="CM79" s="373"/>
      <c r="CN79" s="373"/>
      <c r="CO79" s="373"/>
      <c r="CP79" s="373">
        <v>2</v>
      </c>
      <c r="CQ79" s="376">
        <f>SUM(CE79:CP80)</f>
        <v>13</v>
      </c>
      <c r="CR79" s="373"/>
      <c r="CS79" s="373"/>
      <c r="CT79" s="373">
        <v>2</v>
      </c>
      <c r="CU79" s="373"/>
      <c r="CV79" s="373"/>
      <c r="CW79" s="373"/>
      <c r="CX79" s="373"/>
      <c r="CY79" s="373"/>
      <c r="CZ79" s="373">
        <v>7</v>
      </c>
      <c r="DA79" s="373"/>
      <c r="DB79" s="373"/>
      <c r="DC79" s="373"/>
      <c r="DD79" s="376">
        <f>SUM(CR79:DC80)</f>
        <v>9</v>
      </c>
      <c r="DE79" s="550"/>
      <c r="DF79" s="550"/>
      <c r="DG79" s="550"/>
      <c r="DH79" s="550"/>
      <c r="DI79" s="550"/>
      <c r="DJ79" s="550"/>
      <c r="DK79" s="550"/>
      <c r="DL79" s="550"/>
      <c r="DM79" s="550"/>
      <c r="DN79" s="550"/>
      <c r="DO79" s="550"/>
      <c r="DP79" s="550"/>
      <c r="DQ79" s="551">
        <f>SUM(DE79:DP80)</f>
        <v>0</v>
      </c>
      <c r="DR79" s="683"/>
      <c r="DS79" s="481">
        <f>'Determ días de vacaciones'!S46</f>
        <v>2</v>
      </c>
      <c r="DU79" s="585"/>
      <c r="DV79" s="579"/>
      <c r="DW79" s="413">
        <f>ROUNDDOWN(($DW$2-H79)/365,0)*30</f>
        <v>180</v>
      </c>
      <c r="DX79" s="374">
        <f>AQ79+BD79+BQ79+CD79+CQ79+DD79</f>
        <v>97</v>
      </c>
      <c r="DY79" s="515">
        <f>P79-DX79</f>
        <v>83</v>
      </c>
      <c r="DZ79" s="363">
        <v>15</v>
      </c>
      <c r="EA79" s="363">
        <v>15</v>
      </c>
      <c r="EB79" s="363">
        <v>15</v>
      </c>
      <c r="EC79" s="363">
        <v>15</v>
      </c>
      <c r="ED79" s="363">
        <v>15</v>
      </c>
      <c r="EE79" s="363">
        <v>8</v>
      </c>
      <c r="EF79" s="363"/>
      <c r="EG79" s="363"/>
      <c r="EH79" s="363"/>
      <c r="EI79" s="363"/>
      <c r="EJ79" s="363"/>
      <c r="EK79" s="363"/>
      <c r="EL79" s="363"/>
      <c r="EM79" s="363"/>
      <c r="EN79" s="357">
        <f>SUM(DZ79:EM80)</f>
        <v>83</v>
      </c>
    </row>
    <row r="80" spans="1:144" ht="28.5" customHeight="1" x14ac:dyDescent="0.35">
      <c r="A80" s="396"/>
      <c r="B80" s="613"/>
      <c r="C80" s="616"/>
      <c r="D80" s="381"/>
      <c r="E80" s="290" t="s">
        <v>342</v>
      </c>
      <c r="F80" s="291">
        <v>30</v>
      </c>
      <c r="G80" s="382"/>
      <c r="H80" s="619"/>
      <c r="I80" s="638"/>
      <c r="J80" s="637"/>
      <c r="K80" s="489"/>
      <c r="L80" s="593"/>
      <c r="M80" s="643"/>
      <c r="N80" s="652"/>
      <c r="O80" s="652"/>
      <c r="P80" s="662"/>
      <c r="Q80" s="383"/>
      <c r="R80" s="373"/>
      <c r="S80" s="373"/>
      <c r="T80" s="373"/>
      <c r="U80" s="373"/>
      <c r="V80" s="373"/>
      <c r="W80" s="373"/>
      <c r="X80" s="373"/>
      <c r="Y80" s="373"/>
      <c r="Z80" s="373"/>
      <c r="AA80" s="373"/>
      <c r="AB80" s="373"/>
      <c r="AC80" s="373"/>
      <c r="AD80" s="373"/>
      <c r="AE80" s="373"/>
      <c r="AF80" s="373"/>
      <c r="AG80" s="373"/>
      <c r="AH80" s="373"/>
      <c r="AI80" s="373"/>
      <c r="AJ80" s="373"/>
      <c r="AK80" s="373"/>
      <c r="AL80" s="373"/>
      <c r="AM80" s="373"/>
      <c r="AN80" s="373"/>
      <c r="AO80" s="373"/>
      <c r="AP80" s="373"/>
      <c r="AQ80" s="373"/>
      <c r="AR80" s="373"/>
      <c r="AS80" s="373"/>
      <c r="AT80" s="373"/>
      <c r="AU80" s="373"/>
      <c r="AV80" s="373"/>
      <c r="AW80" s="373"/>
      <c r="AX80" s="373"/>
      <c r="AY80" s="373"/>
      <c r="AZ80" s="373"/>
      <c r="BA80" s="373"/>
      <c r="BB80" s="373"/>
      <c r="BC80" s="373"/>
      <c r="BD80" s="373"/>
      <c r="BE80" s="373"/>
      <c r="BF80" s="373"/>
      <c r="BG80" s="373"/>
      <c r="BH80" s="373"/>
      <c r="BI80" s="373"/>
      <c r="BJ80" s="373"/>
      <c r="BK80" s="373"/>
      <c r="BL80" s="373"/>
      <c r="BM80" s="373"/>
      <c r="BN80" s="373"/>
      <c r="BO80" s="373"/>
      <c r="BP80" s="373"/>
      <c r="BQ80" s="373"/>
      <c r="BR80" s="373"/>
      <c r="BS80" s="373"/>
      <c r="BT80" s="373"/>
      <c r="BU80" s="373"/>
      <c r="BV80" s="373"/>
      <c r="BW80" s="373"/>
      <c r="BX80" s="373"/>
      <c r="BY80" s="373"/>
      <c r="BZ80" s="373"/>
      <c r="CA80" s="373"/>
      <c r="CB80" s="373"/>
      <c r="CC80" s="373"/>
      <c r="CD80" s="373"/>
      <c r="CE80" s="373"/>
      <c r="CF80" s="373"/>
      <c r="CG80" s="373"/>
      <c r="CH80" s="373"/>
      <c r="CI80" s="373"/>
      <c r="CJ80" s="373"/>
      <c r="CK80" s="373"/>
      <c r="CL80" s="373"/>
      <c r="CM80" s="373"/>
      <c r="CN80" s="373"/>
      <c r="CO80" s="373"/>
      <c r="CP80" s="373"/>
      <c r="CQ80" s="376"/>
      <c r="CR80" s="373"/>
      <c r="CS80" s="373"/>
      <c r="CT80" s="373"/>
      <c r="CU80" s="373"/>
      <c r="CV80" s="373"/>
      <c r="CW80" s="373"/>
      <c r="CX80" s="373"/>
      <c r="CY80" s="373"/>
      <c r="CZ80" s="373"/>
      <c r="DA80" s="373"/>
      <c r="DB80" s="373"/>
      <c r="DC80" s="373"/>
      <c r="DD80" s="376"/>
      <c r="DE80" s="550"/>
      <c r="DF80" s="550"/>
      <c r="DG80" s="550"/>
      <c r="DH80" s="550"/>
      <c r="DI80" s="550"/>
      <c r="DJ80" s="550"/>
      <c r="DK80" s="550"/>
      <c r="DL80" s="550"/>
      <c r="DM80" s="550"/>
      <c r="DN80" s="550"/>
      <c r="DO80" s="550"/>
      <c r="DP80" s="550"/>
      <c r="DQ80" s="551"/>
      <c r="DR80" s="684"/>
      <c r="DS80" s="482"/>
      <c r="DT80" s="438"/>
      <c r="DU80" s="586"/>
      <c r="DV80" s="579"/>
      <c r="DW80" s="418"/>
      <c r="DX80" s="374"/>
      <c r="DY80" s="516"/>
      <c r="DZ80" s="364"/>
      <c r="EA80" s="364"/>
      <c r="EB80" s="364"/>
      <c r="EC80" s="364"/>
      <c r="ED80" s="364"/>
      <c r="EE80" s="364"/>
      <c r="EF80" s="364"/>
      <c r="EG80" s="364"/>
      <c r="EH80" s="364"/>
      <c r="EI80" s="364"/>
      <c r="EJ80" s="364"/>
      <c r="EK80" s="364"/>
      <c r="EL80" s="364"/>
      <c r="EM80" s="364"/>
      <c r="EN80" s="358"/>
    </row>
    <row r="81" spans="30:82" ht="24.75" customHeight="1" x14ac:dyDescent="0.35">
      <c r="CD81" s="348"/>
    </row>
    <row r="82" spans="30:82" ht="24.75" customHeight="1" x14ac:dyDescent="0.35">
      <c r="AD82" s="348"/>
    </row>
    <row r="83" spans="30:82" ht="24.75" customHeight="1" x14ac:dyDescent="0.35"/>
    <row r="84" spans="30:82" ht="24.75" customHeight="1" x14ac:dyDescent="0.35">
      <c r="AD84" s="348"/>
    </row>
    <row r="85" spans="30:82" ht="24.75" customHeight="1" x14ac:dyDescent="0.35">
      <c r="AD85" s="348"/>
    </row>
  </sheetData>
  <mergeCells count="6">
    <mergeCell ref="M2:M4"/>
    <mergeCell ref="D2:D4"/>
    <mergeCell ref="I2:I4"/>
    <mergeCell ref="J2:J4"/>
    <mergeCell ref="K2:K4"/>
    <mergeCell ref="L2:L4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45" orientation="landscape" verticalDpi="4294967295" r:id="rId1"/>
  <rowBreaks count="1" manualBreakCount="1">
    <brk id="42" max="12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AL71"/>
  <sheetViews>
    <sheetView showGridLines="0" showZeros="0" tabSelected="1" view="pageBreakPreview" zoomScale="71" zoomScaleNormal="70" zoomScaleSheetLayoutView="71" workbookViewId="0">
      <pane xSplit="3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J10" sqref="J10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3" width="57.7109375" style="253" customWidth="1"/>
    <col min="4" max="4" width="15.42578125" style="794" customWidth="1"/>
    <col min="5" max="16" width="7.42578125" style="253" customWidth="1" outlineLevel="1"/>
    <col min="17" max="17" width="10.85546875" style="797" customWidth="1"/>
    <col min="18" max="18" width="17" style="797" customWidth="1"/>
    <col min="19" max="19" width="21.42578125" style="793" customWidth="1"/>
    <col min="20" max="20" width="15.42578125" style="794" customWidth="1"/>
    <col min="21" max="21" width="16.5703125" style="794" customWidth="1"/>
    <col min="22" max="24" width="14.85546875" style="253" hidden="1" customWidth="1"/>
    <col min="25" max="25" width="8.85546875" style="253" hidden="1" customWidth="1"/>
    <col min="26" max="28" width="8.85546875" style="253"/>
    <col min="29" max="29" width="14.7109375" style="253" bestFit="1" customWidth="1"/>
    <col min="30" max="37" width="8.85546875" style="253"/>
    <col min="38" max="38" width="11.85546875" style="253" bestFit="1" customWidth="1"/>
    <col min="39" max="16384" width="8.85546875" style="253"/>
  </cols>
  <sheetData>
    <row r="1" spans="1:38" s="254" customFormat="1" ht="66.75" customHeight="1" x14ac:dyDescent="0.3">
      <c r="A1" s="798"/>
      <c r="B1" s="1185" t="s">
        <v>180</v>
      </c>
      <c r="C1" s="1186"/>
      <c r="D1" s="1186"/>
      <c r="E1" s="1186"/>
      <c r="F1" s="1186"/>
      <c r="G1" s="1186"/>
      <c r="H1" s="1186"/>
      <c r="I1" s="1186"/>
      <c r="J1" s="1186"/>
      <c r="K1" s="1186"/>
      <c r="L1" s="1186"/>
      <c r="M1" s="1186"/>
      <c r="N1" s="1186"/>
      <c r="O1" s="1186"/>
      <c r="P1" s="1186"/>
      <c r="Q1" s="1186"/>
      <c r="R1" s="1186"/>
      <c r="S1" s="1186"/>
      <c r="T1" s="1186"/>
      <c r="U1" s="1187"/>
    </row>
    <row r="2" spans="1:38" s="254" customFormat="1" ht="78" customHeight="1" x14ac:dyDescent="0.3">
      <c r="A2" s="851"/>
      <c r="B2" s="957" t="s">
        <v>68</v>
      </c>
      <c r="C2" s="957"/>
      <c r="D2" s="957" t="s">
        <v>568</v>
      </c>
      <c r="E2" s="800" t="s">
        <v>4</v>
      </c>
      <c r="F2" s="801" t="s">
        <v>5</v>
      </c>
      <c r="G2" s="801" t="s">
        <v>6</v>
      </c>
      <c r="H2" s="801" t="s">
        <v>7</v>
      </c>
      <c r="I2" s="801" t="s">
        <v>8</v>
      </c>
      <c r="J2" s="801" t="s">
        <v>9</v>
      </c>
      <c r="K2" s="801" t="s">
        <v>10</v>
      </c>
      <c r="L2" s="801" t="s">
        <v>11</v>
      </c>
      <c r="M2" s="801" t="s">
        <v>368</v>
      </c>
      <c r="N2" s="801" t="s">
        <v>13</v>
      </c>
      <c r="O2" s="801" t="s">
        <v>14</v>
      </c>
      <c r="P2" s="802" t="s">
        <v>15</v>
      </c>
      <c r="Q2" s="803" t="s">
        <v>3</v>
      </c>
      <c r="R2" s="803" t="s">
        <v>574</v>
      </c>
      <c r="S2" s="790" t="s">
        <v>569</v>
      </c>
      <c r="T2" s="790" t="s">
        <v>570</v>
      </c>
      <c r="U2" s="791" t="s">
        <v>571</v>
      </c>
    </row>
    <row r="3" spans="1:38" ht="31.5" customHeight="1" x14ac:dyDescent="0.3">
      <c r="A3" s="297"/>
      <c r="B3" s="881" t="s">
        <v>451</v>
      </c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922"/>
      <c r="T3" s="882"/>
      <c r="U3" s="883"/>
    </row>
    <row r="4" spans="1:38" ht="31.5" customHeight="1" x14ac:dyDescent="0.3">
      <c r="A4" s="297">
        <v>2</v>
      </c>
      <c r="B4" s="843" t="s">
        <v>57</v>
      </c>
      <c r="C4" s="806" t="s">
        <v>432</v>
      </c>
      <c r="D4" s="847">
        <v>120</v>
      </c>
      <c r="E4" s="780"/>
      <c r="F4" s="303">
        <v>1</v>
      </c>
      <c r="G4" s="303">
        <v>1</v>
      </c>
      <c r="H4" s="303"/>
      <c r="I4" s="303"/>
      <c r="J4" s="303"/>
      <c r="K4" s="303"/>
      <c r="L4" s="303"/>
      <c r="M4" s="303"/>
      <c r="N4" s="303"/>
      <c r="O4" s="303"/>
      <c r="P4" s="785"/>
      <c r="Q4" s="847">
        <f>SUM(E4:P4)</f>
        <v>2</v>
      </c>
      <c r="R4" s="847">
        <f>+D4-Q4</f>
        <v>118</v>
      </c>
      <c r="S4" s="848">
        <v>46113</v>
      </c>
      <c r="T4" s="849">
        <v>30</v>
      </c>
      <c r="U4" s="849">
        <f>+R4+T4</f>
        <v>148</v>
      </c>
    </row>
    <row r="5" spans="1:38" ht="31.5" customHeight="1" x14ac:dyDescent="0.3">
      <c r="A5" s="297">
        <v>3</v>
      </c>
      <c r="B5" s="808" t="s">
        <v>108</v>
      </c>
      <c r="C5" s="806" t="s">
        <v>443</v>
      </c>
      <c r="D5" s="847">
        <v>44</v>
      </c>
      <c r="E5" s="781"/>
      <c r="F5" s="311"/>
      <c r="G5" s="311">
        <v>2</v>
      </c>
      <c r="H5" s="311"/>
      <c r="I5" s="311"/>
      <c r="J5" s="311"/>
      <c r="K5" s="311"/>
      <c r="L5" s="311"/>
      <c r="M5" s="311"/>
      <c r="N5" s="311"/>
      <c r="O5" s="311"/>
      <c r="P5" s="786"/>
      <c r="Q5" s="799">
        <f>SUM(E5:P5)</f>
        <v>2</v>
      </c>
      <c r="R5" s="799">
        <f>+D5-Q5</f>
        <v>42</v>
      </c>
      <c r="S5" s="848">
        <v>46296</v>
      </c>
      <c r="T5" s="792"/>
      <c r="U5" s="792">
        <f>+R5+T5</f>
        <v>42</v>
      </c>
      <c r="W5" s="938"/>
    </row>
    <row r="6" spans="1:38" ht="31.5" customHeight="1" x14ac:dyDescent="0.3">
      <c r="A6" s="297">
        <v>1</v>
      </c>
      <c r="B6" s="807" t="s">
        <v>157</v>
      </c>
      <c r="C6" s="852" t="s">
        <v>442</v>
      </c>
      <c r="D6" s="847">
        <f>'vacaciones 2023 '!U6</f>
        <v>0</v>
      </c>
      <c r="E6" s="853"/>
      <c r="F6" s="854"/>
      <c r="G6" s="854"/>
      <c r="H6" s="854"/>
      <c r="I6" s="854"/>
      <c r="J6" s="854"/>
      <c r="K6" s="854"/>
      <c r="L6" s="854"/>
      <c r="M6" s="854"/>
      <c r="N6" s="854"/>
      <c r="O6" s="854"/>
      <c r="P6" s="855"/>
      <c r="Q6" s="799">
        <f>SUM(E6:P6)</f>
        <v>0</v>
      </c>
      <c r="R6" s="799">
        <f>+D6-Q6</f>
        <v>0</v>
      </c>
      <c r="S6" s="848"/>
      <c r="T6" s="792"/>
      <c r="U6" s="792">
        <f>+R6+T6</f>
        <v>0</v>
      </c>
      <c r="W6" s="316"/>
    </row>
    <row r="7" spans="1:38" ht="31.5" customHeight="1" x14ac:dyDescent="0.3">
      <c r="A7" s="297"/>
      <c r="B7" s="881" t="s">
        <v>450</v>
      </c>
      <c r="C7" s="882"/>
      <c r="D7" s="882"/>
      <c r="E7" s="882"/>
      <c r="F7" s="882"/>
      <c r="G7" s="882"/>
      <c r="H7" s="882"/>
      <c r="I7" s="882"/>
      <c r="J7" s="882"/>
      <c r="K7" s="882"/>
      <c r="L7" s="882"/>
      <c r="M7" s="882"/>
      <c r="N7" s="882"/>
      <c r="O7" s="882"/>
      <c r="P7" s="882"/>
      <c r="Q7" s="882"/>
      <c r="R7" s="882"/>
      <c r="S7" s="922"/>
      <c r="T7" s="882"/>
      <c r="U7" s="883"/>
      <c r="W7" s="941"/>
    </row>
    <row r="8" spans="1:38" ht="31.5" customHeight="1" x14ac:dyDescent="0.3">
      <c r="A8" s="297">
        <v>7</v>
      </c>
      <c r="B8" s="878" t="s">
        <v>109</v>
      </c>
      <c r="C8" s="839" t="s">
        <v>436</v>
      </c>
      <c r="D8" s="847">
        <v>143</v>
      </c>
      <c r="E8" s="844"/>
      <c r="F8" s="845"/>
      <c r="G8" s="845"/>
      <c r="H8" s="845"/>
      <c r="I8" s="845"/>
      <c r="J8" s="845"/>
      <c r="K8" s="845"/>
      <c r="L8" s="845"/>
      <c r="M8" s="845"/>
      <c r="N8" s="845"/>
      <c r="O8" s="845"/>
      <c r="P8" s="846"/>
      <c r="Q8" s="799">
        <f>SUM(E8:P8)</f>
        <v>0</v>
      </c>
      <c r="R8" s="799">
        <f>+D8-Q8</f>
        <v>143</v>
      </c>
      <c r="S8" s="809">
        <v>46311</v>
      </c>
      <c r="T8" s="792"/>
      <c r="U8" s="792">
        <f>+R8+T8</f>
        <v>143</v>
      </c>
    </row>
    <row r="9" spans="1:38" ht="31.5" customHeight="1" x14ac:dyDescent="0.3">
      <c r="A9" s="297"/>
      <c r="B9" s="950" t="s">
        <v>336</v>
      </c>
      <c r="C9" s="806" t="s">
        <v>435</v>
      </c>
      <c r="D9" s="847">
        <v>9</v>
      </c>
      <c r="E9" s="1239"/>
      <c r="F9" s="1239"/>
      <c r="G9" s="1239">
        <v>7</v>
      </c>
      <c r="H9" s="1239"/>
      <c r="I9" s="1239"/>
      <c r="J9" s="1239"/>
      <c r="K9" s="1239"/>
      <c r="L9" s="1239"/>
      <c r="M9" s="1239"/>
      <c r="N9" s="1239"/>
      <c r="O9" s="1239"/>
      <c r="P9" s="1239"/>
      <c r="Q9" s="799">
        <f>SUM(E9:P9)</f>
        <v>7</v>
      </c>
      <c r="R9" s="799">
        <f>+D9-Q9</f>
        <v>2</v>
      </c>
      <c r="S9" s="837">
        <v>46235</v>
      </c>
      <c r="T9" s="838"/>
      <c r="U9" s="792">
        <f>+R9+T9</f>
        <v>2</v>
      </c>
    </row>
    <row r="10" spans="1:38" ht="31.5" customHeight="1" x14ac:dyDescent="0.3">
      <c r="A10" s="297"/>
      <c r="B10" s="878" t="s">
        <v>579</v>
      </c>
      <c r="C10" s="839" t="s">
        <v>436</v>
      </c>
      <c r="D10" s="847"/>
      <c r="E10" s="847"/>
      <c r="F10" s="847"/>
      <c r="G10" s="847"/>
      <c r="H10" s="847"/>
      <c r="I10" s="847"/>
      <c r="J10" s="847"/>
      <c r="K10" s="847"/>
      <c r="L10" s="847"/>
      <c r="M10" s="847"/>
      <c r="N10" s="847"/>
      <c r="O10" s="847"/>
      <c r="P10" s="847"/>
      <c r="Q10" s="836"/>
      <c r="R10" s="836"/>
      <c r="S10" s="837">
        <v>46388</v>
      </c>
      <c r="T10" s="838"/>
      <c r="U10" s="838"/>
    </row>
    <row r="11" spans="1:38" ht="31.5" customHeight="1" x14ac:dyDescent="0.3">
      <c r="A11" s="297"/>
      <c r="B11" s="873" t="s">
        <v>151</v>
      </c>
      <c r="C11" s="806" t="s">
        <v>435</v>
      </c>
      <c r="D11" s="847">
        <v>-5</v>
      </c>
      <c r="E11" s="915"/>
      <c r="F11" s="875"/>
      <c r="G11" s="875"/>
      <c r="H11" s="875"/>
      <c r="I11" s="875"/>
      <c r="J11" s="875"/>
      <c r="K11" s="875"/>
      <c r="L11" s="875"/>
      <c r="M11" s="875"/>
      <c r="N11" s="875"/>
      <c r="O11" s="875"/>
      <c r="P11" s="877"/>
      <c r="Q11" s="836">
        <f>SUM(E11:P11)</f>
        <v>0</v>
      </c>
      <c r="R11" s="836">
        <f>+D11-Q11</f>
        <v>-5</v>
      </c>
      <c r="S11" s="837">
        <v>46102</v>
      </c>
      <c r="T11" s="838">
        <v>30</v>
      </c>
      <c r="U11" s="838">
        <f>+R11+T11</f>
        <v>25</v>
      </c>
      <c r="V11" s="316"/>
    </row>
    <row r="12" spans="1:38" ht="31.5" customHeight="1" x14ac:dyDescent="0.3">
      <c r="A12" s="297"/>
      <c r="B12" s="881" t="s">
        <v>449</v>
      </c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882"/>
      <c r="O12" s="882"/>
      <c r="P12" s="882"/>
      <c r="Q12" s="882"/>
      <c r="R12" s="882"/>
      <c r="S12" s="922"/>
      <c r="T12" s="882"/>
      <c r="U12" s="883"/>
      <c r="V12" s="316"/>
    </row>
    <row r="13" spans="1:38" ht="31.5" customHeight="1" x14ac:dyDescent="0.3">
      <c r="A13" s="297">
        <v>11</v>
      </c>
      <c r="B13" s="808" t="s">
        <v>16</v>
      </c>
      <c r="C13" s="839" t="s">
        <v>431</v>
      </c>
      <c r="D13" s="799">
        <v>21</v>
      </c>
      <c r="E13" s="840"/>
      <c r="F13" s="841"/>
      <c r="G13" s="841"/>
      <c r="H13" s="841"/>
      <c r="I13" s="841"/>
      <c r="J13" s="841"/>
      <c r="K13" s="841"/>
      <c r="L13" s="841"/>
      <c r="M13" s="841"/>
      <c r="N13" s="841"/>
      <c r="O13" s="841"/>
      <c r="P13" s="842"/>
      <c r="Q13" s="799">
        <f>SUM(E13:P13)</f>
        <v>0</v>
      </c>
      <c r="R13" s="799">
        <f>+D13-Q13</f>
        <v>21</v>
      </c>
      <c r="S13" s="809">
        <v>46113</v>
      </c>
      <c r="T13" s="792"/>
      <c r="U13" s="792">
        <f>+R13+T13</f>
        <v>21</v>
      </c>
      <c r="V13" s="254"/>
      <c r="W13" s="254" t="e">
        <f>W12-#REF!+1</f>
        <v>#REF!</v>
      </c>
    </row>
    <row r="14" spans="1:38" ht="31.5" customHeight="1" x14ac:dyDescent="0.3">
      <c r="A14" s="942">
        <v>12</v>
      </c>
      <c r="B14" s="951" t="s">
        <v>404</v>
      </c>
      <c r="C14" s="943" t="s">
        <v>435</v>
      </c>
      <c r="D14" s="813">
        <v>148</v>
      </c>
      <c r="E14" s="952"/>
      <c r="F14" s="953"/>
      <c r="G14" s="953"/>
      <c r="H14" s="953"/>
      <c r="I14" s="953"/>
      <c r="J14" s="953"/>
      <c r="K14" s="953"/>
      <c r="L14" s="953"/>
      <c r="M14" s="953"/>
      <c r="N14" s="953"/>
      <c r="O14" s="953"/>
      <c r="P14" s="954"/>
      <c r="Q14" s="813">
        <f>SUM(E14:P14)</f>
        <v>0</v>
      </c>
      <c r="R14" s="813">
        <f>+D14-Q14</f>
        <v>148</v>
      </c>
      <c r="S14" s="923">
        <v>46327</v>
      </c>
      <c r="T14" s="834"/>
      <c r="U14" s="834">
        <f>+R14+T14</f>
        <v>148</v>
      </c>
      <c r="V14" s="947"/>
      <c r="W14" s="948"/>
      <c r="X14" s="947"/>
      <c r="Y14" s="947"/>
      <c r="Z14" s="947"/>
      <c r="AA14" s="947"/>
      <c r="AB14" s="947"/>
      <c r="AC14" s="947"/>
      <c r="AD14" s="947"/>
      <c r="AE14" s="947"/>
      <c r="AF14" s="947"/>
      <c r="AG14" s="947"/>
      <c r="AH14" s="947"/>
      <c r="AI14" s="947"/>
      <c r="AJ14" s="947"/>
      <c r="AK14" s="947"/>
      <c r="AL14" s="947"/>
    </row>
    <row r="15" spans="1:38" ht="31.5" customHeight="1" x14ac:dyDescent="0.3">
      <c r="A15" s="297"/>
      <c r="B15" s="873" t="s">
        <v>552</v>
      </c>
      <c r="C15" s="839" t="s">
        <v>436</v>
      </c>
      <c r="D15" s="799">
        <v>0</v>
      </c>
      <c r="E15" s="925">
        <v>5</v>
      </c>
      <c r="F15" s="910"/>
      <c r="G15" s="910"/>
      <c r="H15" s="910"/>
      <c r="I15" s="910"/>
      <c r="J15" s="910"/>
      <c r="K15" s="910"/>
      <c r="L15" s="910"/>
      <c r="M15" s="910"/>
      <c r="N15" s="910"/>
      <c r="O15" s="910"/>
      <c r="P15" s="911"/>
      <c r="Q15" s="799">
        <f>SUM(E15:P15)</f>
        <v>5</v>
      </c>
      <c r="R15" s="799">
        <f>+D15-Q15</f>
        <v>-5</v>
      </c>
      <c r="S15" s="809">
        <v>46054</v>
      </c>
      <c r="T15" s="792">
        <v>30</v>
      </c>
      <c r="U15" s="792">
        <f>+R15+T15</f>
        <v>25</v>
      </c>
      <c r="W15" s="316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</row>
    <row r="16" spans="1:38" ht="31.5" customHeight="1" x14ac:dyDescent="0.3">
      <c r="A16" s="297">
        <v>13</v>
      </c>
      <c r="B16" s="866" t="s">
        <v>74</v>
      </c>
      <c r="C16" s="867" t="s">
        <v>436</v>
      </c>
      <c r="D16" s="799">
        <v>9</v>
      </c>
      <c r="E16" s="1238"/>
      <c r="F16" s="854"/>
      <c r="G16" s="854"/>
      <c r="H16" s="854"/>
      <c r="I16" s="854"/>
      <c r="J16" s="854"/>
      <c r="K16" s="854"/>
      <c r="L16" s="854"/>
      <c r="M16" s="854"/>
      <c r="N16" s="854"/>
      <c r="O16" s="854"/>
      <c r="P16" s="879"/>
      <c r="Q16" s="799">
        <f>SUM(E16:P16)</f>
        <v>0</v>
      </c>
      <c r="R16" s="799">
        <f>+D16-Q16</f>
        <v>9</v>
      </c>
      <c r="S16" s="809">
        <v>46054</v>
      </c>
      <c r="T16" s="792">
        <v>30</v>
      </c>
      <c r="U16" s="792">
        <f>+R16+T16</f>
        <v>39</v>
      </c>
      <c r="W16" s="316">
        <v>45996</v>
      </c>
    </row>
    <row r="17" spans="1:38" ht="31.5" customHeight="1" x14ac:dyDescent="0.3">
      <c r="A17" s="297"/>
      <c r="B17" s="843" t="s">
        <v>545</v>
      </c>
      <c r="C17" s="864" t="s">
        <v>435</v>
      </c>
      <c r="D17" s="799">
        <v>30</v>
      </c>
      <c r="E17" s="865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785"/>
      <c r="Q17" s="847">
        <f>SUM(E17:P17)</f>
        <v>0</v>
      </c>
      <c r="R17" s="847">
        <f>+D17-Q17</f>
        <v>30</v>
      </c>
      <c r="S17" s="848">
        <v>46267</v>
      </c>
      <c r="T17" s="849"/>
      <c r="U17" s="849">
        <f>+R17+T17</f>
        <v>30</v>
      </c>
      <c r="W17" s="316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</row>
    <row r="18" spans="1:38" ht="31.5" customHeight="1" x14ac:dyDescent="0.3">
      <c r="A18" s="297"/>
      <c r="B18" s="808" t="s">
        <v>496</v>
      </c>
      <c r="C18" s="806" t="s">
        <v>436</v>
      </c>
      <c r="D18" s="799">
        <v>0</v>
      </c>
      <c r="E18" s="853"/>
      <c r="F18" s="854"/>
      <c r="G18" s="854"/>
      <c r="H18" s="854"/>
      <c r="I18" s="854"/>
      <c r="J18" s="854"/>
      <c r="K18" s="854"/>
      <c r="L18" s="854"/>
      <c r="M18" s="854"/>
      <c r="N18" s="854"/>
      <c r="O18" s="854"/>
      <c r="P18" s="855"/>
      <c r="Q18" s="799">
        <f>SUM(E18:P18)</f>
        <v>0</v>
      </c>
      <c r="R18" s="799">
        <f>+D18-Q18</f>
        <v>0</v>
      </c>
      <c r="S18" s="809">
        <v>46489</v>
      </c>
      <c r="T18" s="792"/>
      <c r="U18" s="792">
        <f>+R18+T18</f>
        <v>0</v>
      </c>
      <c r="W18" s="316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</row>
    <row r="19" spans="1:38" s="947" customFormat="1" ht="31.5" customHeight="1" x14ac:dyDescent="0.3">
      <c r="A19" s="297"/>
      <c r="B19" s="808" t="s">
        <v>575</v>
      </c>
      <c r="C19" s="806" t="s">
        <v>435</v>
      </c>
      <c r="D19" s="799">
        <v>0</v>
      </c>
      <c r="E19" s="78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786"/>
      <c r="Q19" s="799">
        <f>SUM(E19:P19)</f>
        <v>0</v>
      </c>
      <c r="R19" s="847">
        <f>+D19-Q19</f>
        <v>0</v>
      </c>
      <c r="S19" s="809">
        <v>46450</v>
      </c>
      <c r="T19" s="792"/>
      <c r="U19" s="849">
        <f>+R19+T19</f>
        <v>0</v>
      </c>
      <c r="V19" s="253"/>
      <c r="W19" s="316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</row>
    <row r="20" spans="1:38" ht="31.5" customHeight="1" x14ac:dyDescent="0.3">
      <c r="A20" s="297">
        <v>14</v>
      </c>
      <c r="B20" s="808" t="s">
        <v>22</v>
      </c>
      <c r="C20" s="806" t="s">
        <v>435</v>
      </c>
      <c r="D20" s="799">
        <v>0</v>
      </c>
      <c r="E20" s="812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786"/>
      <c r="Q20" s="799">
        <f>SUM(E20:P20)</f>
        <v>0</v>
      </c>
      <c r="R20" s="847">
        <f>+D20-Q20</f>
        <v>0</v>
      </c>
      <c r="S20" s="809">
        <v>46023</v>
      </c>
      <c r="T20" s="792">
        <v>30</v>
      </c>
      <c r="U20" s="849">
        <f>+R20+T20</f>
        <v>30</v>
      </c>
      <c r="W20" s="316">
        <v>45983</v>
      </c>
    </row>
    <row r="21" spans="1:38" ht="31.5" customHeight="1" x14ac:dyDescent="0.3">
      <c r="A21" s="297"/>
      <c r="B21" s="808" t="s">
        <v>576</v>
      </c>
      <c r="C21" s="806" t="s">
        <v>435</v>
      </c>
      <c r="D21" s="799">
        <v>0</v>
      </c>
      <c r="E21" s="78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786"/>
      <c r="Q21" s="799">
        <f>SUM(E21:P21)</f>
        <v>0</v>
      </c>
      <c r="R21" s="847">
        <f>+D21-Q21</f>
        <v>0</v>
      </c>
      <c r="S21" s="809">
        <v>46442</v>
      </c>
      <c r="T21" s="792"/>
      <c r="U21" s="849">
        <f>+R21+T21</f>
        <v>0</v>
      </c>
      <c r="W21" s="316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</row>
    <row r="22" spans="1:38" ht="31.5" customHeight="1" x14ac:dyDescent="0.3">
      <c r="A22" s="297">
        <v>16</v>
      </c>
      <c r="B22" s="808" t="s">
        <v>126</v>
      </c>
      <c r="C22" s="806" t="s">
        <v>431</v>
      </c>
      <c r="D22" s="799">
        <v>22</v>
      </c>
      <c r="E22" s="781"/>
      <c r="F22" s="311">
        <v>6</v>
      </c>
      <c r="G22" s="311"/>
      <c r="H22" s="311"/>
      <c r="I22" s="311"/>
      <c r="J22" s="311"/>
      <c r="K22" s="311"/>
      <c r="L22" s="311"/>
      <c r="M22" s="311"/>
      <c r="N22" s="311"/>
      <c r="O22" s="311"/>
      <c r="P22" s="786"/>
      <c r="Q22" s="799">
        <f>SUM(E22:P22)</f>
        <v>6</v>
      </c>
      <c r="R22" s="847">
        <f>+D22-Q22</f>
        <v>16</v>
      </c>
      <c r="S22" s="809">
        <v>46023</v>
      </c>
      <c r="T22" s="792">
        <v>30</v>
      </c>
      <c r="U22" s="849">
        <f>+R22+T22</f>
        <v>46</v>
      </c>
      <c r="W22" s="316"/>
    </row>
    <row r="23" spans="1:38" s="254" customFormat="1" ht="31.5" customHeight="1" x14ac:dyDescent="0.3">
      <c r="A23" s="297"/>
      <c r="B23" s="808" t="s">
        <v>554</v>
      </c>
      <c r="C23" s="806" t="s">
        <v>564</v>
      </c>
      <c r="D23" s="799">
        <v>0</v>
      </c>
      <c r="E23" s="78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786"/>
      <c r="Q23" s="799">
        <f>SUM(E23:P23)</f>
        <v>0</v>
      </c>
      <c r="R23" s="847">
        <f>+D23-Q23</f>
        <v>0</v>
      </c>
      <c r="S23" s="809">
        <v>46331</v>
      </c>
      <c r="T23" s="792"/>
      <c r="U23" s="849">
        <f>+R23+T23</f>
        <v>0</v>
      </c>
      <c r="V23" s="253"/>
      <c r="W23" s="316"/>
    </row>
    <row r="24" spans="1:38" s="254" customFormat="1" ht="31.5" customHeight="1" x14ac:dyDescent="0.3">
      <c r="A24" s="297">
        <v>19</v>
      </c>
      <c r="B24" s="808" t="s">
        <v>51</v>
      </c>
      <c r="C24" s="806" t="s">
        <v>431</v>
      </c>
      <c r="D24" s="799">
        <v>66</v>
      </c>
      <c r="E24" s="781">
        <v>15</v>
      </c>
      <c r="F24" s="311"/>
      <c r="G24" s="311"/>
      <c r="H24" s="311"/>
      <c r="I24" s="311"/>
      <c r="J24" s="810"/>
      <c r="K24" s="311"/>
      <c r="L24" s="311"/>
      <c r="M24" s="311"/>
      <c r="N24" s="311"/>
      <c r="O24" s="311"/>
      <c r="P24" s="786"/>
      <c r="Q24" s="799">
        <f>SUM(E24:P24)</f>
        <v>15</v>
      </c>
      <c r="R24" s="847">
        <f>+D24-Q24</f>
        <v>51</v>
      </c>
      <c r="S24" s="809">
        <v>46235</v>
      </c>
      <c r="T24" s="792"/>
      <c r="U24" s="849">
        <f>+R24+T24</f>
        <v>51</v>
      </c>
      <c r="V24" s="253"/>
      <c r="W24" s="253"/>
      <c r="X24" s="253"/>
      <c r="Y24" s="253"/>
      <c r="Z24" s="253"/>
      <c r="AA24" s="253"/>
      <c r="AB24" s="253"/>
      <c r="AC24" s="316"/>
      <c r="AD24" s="253"/>
      <c r="AE24" s="253"/>
      <c r="AF24" s="253"/>
      <c r="AG24" s="253"/>
      <c r="AH24" s="253"/>
      <c r="AI24" s="253"/>
      <c r="AJ24" s="253"/>
      <c r="AK24" s="253"/>
      <c r="AL24" s="253"/>
    </row>
    <row r="25" spans="1:38" s="254" customFormat="1" ht="31.5" customHeight="1" x14ac:dyDescent="0.3">
      <c r="A25" s="297">
        <v>4</v>
      </c>
      <c r="B25" s="808" t="s">
        <v>150</v>
      </c>
      <c r="C25" s="806" t="s">
        <v>435</v>
      </c>
      <c r="D25" s="799">
        <v>135</v>
      </c>
      <c r="E25" s="78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786"/>
      <c r="Q25" s="799">
        <f>SUM(E25:P25)</f>
        <v>0</v>
      </c>
      <c r="R25" s="847">
        <f>+D25-Q25</f>
        <v>135</v>
      </c>
      <c r="S25" s="809">
        <v>46113</v>
      </c>
      <c r="T25" s="792">
        <v>30</v>
      </c>
      <c r="U25" s="849">
        <f>+R25+T25</f>
        <v>165</v>
      </c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</row>
    <row r="26" spans="1:38" s="254" customFormat="1" ht="31.5" customHeight="1" x14ac:dyDescent="0.3">
      <c r="A26" s="297">
        <v>20</v>
      </c>
      <c r="B26" s="807" t="s">
        <v>52</v>
      </c>
      <c r="C26" s="806" t="s">
        <v>431</v>
      </c>
      <c r="D26" s="799">
        <v>-16</v>
      </c>
      <c r="E26" s="781"/>
      <c r="F26" s="311"/>
      <c r="G26" s="309"/>
      <c r="H26" s="309"/>
      <c r="I26" s="309"/>
      <c r="J26" s="309"/>
      <c r="K26" s="309"/>
      <c r="L26" s="309"/>
      <c r="M26" s="309"/>
      <c r="N26" s="314"/>
      <c r="O26" s="309"/>
      <c r="P26" s="787"/>
      <c r="Q26" s="799">
        <f>SUM(E26:P26)</f>
        <v>0</v>
      </c>
      <c r="R26" s="847">
        <f>+D26-Q26</f>
        <v>-16</v>
      </c>
      <c r="S26" s="809">
        <v>46204</v>
      </c>
      <c r="T26" s="792"/>
      <c r="U26" s="849">
        <f>+R26+T26</f>
        <v>-16</v>
      </c>
      <c r="V26" s="253"/>
      <c r="W26" s="316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</row>
    <row r="27" spans="1:38" s="254" customFormat="1" ht="31.5" customHeight="1" x14ac:dyDescent="0.3">
      <c r="A27" s="297"/>
      <c r="B27" s="808" t="s">
        <v>502</v>
      </c>
      <c r="C27" s="806" t="s">
        <v>436</v>
      </c>
      <c r="D27" s="799">
        <v>0</v>
      </c>
      <c r="E27" s="78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786"/>
      <c r="Q27" s="799">
        <f>SUM(E27:P27)</f>
        <v>0</v>
      </c>
      <c r="R27" s="847">
        <f>+D27-Q27</f>
        <v>0</v>
      </c>
      <c r="S27" s="809">
        <v>46301</v>
      </c>
      <c r="T27" s="792"/>
      <c r="U27" s="849">
        <f>+R27+T27</f>
        <v>0</v>
      </c>
      <c r="V27" s="253"/>
      <c r="W27" s="316"/>
    </row>
    <row r="28" spans="1:38" s="254" customFormat="1" ht="31.5" customHeight="1" x14ac:dyDescent="0.3">
      <c r="A28" s="297"/>
      <c r="B28" s="807" t="s">
        <v>532</v>
      </c>
      <c r="C28" s="806" t="s">
        <v>567</v>
      </c>
      <c r="D28" s="799">
        <v>60</v>
      </c>
      <c r="E28" s="78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786"/>
      <c r="Q28" s="799">
        <f>SUM(E28:P28)</f>
        <v>0</v>
      </c>
      <c r="R28" s="847">
        <f>+D28-Q28</f>
        <v>60</v>
      </c>
      <c r="S28" s="809">
        <v>46060</v>
      </c>
      <c r="T28" s="792"/>
      <c r="U28" s="849">
        <f>+R28+T28</f>
        <v>60</v>
      </c>
      <c r="V28" s="253"/>
      <c r="W28" s="316"/>
      <c r="X28" s="253"/>
      <c r="Y28" s="253"/>
      <c r="Z28" s="253"/>
      <c r="AA28" s="253"/>
      <c r="AB28" s="253"/>
      <c r="AC28" s="316"/>
      <c r="AD28" s="253"/>
      <c r="AE28" s="253"/>
      <c r="AF28" s="253"/>
      <c r="AG28" s="253"/>
      <c r="AH28" s="253"/>
      <c r="AI28" s="253"/>
      <c r="AJ28" s="253"/>
      <c r="AK28" s="253"/>
      <c r="AL28" s="253"/>
    </row>
    <row r="29" spans="1:38" s="254" customFormat="1" ht="31.5" customHeight="1" x14ac:dyDescent="0.3">
      <c r="A29" s="297"/>
      <c r="B29" s="808" t="s">
        <v>544</v>
      </c>
      <c r="C29" s="806" t="s">
        <v>436</v>
      </c>
      <c r="D29" s="799">
        <v>30</v>
      </c>
      <c r="E29" s="781"/>
      <c r="F29" s="311"/>
      <c r="G29" s="311"/>
      <c r="H29" s="311">
        <v>18</v>
      </c>
      <c r="I29" s="311"/>
      <c r="J29" s="311"/>
      <c r="K29" s="311"/>
      <c r="L29" s="311"/>
      <c r="M29" s="311"/>
      <c r="N29" s="311"/>
      <c r="O29" s="311"/>
      <c r="P29" s="786"/>
      <c r="Q29" s="799">
        <f>SUM(E29:P29)</f>
        <v>18</v>
      </c>
      <c r="R29" s="847">
        <f>+D29-Q29</f>
        <v>12</v>
      </c>
      <c r="S29" s="809">
        <v>46235</v>
      </c>
      <c r="T29" s="792"/>
      <c r="U29" s="849">
        <f>+R29+T29</f>
        <v>12</v>
      </c>
      <c r="V29" s="253"/>
      <c r="W29" s="316"/>
    </row>
    <row r="30" spans="1:38" s="254" customFormat="1" ht="31.5" customHeight="1" x14ac:dyDescent="0.3">
      <c r="A30" s="297"/>
      <c r="B30" s="808" t="s">
        <v>577</v>
      </c>
      <c r="C30" s="806" t="s">
        <v>435</v>
      </c>
      <c r="D30" s="799">
        <v>0</v>
      </c>
      <c r="E30" s="78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786"/>
      <c r="Q30" s="799">
        <f>SUM(E30:P30)</f>
        <v>0</v>
      </c>
      <c r="R30" s="847">
        <f>+D30-Q30</f>
        <v>0</v>
      </c>
      <c r="S30" s="809">
        <v>46447</v>
      </c>
      <c r="T30" s="792"/>
      <c r="U30" s="849">
        <f>+R30+T30</f>
        <v>0</v>
      </c>
      <c r="V30" s="253"/>
      <c r="W30" s="316"/>
    </row>
    <row r="31" spans="1:38" s="254" customFormat="1" ht="31.5" customHeight="1" x14ac:dyDescent="0.3">
      <c r="A31" s="297"/>
      <c r="B31" s="808" t="s">
        <v>540</v>
      </c>
      <c r="C31" s="806" t="s">
        <v>436</v>
      </c>
      <c r="D31" s="799">
        <v>30</v>
      </c>
      <c r="E31" s="781"/>
      <c r="F31" s="311"/>
      <c r="G31" s="311"/>
      <c r="H31" s="311">
        <v>18</v>
      </c>
      <c r="I31" s="311">
        <v>12</v>
      </c>
      <c r="J31" s="311"/>
      <c r="K31" s="311"/>
      <c r="L31" s="311"/>
      <c r="M31" s="311"/>
      <c r="N31" s="311"/>
      <c r="O31" s="311"/>
      <c r="P31" s="786"/>
      <c r="Q31" s="799">
        <f>SUM(E31:P31)</f>
        <v>30</v>
      </c>
      <c r="R31" s="847">
        <f>+D31-Q31</f>
        <v>0</v>
      </c>
      <c r="S31" s="809">
        <v>46163</v>
      </c>
      <c r="T31" s="792"/>
      <c r="U31" s="849">
        <f>+R31+T31</f>
        <v>0</v>
      </c>
      <c r="V31" s="253"/>
      <c r="W31" s="316"/>
      <c r="X31" s="254">
        <v>259</v>
      </c>
      <c r="Y31" s="254" t="e">
        <f>X31*Y29/X29</f>
        <v>#DIV/0!</v>
      </c>
    </row>
    <row r="32" spans="1:38" s="254" customFormat="1" ht="31.5" customHeight="1" x14ac:dyDescent="0.3">
      <c r="A32" s="297"/>
      <c r="B32" s="808" t="s">
        <v>572</v>
      </c>
      <c r="C32" s="806" t="s">
        <v>573</v>
      </c>
      <c r="D32" s="799">
        <v>0</v>
      </c>
      <c r="E32" s="781"/>
      <c r="F32" s="311">
        <v>1</v>
      </c>
      <c r="G32" s="311">
        <v>3</v>
      </c>
      <c r="H32" s="311"/>
      <c r="I32" s="311"/>
      <c r="J32" s="311"/>
      <c r="K32" s="311"/>
      <c r="L32" s="311"/>
      <c r="M32" s="311"/>
      <c r="N32" s="311"/>
      <c r="O32" s="311"/>
      <c r="P32" s="786"/>
      <c r="Q32" s="799">
        <f>SUM(E32:P32)</f>
        <v>4</v>
      </c>
      <c r="R32" s="847">
        <f>+D32-Q32</f>
        <v>-4</v>
      </c>
      <c r="S32" s="809">
        <v>46419</v>
      </c>
      <c r="T32" s="792"/>
      <c r="U32" s="849">
        <f>+R32+T32</f>
        <v>-4</v>
      </c>
      <c r="V32" s="253"/>
      <c r="W32" s="316"/>
    </row>
    <row r="33" spans="1:38" s="254" customFormat="1" ht="31.5" customHeight="1" x14ac:dyDescent="0.3">
      <c r="A33" s="297">
        <v>24</v>
      </c>
      <c r="B33" s="808" t="s">
        <v>152</v>
      </c>
      <c r="C33" s="806" t="s">
        <v>435</v>
      </c>
      <c r="D33" s="799">
        <v>84</v>
      </c>
      <c r="E33" s="781"/>
      <c r="F33" s="311">
        <v>8</v>
      </c>
      <c r="G33" s="311"/>
      <c r="H33" s="311"/>
      <c r="I33" s="311"/>
      <c r="J33" s="311"/>
      <c r="K33" s="311"/>
      <c r="L33" s="311"/>
      <c r="M33" s="311"/>
      <c r="N33" s="311"/>
      <c r="O33" s="311"/>
      <c r="P33" s="786"/>
      <c r="Q33" s="799">
        <f>SUM(E33:P33)</f>
        <v>8</v>
      </c>
      <c r="R33" s="847">
        <f>+D33-Q33</f>
        <v>76</v>
      </c>
      <c r="S33" s="809">
        <v>46327</v>
      </c>
      <c r="T33" s="792"/>
      <c r="U33" s="849">
        <f>+R33+T33</f>
        <v>76</v>
      </c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</row>
    <row r="34" spans="1:38" s="254" customFormat="1" ht="31.5" customHeight="1" x14ac:dyDescent="0.3">
      <c r="A34" s="297"/>
      <c r="B34" s="808" t="s">
        <v>557</v>
      </c>
      <c r="C34" s="806" t="s">
        <v>436</v>
      </c>
      <c r="D34" s="799">
        <v>0</v>
      </c>
      <c r="E34" s="78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786"/>
      <c r="Q34" s="799">
        <f>SUM(E34:P34)</f>
        <v>0</v>
      </c>
      <c r="R34" s="847">
        <f>+D34-Q34</f>
        <v>0</v>
      </c>
      <c r="S34" s="809">
        <v>46097</v>
      </c>
      <c r="T34" s="792">
        <v>30</v>
      </c>
      <c r="U34" s="849">
        <f>+R34+T34</f>
        <v>30</v>
      </c>
      <c r="V34" s="253"/>
      <c r="W34" s="316"/>
    </row>
    <row r="35" spans="1:38" s="254" customFormat="1" ht="31.5" customHeight="1" x14ac:dyDescent="0.3">
      <c r="A35" s="297">
        <v>5</v>
      </c>
      <c r="B35" s="808" t="s">
        <v>54</v>
      </c>
      <c r="C35" s="806" t="s">
        <v>435</v>
      </c>
      <c r="D35" s="799">
        <v>236</v>
      </c>
      <c r="E35" s="784"/>
      <c r="F35" s="311"/>
      <c r="G35" s="315"/>
      <c r="H35" s="315"/>
      <c r="I35" s="315"/>
      <c r="J35" s="315"/>
      <c r="K35" s="315"/>
      <c r="L35" s="315"/>
      <c r="M35" s="315"/>
      <c r="N35" s="315"/>
      <c r="O35" s="315"/>
      <c r="P35" s="788"/>
      <c r="Q35" s="799">
        <f>SUM(E35:O35)</f>
        <v>0</v>
      </c>
      <c r="R35" s="847">
        <f>+D35-Q35</f>
        <v>236</v>
      </c>
      <c r="S35" s="809">
        <v>46204</v>
      </c>
      <c r="T35" s="792"/>
      <c r="U35" s="849">
        <f>+R35+T35</f>
        <v>236</v>
      </c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 t="e">
        <f>C35*40%</f>
        <v>#VALUE!</v>
      </c>
    </row>
    <row r="36" spans="1:38" s="254" customFormat="1" ht="31.5" customHeight="1" x14ac:dyDescent="0.3">
      <c r="A36" s="297"/>
      <c r="B36" s="808" t="s">
        <v>578</v>
      </c>
      <c r="C36" s="806" t="s">
        <v>435</v>
      </c>
      <c r="D36" s="799">
        <v>0</v>
      </c>
      <c r="E36" s="78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786"/>
      <c r="Q36" s="799">
        <f>SUM(E36:P36)</f>
        <v>0</v>
      </c>
      <c r="R36" s="847">
        <f>+D36-Q36</f>
        <v>0</v>
      </c>
      <c r="S36" s="809">
        <v>46420</v>
      </c>
      <c r="T36" s="792"/>
      <c r="U36" s="849">
        <f>+R36+T36</f>
        <v>0</v>
      </c>
      <c r="V36" s="253"/>
      <c r="W36" s="316"/>
    </row>
    <row r="37" spans="1:38" s="254" customFormat="1" ht="31.5" customHeight="1" x14ac:dyDescent="0.3">
      <c r="A37" s="297"/>
      <c r="B37" s="808" t="s">
        <v>566</v>
      </c>
      <c r="C37" s="806" t="s">
        <v>435</v>
      </c>
      <c r="D37" s="799">
        <v>0</v>
      </c>
      <c r="E37" s="78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786"/>
      <c r="Q37" s="799">
        <f>SUM(E37:P37)</f>
        <v>0</v>
      </c>
      <c r="R37" s="847">
        <f>+D37-Q37</f>
        <v>0</v>
      </c>
      <c r="S37" s="809">
        <v>46357</v>
      </c>
      <c r="T37" s="792"/>
      <c r="U37" s="849">
        <f>+R37+T37</f>
        <v>0</v>
      </c>
      <c r="V37" s="253"/>
      <c r="W37" s="316"/>
    </row>
    <row r="38" spans="1:38" s="254" customFormat="1" ht="31.5" customHeight="1" x14ac:dyDescent="0.3">
      <c r="A38" s="297" t="s">
        <v>539</v>
      </c>
      <c r="B38" s="808" t="s">
        <v>541</v>
      </c>
      <c r="C38" s="806" t="s">
        <v>435</v>
      </c>
      <c r="D38" s="799">
        <v>30</v>
      </c>
      <c r="E38" s="781"/>
      <c r="F38" s="311">
        <v>7</v>
      </c>
      <c r="G38" s="311"/>
      <c r="H38" s="311"/>
      <c r="I38" s="311"/>
      <c r="J38" s="311"/>
      <c r="K38" s="311"/>
      <c r="L38" s="311"/>
      <c r="M38" s="311"/>
      <c r="N38" s="311"/>
      <c r="O38" s="311"/>
      <c r="P38" s="786"/>
      <c r="Q38" s="799">
        <f>SUM(E38:P38)</f>
        <v>7</v>
      </c>
      <c r="R38" s="847">
        <f>+D38-Q38</f>
        <v>23</v>
      </c>
      <c r="S38" s="809">
        <v>46211</v>
      </c>
      <c r="T38" s="792"/>
      <c r="U38" s="849">
        <f>+R38+T38</f>
        <v>23</v>
      </c>
      <c r="V38" s="253"/>
      <c r="W38" s="316"/>
    </row>
    <row r="39" spans="1:38" s="254" customFormat="1" ht="31.5" customHeight="1" x14ac:dyDescent="0.3">
      <c r="A39" s="297"/>
      <c r="B39" s="808" t="s">
        <v>559</v>
      </c>
      <c r="C39" s="806" t="s">
        <v>435</v>
      </c>
      <c r="D39" s="799">
        <v>0</v>
      </c>
      <c r="E39" s="78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786"/>
      <c r="Q39" s="799">
        <f>SUM(E39:P39)</f>
        <v>0</v>
      </c>
      <c r="R39" s="847">
        <f>+D39-Q39</f>
        <v>0</v>
      </c>
      <c r="S39" s="809">
        <v>46255</v>
      </c>
      <c r="T39" s="792"/>
      <c r="U39" s="849">
        <f>+R39+T39</f>
        <v>0</v>
      </c>
      <c r="V39" s="253"/>
      <c r="W39" s="316"/>
    </row>
    <row r="40" spans="1:38" s="254" customFormat="1" ht="31.5" customHeight="1" x14ac:dyDescent="0.3">
      <c r="A40" s="297"/>
      <c r="B40" s="808" t="s">
        <v>580</v>
      </c>
      <c r="C40" s="806" t="s">
        <v>435</v>
      </c>
      <c r="D40" s="799">
        <v>0</v>
      </c>
      <c r="E40" s="78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786"/>
      <c r="Q40" s="799">
        <f>SUM(E40:P40)</f>
        <v>0</v>
      </c>
      <c r="R40" s="847">
        <f>+D40-Q40</f>
        <v>0</v>
      </c>
      <c r="S40" s="809">
        <v>46095</v>
      </c>
      <c r="T40" s="792"/>
      <c r="U40" s="849">
        <f>+R40+T40</f>
        <v>0</v>
      </c>
      <c r="V40" s="253"/>
      <c r="W40" s="316"/>
    </row>
    <row r="41" spans="1:38" s="254" customFormat="1" ht="31.5" customHeight="1" x14ac:dyDescent="0.3">
      <c r="A41" s="297"/>
      <c r="B41" s="881" t="s">
        <v>445</v>
      </c>
      <c r="C41" s="882"/>
      <c r="D41" s="882"/>
      <c r="E41" s="882"/>
      <c r="F41" s="882"/>
      <c r="G41" s="882"/>
      <c r="H41" s="882"/>
      <c r="I41" s="882"/>
      <c r="J41" s="882"/>
      <c r="K41" s="882"/>
      <c r="L41" s="882"/>
      <c r="M41" s="882"/>
      <c r="N41" s="882"/>
      <c r="O41" s="882"/>
      <c r="P41" s="882"/>
      <c r="Q41" s="882"/>
      <c r="R41" s="882"/>
      <c r="S41" s="882"/>
      <c r="T41" s="882"/>
      <c r="U41" s="883"/>
    </row>
    <row r="42" spans="1:38" s="254" customFormat="1" ht="31.5" customHeight="1" x14ac:dyDescent="0.3">
      <c r="A42" s="297">
        <v>27</v>
      </c>
      <c r="B42" s="912" t="s">
        <v>18</v>
      </c>
      <c r="C42" s="850" t="s">
        <v>433</v>
      </c>
      <c r="D42" s="799">
        <v>54</v>
      </c>
      <c r="E42" s="844">
        <v>6</v>
      </c>
      <c r="F42" s="845"/>
      <c r="G42" s="845"/>
      <c r="H42" s="845"/>
      <c r="I42" s="845"/>
      <c r="J42" s="845"/>
      <c r="K42" s="845"/>
      <c r="L42" s="845"/>
      <c r="M42" s="845"/>
      <c r="N42" s="845"/>
      <c r="O42" s="845"/>
      <c r="P42" s="846"/>
      <c r="Q42" s="836">
        <f>SUM(E42:P42)</f>
        <v>6</v>
      </c>
      <c r="R42" s="847">
        <f>+D42-Q42</f>
        <v>48</v>
      </c>
      <c r="S42" s="837">
        <v>46023</v>
      </c>
      <c r="T42" s="838">
        <v>30</v>
      </c>
      <c r="U42" s="838">
        <f>+R42+T42</f>
        <v>78</v>
      </c>
    </row>
    <row r="43" spans="1:38" s="254" customFormat="1" ht="32.25" customHeight="1" x14ac:dyDescent="0.3">
      <c r="A43" s="297">
        <v>29</v>
      </c>
      <c r="B43" s="955" t="s">
        <v>402</v>
      </c>
      <c r="C43" s="852" t="s">
        <v>428</v>
      </c>
      <c r="D43" s="799">
        <v>40</v>
      </c>
      <c r="E43" s="844"/>
      <c r="F43" s="845">
        <v>1</v>
      </c>
      <c r="G43" s="845"/>
      <c r="H43" s="845">
        <v>14</v>
      </c>
      <c r="I43" s="845"/>
      <c r="J43" s="845"/>
      <c r="K43" s="845"/>
      <c r="L43" s="845"/>
      <c r="M43" s="845"/>
      <c r="N43" s="845"/>
      <c r="O43" s="845"/>
      <c r="P43" s="846"/>
      <c r="Q43" s="836">
        <f>SUM(E43:P43)</f>
        <v>15</v>
      </c>
      <c r="R43" s="847">
        <f>+D43-Q43</f>
        <v>25</v>
      </c>
      <c r="S43" s="837">
        <v>46327</v>
      </c>
      <c r="T43" s="838"/>
      <c r="U43" s="838">
        <f>+R43+T43</f>
        <v>25</v>
      </c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</row>
    <row r="44" spans="1:38" ht="31.5" customHeight="1" x14ac:dyDescent="0.3">
      <c r="A44" s="297"/>
      <c r="B44" s="956" t="s">
        <v>494</v>
      </c>
      <c r="C44" s="852" t="s">
        <v>428</v>
      </c>
      <c r="D44" s="799">
        <v>38</v>
      </c>
      <c r="E44" s="853">
        <v>7</v>
      </c>
      <c r="F44" s="854"/>
      <c r="G44" s="854"/>
      <c r="H44" s="854"/>
      <c r="I44" s="854"/>
      <c r="J44" s="854"/>
      <c r="K44" s="854"/>
      <c r="L44" s="854"/>
      <c r="M44" s="854"/>
      <c r="N44" s="854"/>
      <c r="O44" s="854"/>
      <c r="P44" s="855"/>
      <c r="Q44" s="799">
        <f>SUM(E44:P44)</f>
        <v>7</v>
      </c>
      <c r="R44" s="799">
        <f>+D44-Q44</f>
        <v>31</v>
      </c>
      <c r="S44" s="809">
        <v>46174</v>
      </c>
      <c r="T44" s="792"/>
      <c r="U44" s="792">
        <f>+R44+T44</f>
        <v>31</v>
      </c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</row>
    <row r="45" spans="1:38" ht="31.5" customHeight="1" x14ac:dyDescent="0.3">
      <c r="A45" s="297"/>
      <c r="B45" s="881" t="s">
        <v>446</v>
      </c>
      <c r="C45" s="882"/>
      <c r="D45" s="882"/>
      <c r="E45" s="882"/>
      <c r="F45" s="882"/>
      <c r="G45" s="882"/>
      <c r="H45" s="882"/>
      <c r="I45" s="882"/>
      <c r="J45" s="882"/>
      <c r="K45" s="882"/>
      <c r="L45" s="882"/>
      <c r="M45" s="882"/>
      <c r="N45" s="882"/>
      <c r="O45" s="882"/>
      <c r="P45" s="882"/>
      <c r="Q45" s="882"/>
      <c r="R45" s="882"/>
      <c r="S45" s="922"/>
      <c r="T45" s="882" t="s">
        <v>542</v>
      </c>
      <c r="U45" s="883"/>
    </row>
    <row r="46" spans="1:38" ht="31.5" customHeight="1" x14ac:dyDescent="0.3">
      <c r="A46" s="297">
        <v>30</v>
      </c>
      <c r="B46" s="807" t="s">
        <v>58</v>
      </c>
      <c r="C46" s="856" t="s">
        <v>444</v>
      </c>
      <c r="D46" s="799">
        <v>269</v>
      </c>
      <c r="E46" s="857"/>
      <c r="F46" s="841"/>
      <c r="G46" s="841"/>
      <c r="H46" s="841"/>
      <c r="I46" s="841"/>
      <c r="J46" s="841"/>
      <c r="K46" s="841"/>
      <c r="L46" s="841"/>
      <c r="M46" s="841"/>
      <c r="N46" s="841"/>
      <c r="O46" s="841"/>
      <c r="P46" s="858"/>
      <c r="Q46" s="799">
        <f>SUM(E46:P46)</f>
        <v>0</v>
      </c>
      <c r="R46" s="799">
        <f>+D46-Q46</f>
        <v>269</v>
      </c>
      <c r="S46" s="809">
        <v>46113</v>
      </c>
      <c r="T46" s="792">
        <v>30</v>
      </c>
      <c r="U46" s="792">
        <f>+R46+T46</f>
        <v>299</v>
      </c>
    </row>
    <row r="47" spans="1:38" ht="31.5" customHeight="1" x14ac:dyDescent="0.3">
      <c r="A47" s="297">
        <v>31</v>
      </c>
      <c r="B47" s="807" t="s">
        <v>87</v>
      </c>
      <c r="C47" s="807" t="s">
        <v>429</v>
      </c>
      <c r="D47" s="799">
        <v>57</v>
      </c>
      <c r="E47" s="909">
        <v>1</v>
      </c>
      <c r="F47" s="910"/>
      <c r="G47" s="910">
        <f>1+2</f>
        <v>3</v>
      </c>
      <c r="H47" s="910"/>
      <c r="I47" s="910"/>
      <c r="J47" s="910"/>
      <c r="K47" s="910"/>
      <c r="L47" s="910"/>
      <c r="M47" s="910"/>
      <c r="N47" s="910"/>
      <c r="O47" s="910"/>
      <c r="P47" s="911"/>
      <c r="Q47" s="799">
        <f>SUM(E47:P47)</f>
        <v>4</v>
      </c>
      <c r="R47" s="799">
        <f>+D47-Q47</f>
        <v>53</v>
      </c>
      <c r="S47" s="809">
        <v>46082</v>
      </c>
      <c r="T47" s="792">
        <v>30</v>
      </c>
      <c r="U47" s="792">
        <f>+R47+T47</f>
        <v>83</v>
      </c>
    </row>
    <row r="48" spans="1:38" ht="31.5" customHeight="1" x14ac:dyDescent="0.3">
      <c r="A48" s="297">
        <v>17</v>
      </c>
      <c r="B48" s="908" t="s">
        <v>156</v>
      </c>
      <c r="C48" s="852" t="s">
        <v>429</v>
      </c>
      <c r="D48" s="799">
        <f>'vacaciones 2023 '!U42</f>
        <v>0</v>
      </c>
      <c r="E48" s="853"/>
      <c r="F48" s="854"/>
      <c r="G48" s="854"/>
      <c r="H48" s="854"/>
      <c r="I48" s="854"/>
      <c r="J48" s="854"/>
      <c r="K48" s="854"/>
      <c r="L48" s="854"/>
      <c r="M48" s="854"/>
      <c r="N48" s="854"/>
      <c r="O48" s="854"/>
      <c r="P48" s="879"/>
      <c r="Q48" s="799">
        <f>SUM(E48:P48)</f>
        <v>0</v>
      </c>
      <c r="R48" s="799">
        <f>+D48-Q48</f>
        <v>0</v>
      </c>
      <c r="S48" s="809"/>
      <c r="T48" s="792"/>
      <c r="U48" s="792">
        <f>+R48+T48</f>
        <v>0</v>
      </c>
      <c r="X48" s="316">
        <v>45964</v>
      </c>
    </row>
    <row r="49" spans="1:29" ht="31.5" customHeight="1" x14ac:dyDescent="0.3">
      <c r="A49" s="297"/>
      <c r="B49" s="881" t="s">
        <v>447</v>
      </c>
      <c r="C49" s="882"/>
      <c r="D49" s="882"/>
      <c r="E49" s="882"/>
      <c r="F49" s="882"/>
      <c r="G49" s="882"/>
      <c r="H49" s="882"/>
      <c r="I49" s="882"/>
      <c r="J49" s="882"/>
      <c r="K49" s="882"/>
      <c r="L49" s="882"/>
      <c r="M49" s="882"/>
      <c r="N49" s="882"/>
      <c r="O49" s="882"/>
      <c r="P49" s="882"/>
      <c r="Q49" s="882"/>
      <c r="R49" s="882"/>
      <c r="S49" s="922"/>
      <c r="T49" s="882"/>
      <c r="U49" s="883"/>
      <c r="X49" s="316">
        <v>45991</v>
      </c>
    </row>
    <row r="50" spans="1:29" ht="31.5" customHeight="1" x14ac:dyDescent="0.3">
      <c r="A50" s="297">
        <v>34</v>
      </c>
      <c r="B50" s="808" t="s">
        <v>50</v>
      </c>
      <c r="C50" s="856" t="s">
        <v>434</v>
      </c>
      <c r="D50" s="799">
        <v>198</v>
      </c>
      <c r="E50" s="917"/>
      <c r="F50" s="918"/>
      <c r="G50" s="918"/>
      <c r="H50" s="918"/>
      <c r="I50" s="918"/>
      <c r="J50" s="918"/>
      <c r="K50" s="918"/>
      <c r="L50" s="918"/>
      <c r="M50" s="918"/>
      <c r="N50" s="918"/>
      <c r="O50" s="918"/>
      <c r="P50" s="920"/>
      <c r="Q50" s="799">
        <f>SUM(E50:P50)</f>
        <v>0</v>
      </c>
      <c r="R50" s="799">
        <f>+D50-Q50</f>
        <v>198</v>
      </c>
      <c r="S50" s="809">
        <v>46143</v>
      </c>
      <c r="T50" s="792"/>
      <c r="U50" s="792">
        <f>+R50+T50</f>
        <v>198</v>
      </c>
      <c r="V50" s="316"/>
      <c r="X50" s="253">
        <f>X49-X48+1</f>
        <v>28</v>
      </c>
    </row>
    <row r="51" spans="1:29" ht="31.5" customHeight="1" x14ac:dyDescent="0.3">
      <c r="A51" s="297">
        <v>33</v>
      </c>
      <c r="B51" s="808" t="s">
        <v>20</v>
      </c>
      <c r="C51" s="806" t="s">
        <v>434</v>
      </c>
      <c r="D51" s="799">
        <v>178</v>
      </c>
      <c r="E51" s="781"/>
      <c r="F51" s="311"/>
      <c r="G51" s="311"/>
      <c r="H51" s="311"/>
      <c r="I51" s="311"/>
      <c r="J51" s="311"/>
      <c r="K51" s="311"/>
      <c r="L51" s="311"/>
      <c r="M51" s="311"/>
      <c r="N51" s="311"/>
      <c r="O51" s="311"/>
      <c r="P51" s="786"/>
      <c r="Q51" s="799">
        <f>SUM(E51:P51)</f>
        <v>0</v>
      </c>
      <c r="R51" s="799">
        <f>+D51-Q51</f>
        <v>178</v>
      </c>
      <c r="S51" s="809">
        <v>46204</v>
      </c>
      <c r="T51" s="792"/>
      <c r="U51" s="792">
        <f>+R51+T51</f>
        <v>178</v>
      </c>
      <c r="V51" s="316"/>
      <c r="W51" s="253">
        <v>2023</v>
      </c>
      <c r="X51" s="253">
        <v>2024</v>
      </c>
      <c r="Y51" s="253">
        <v>2022</v>
      </c>
    </row>
    <row r="52" spans="1:29" ht="31.5" customHeight="1" x14ac:dyDescent="0.3">
      <c r="A52" s="297">
        <v>36</v>
      </c>
      <c r="B52" s="807" t="s">
        <v>53</v>
      </c>
      <c r="C52" s="806" t="s">
        <v>143</v>
      </c>
      <c r="D52" s="799">
        <v>77</v>
      </c>
      <c r="E52" s="781"/>
      <c r="F52" s="311"/>
      <c r="G52" s="311"/>
      <c r="H52" s="311"/>
      <c r="I52" s="311"/>
      <c r="J52" s="311"/>
      <c r="K52" s="311"/>
      <c r="L52" s="311"/>
      <c r="M52" s="311"/>
      <c r="N52" s="311"/>
      <c r="O52" s="311"/>
      <c r="P52" s="786"/>
      <c r="Q52" s="799">
        <f>SUM(E52:P52)</f>
        <v>0</v>
      </c>
      <c r="R52" s="799">
        <f>+D52-Q52</f>
        <v>77</v>
      </c>
      <c r="S52" s="809">
        <v>46023</v>
      </c>
      <c r="T52" s="792">
        <v>30</v>
      </c>
      <c r="U52" s="792">
        <f>+R52+T52</f>
        <v>107</v>
      </c>
      <c r="W52" s="316"/>
    </row>
    <row r="53" spans="1:29" ht="31.5" customHeight="1" x14ac:dyDescent="0.3">
      <c r="A53" s="297"/>
      <c r="B53" s="807" t="s">
        <v>533</v>
      </c>
      <c r="C53" s="852" t="s">
        <v>143</v>
      </c>
      <c r="D53" s="799">
        <v>60</v>
      </c>
      <c r="E53" s="915"/>
      <c r="F53" s="875"/>
      <c r="G53" s="875"/>
      <c r="H53" s="875">
        <v>1</v>
      </c>
      <c r="I53" s="875"/>
      <c r="J53" s="875"/>
      <c r="K53" s="875"/>
      <c r="L53" s="875"/>
      <c r="M53" s="875"/>
      <c r="N53" s="875"/>
      <c r="O53" s="875"/>
      <c r="P53" s="877"/>
      <c r="Q53" s="799">
        <f>SUM(E53:P53)</f>
        <v>1</v>
      </c>
      <c r="R53" s="799">
        <f>+D53-Q53</f>
        <v>59</v>
      </c>
      <c r="S53" s="809">
        <v>46327</v>
      </c>
      <c r="T53" s="792"/>
      <c r="U53" s="792">
        <f>+R53+T53</f>
        <v>59</v>
      </c>
      <c r="W53" s="316"/>
    </row>
    <row r="54" spans="1:29" ht="31.5" customHeight="1" x14ac:dyDescent="0.3">
      <c r="A54" s="297">
        <v>35</v>
      </c>
      <c r="B54" s="808" t="s">
        <v>49</v>
      </c>
      <c r="C54" s="852" t="s">
        <v>143</v>
      </c>
      <c r="D54" s="799">
        <v>30</v>
      </c>
      <c r="E54" s="915"/>
      <c r="F54" s="875">
        <f>1+1</f>
        <v>2</v>
      </c>
      <c r="G54" s="875"/>
      <c r="H54" s="875">
        <v>14</v>
      </c>
      <c r="I54" s="876"/>
      <c r="J54" s="875"/>
      <c r="K54" s="875"/>
      <c r="L54" s="875"/>
      <c r="M54" s="875"/>
      <c r="N54" s="875"/>
      <c r="O54" s="875"/>
      <c r="P54" s="877"/>
      <c r="Q54" s="799">
        <f>SUM(E54:P54)</f>
        <v>16</v>
      </c>
      <c r="R54" s="799">
        <f>+D54-Q54</f>
        <v>14</v>
      </c>
      <c r="S54" s="809">
        <v>46266</v>
      </c>
      <c r="T54" s="792"/>
      <c r="U54" s="792">
        <f>+R54+T54</f>
        <v>14</v>
      </c>
      <c r="W54" s="253">
        <v>30</v>
      </c>
      <c r="X54" s="253">
        <v>30</v>
      </c>
      <c r="Y54" s="253">
        <v>15</v>
      </c>
    </row>
    <row r="55" spans="1:29" ht="31.5" customHeight="1" x14ac:dyDescent="0.3">
      <c r="A55" s="297"/>
      <c r="B55" s="881" t="s">
        <v>448</v>
      </c>
      <c r="C55" s="882"/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922"/>
      <c r="T55" s="882"/>
      <c r="U55" s="883"/>
    </row>
    <row r="56" spans="1:29" ht="31.5" customHeight="1" x14ac:dyDescent="0.3">
      <c r="A56" s="297">
        <v>37</v>
      </c>
      <c r="B56" s="808" t="s">
        <v>56</v>
      </c>
      <c r="C56" s="860" t="s">
        <v>438</v>
      </c>
      <c r="D56" s="799">
        <v>75</v>
      </c>
      <c r="E56" s="861">
        <v>1</v>
      </c>
      <c r="F56" s="862"/>
      <c r="G56" s="899">
        <v>1</v>
      </c>
      <c r="H56" s="862"/>
      <c r="I56" s="862"/>
      <c r="J56" s="862"/>
      <c r="K56" s="862"/>
      <c r="L56" s="862"/>
      <c r="M56" s="862"/>
      <c r="N56" s="862"/>
      <c r="O56" s="862"/>
      <c r="P56" s="863"/>
      <c r="Q56" s="799">
        <f t="shared" ref="Q56:Q57" si="0">SUM(E56:P56)</f>
        <v>2</v>
      </c>
      <c r="R56" s="799">
        <f>+D56-Q56</f>
        <v>73</v>
      </c>
      <c r="S56" s="809">
        <v>46074</v>
      </c>
      <c r="T56" s="792">
        <v>30</v>
      </c>
      <c r="U56" s="792">
        <f>+R56+T56</f>
        <v>103</v>
      </c>
    </row>
    <row r="57" spans="1:29" ht="31.5" customHeight="1" x14ac:dyDescent="0.3">
      <c r="A57" s="297">
        <v>37</v>
      </c>
      <c r="B57" s="808" t="s">
        <v>495</v>
      </c>
      <c r="C57" s="860" t="s">
        <v>438</v>
      </c>
      <c r="D57" s="799">
        <v>76</v>
      </c>
      <c r="E57" s="861">
        <v>1</v>
      </c>
      <c r="F57" s="862"/>
      <c r="G57" s="899"/>
      <c r="H57" s="862"/>
      <c r="I57" s="862"/>
      <c r="J57" s="862"/>
      <c r="K57" s="862"/>
      <c r="L57" s="862"/>
      <c r="M57" s="862"/>
      <c r="N57" s="862"/>
      <c r="O57" s="862"/>
      <c r="P57" s="863"/>
      <c r="Q57" s="799">
        <f t="shared" si="0"/>
        <v>1</v>
      </c>
      <c r="R57" s="799">
        <f>+D57-Q57</f>
        <v>75</v>
      </c>
      <c r="S57" s="809">
        <v>46179</v>
      </c>
      <c r="T57" s="792"/>
      <c r="U57" s="792">
        <f>+R57+T57</f>
        <v>75</v>
      </c>
    </row>
    <row r="58" spans="1:29" ht="31.5" customHeight="1" x14ac:dyDescent="0.3">
      <c r="A58" s="297"/>
      <c r="B58" s="881" t="s">
        <v>452</v>
      </c>
      <c r="C58" s="882"/>
      <c r="D58" s="882"/>
      <c r="E58" s="882"/>
      <c r="F58" s="882"/>
      <c r="G58" s="882"/>
      <c r="H58" s="882"/>
      <c r="I58" s="882"/>
      <c r="J58" s="882"/>
      <c r="K58" s="882"/>
      <c r="L58" s="882"/>
      <c r="M58" s="882"/>
      <c r="N58" s="882"/>
      <c r="O58" s="882"/>
      <c r="P58" s="882"/>
      <c r="Q58" s="882"/>
      <c r="R58" s="882"/>
      <c r="S58" s="922"/>
      <c r="T58" s="882"/>
      <c r="U58" s="883"/>
      <c r="V58" s="316"/>
      <c r="W58" s="253">
        <v>18</v>
      </c>
      <c r="X58" s="253">
        <v>2021</v>
      </c>
    </row>
    <row r="59" spans="1:29" ht="31.5" customHeight="1" x14ac:dyDescent="0.3">
      <c r="A59" s="297">
        <v>40</v>
      </c>
      <c r="B59" s="808" t="s">
        <v>61</v>
      </c>
      <c r="C59" s="806" t="s">
        <v>563</v>
      </c>
      <c r="D59" s="799">
        <v>87</v>
      </c>
      <c r="E59" s="781">
        <v>8</v>
      </c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786"/>
      <c r="Q59" s="799">
        <f t="shared" ref="Q59:Q62" si="1">SUM(E59:P59)</f>
        <v>8</v>
      </c>
      <c r="R59" s="799">
        <f t="shared" ref="R59:R62" si="2">+D59-Q59</f>
        <v>79</v>
      </c>
      <c r="S59" s="809">
        <v>46296</v>
      </c>
      <c r="T59" s="792"/>
      <c r="U59" s="792">
        <f t="shared" ref="U59:U62" si="3">+R59+T59</f>
        <v>79</v>
      </c>
      <c r="V59" s="316"/>
      <c r="W59" s="253">
        <v>60</v>
      </c>
      <c r="X59" s="253" t="s">
        <v>551</v>
      </c>
      <c r="AC59" s="316">
        <v>46118</v>
      </c>
    </row>
    <row r="60" spans="1:29" ht="31.5" customHeight="1" x14ac:dyDescent="0.3">
      <c r="A60" s="297">
        <v>38</v>
      </c>
      <c r="B60" s="808" t="s">
        <v>59</v>
      </c>
      <c r="C60" s="806" t="s">
        <v>440</v>
      </c>
      <c r="D60" s="799">
        <v>38</v>
      </c>
      <c r="E60" s="781">
        <v>11</v>
      </c>
      <c r="F60" s="311">
        <v>6</v>
      </c>
      <c r="G60" s="311">
        <v>1</v>
      </c>
      <c r="H60" s="311"/>
      <c r="I60" s="311"/>
      <c r="J60" s="311"/>
      <c r="K60" s="930"/>
      <c r="L60" s="311"/>
      <c r="M60" s="311"/>
      <c r="N60" s="311"/>
      <c r="O60" s="311"/>
      <c r="P60" s="786"/>
      <c r="Q60" s="799">
        <f t="shared" si="1"/>
        <v>18</v>
      </c>
      <c r="R60" s="799">
        <f t="shared" si="2"/>
        <v>20</v>
      </c>
      <c r="S60" s="809">
        <v>46031</v>
      </c>
      <c r="T60" s="792">
        <v>30</v>
      </c>
      <c r="U60" s="792">
        <f t="shared" si="3"/>
        <v>50</v>
      </c>
      <c r="V60" s="316"/>
      <c r="W60" s="253">
        <v>5</v>
      </c>
      <c r="X60" s="253">
        <v>2022</v>
      </c>
      <c r="AC60" s="316">
        <v>46131</v>
      </c>
    </row>
    <row r="61" spans="1:29" ht="31.5" customHeight="1" x14ac:dyDescent="0.3">
      <c r="A61" s="297"/>
      <c r="B61" s="808" t="s">
        <v>531</v>
      </c>
      <c r="C61" s="806" t="s">
        <v>437</v>
      </c>
      <c r="D61" s="799">
        <v>16</v>
      </c>
      <c r="E61" s="781">
        <v>7</v>
      </c>
      <c r="F61" s="311"/>
      <c r="G61" s="311">
        <v>7</v>
      </c>
      <c r="H61" s="311"/>
      <c r="I61" s="311"/>
      <c r="J61" s="311"/>
      <c r="K61" s="311"/>
      <c r="L61" s="311"/>
      <c r="M61" s="311"/>
      <c r="N61" s="311"/>
      <c r="O61" s="311"/>
      <c r="P61" s="786"/>
      <c r="Q61" s="799">
        <f t="shared" si="1"/>
        <v>14</v>
      </c>
      <c r="R61" s="799">
        <f t="shared" si="2"/>
        <v>2</v>
      </c>
      <c r="S61" s="809">
        <v>46266</v>
      </c>
      <c r="T61" s="792"/>
      <c r="U61" s="792">
        <f t="shared" si="3"/>
        <v>2</v>
      </c>
      <c r="V61" s="316"/>
      <c r="W61" s="253">
        <v>30</v>
      </c>
      <c r="X61" s="253">
        <v>2023</v>
      </c>
      <c r="AC61" s="253">
        <f>AC60-AC59+1</f>
        <v>14</v>
      </c>
    </row>
    <row r="62" spans="1:29" ht="31.5" customHeight="1" x14ac:dyDescent="0.3">
      <c r="A62" s="297"/>
      <c r="B62" s="808" t="s">
        <v>555</v>
      </c>
      <c r="C62" s="806" t="s">
        <v>562</v>
      </c>
      <c r="D62" s="799">
        <v>0</v>
      </c>
      <c r="E62" s="781"/>
      <c r="F62" s="781"/>
      <c r="G62" s="781"/>
      <c r="H62" s="781"/>
      <c r="I62" s="781"/>
      <c r="J62" s="781"/>
      <c r="K62" s="781"/>
      <c r="L62" s="781"/>
      <c r="M62" s="781"/>
      <c r="N62" s="781"/>
      <c r="O62" s="781"/>
      <c r="P62" s="786"/>
      <c r="Q62" s="799">
        <f t="shared" si="1"/>
        <v>0</v>
      </c>
      <c r="R62" s="799">
        <f t="shared" si="2"/>
        <v>0</v>
      </c>
      <c r="S62" s="809">
        <v>46098</v>
      </c>
      <c r="T62" s="792">
        <v>30</v>
      </c>
      <c r="U62" s="792">
        <f t="shared" si="3"/>
        <v>30</v>
      </c>
      <c r="V62" s="316"/>
    </row>
    <row r="63" spans="1:29" ht="31.5" customHeight="1" x14ac:dyDescent="0.3">
      <c r="A63" s="297"/>
      <c r="B63" s="881" t="s">
        <v>453</v>
      </c>
      <c r="C63" s="882"/>
      <c r="D63" s="882"/>
      <c r="E63" s="882"/>
      <c r="F63" s="882"/>
      <c r="G63" s="882"/>
      <c r="H63" s="882"/>
      <c r="I63" s="882"/>
      <c r="J63" s="882"/>
      <c r="K63" s="882"/>
      <c r="L63" s="882"/>
      <c r="M63" s="882"/>
      <c r="N63" s="882"/>
      <c r="O63" s="882"/>
      <c r="P63" s="882"/>
      <c r="Q63" s="882"/>
      <c r="R63" s="882"/>
      <c r="S63" s="922"/>
      <c r="T63" s="882"/>
      <c r="U63" s="883"/>
    </row>
    <row r="64" spans="1:29" ht="31.5" customHeight="1" x14ac:dyDescent="0.3">
      <c r="A64" s="297">
        <v>41</v>
      </c>
      <c r="B64" s="808" t="s">
        <v>97</v>
      </c>
      <c r="C64" s="806" t="s">
        <v>439</v>
      </c>
      <c r="D64" s="799">
        <v>64</v>
      </c>
      <c r="E64" s="880"/>
      <c r="F64" s="862"/>
      <c r="G64" s="862"/>
      <c r="H64" s="862"/>
      <c r="I64" s="862"/>
      <c r="J64" s="862"/>
      <c r="K64" s="862"/>
      <c r="L64" s="862"/>
      <c r="M64" s="862"/>
      <c r="N64" s="862"/>
      <c r="O64" s="862"/>
      <c r="P64" s="863"/>
      <c r="Q64" s="799">
        <f>SUM(E64:P64)</f>
        <v>0</v>
      </c>
      <c r="R64" s="799">
        <f>+D64-Q64</f>
        <v>64</v>
      </c>
      <c r="S64" s="809">
        <v>46143</v>
      </c>
      <c r="T64" s="792"/>
      <c r="U64" s="792">
        <f>+R64+T64</f>
        <v>64</v>
      </c>
    </row>
    <row r="65" spans="1:38" x14ac:dyDescent="0.3">
      <c r="A65" s="297"/>
      <c r="D65" s="793"/>
      <c r="Q65" s="796"/>
      <c r="R65" s="796"/>
      <c r="T65" s="793"/>
      <c r="U65" s="793"/>
    </row>
    <row r="66" spans="1:38" s="794" customFormat="1" x14ac:dyDescent="0.3">
      <c r="A66" s="297"/>
      <c r="B66" s="253"/>
      <c r="C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797"/>
      <c r="R66" s="797"/>
      <c r="S66" s="79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</row>
    <row r="67" spans="1:38" s="794" customFormat="1" x14ac:dyDescent="0.3">
      <c r="A67" s="297"/>
      <c r="B67" s="253"/>
      <c r="C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797"/>
      <c r="R67" s="797"/>
      <c r="S67" s="79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</row>
    <row r="68" spans="1:38" s="794" customFormat="1" x14ac:dyDescent="0.3">
      <c r="A68" s="297"/>
      <c r="B68" s="253"/>
      <c r="C68" s="253"/>
      <c r="E68" s="253"/>
      <c r="F68" s="253"/>
      <c r="G68" s="253"/>
      <c r="H68" s="253"/>
      <c r="I68" s="253"/>
      <c r="J68" s="253"/>
      <c r="K68" s="253"/>
      <c r="L68" s="253"/>
      <c r="M68" s="316"/>
      <c r="N68" s="253"/>
      <c r="O68" s="253"/>
      <c r="P68" s="253"/>
      <c r="Q68" s="797"/>
      <c r="R68" s="797"/>
      <c r="S68" s="793"/>
    </row>
    <row r="69" spans="1:38" s="794" customFormat="1" x14ac:dyDescent="0.3">
      <c r="A69" s="252"/>
      <c r="B69" s="253"/>
      <c r="C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797"/>
      <c r="R69" s="797"/>
      <c r="S69" s="815"/>
    </row>
    <row r="71" spans="1:38" s="794" customFormat="1" x14ac:dyDescent="0.3">
      <c r="A71" s="252"/>
      <c r="B71" s="253"/>
      <c r="C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797"/>
      <c r="R71" s="797"/>
      <c r="S71" s="815"/>
    </row>
  </sheetData>
  <sheetProtection selectLockedCells="1" selectUnlockedCells="1"/>
  <sortState ref="A13:AL40">
    <sortCondition ref="B13:B40"/>
  </sortState>
  <mergeCells count="1">
    <mergeCell ref="B1:U1"/>
  </mergeCells>
  <printOptions horizontalCentered="1"/>
  <pageMargins left="0.19685039370078741" right="0.19685039370078741" top="0.59055118110236227" bottom="0.39370078740157483" header="0.31496062992125984" footer="0"/>
  <pageSetup paperSize="9" scale="26" firstPageNumber="0" orientation="portrait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AL70"/>
  <sheetViews>
    <sheetView showGridLines="0" showZeros="0" view="pageBreakPreview" zoomScale="71" zoomScaleNormal="70" zoomScaleSheetLayoutView="71" workbookViewId="0">
      <pane xSplit="3" ySplit="2" topLeftCell="K14" activePane="bottomRight" state="frozen"/>
      <selection activeCell="B1" sqref="B1"/>
      <selection pane="topRight" activeCell="D1" sqref="D1"/>
      <selection pane="bottomLeft" activeCell="B3" sqref="B3"/>
      <selection pane="bottomRight" activeCell="O16" sqref="O16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3" width="57.7109375" style="253" customWidth="1"/>
    <col min="4" max="4" width="15.42578125" style="794" customWidth="1"/>
    <col min="5" max="16" width="7.42578125" style="253" customWidth="1" outlineLevel="1"/>
    <col min="17" max="17" width="10.85546875" style="797" customWidth="1"/>
    <col min="18" max="18" width="17" style="797" customWidth="1"/>
    <col min="19" max="19" width="21.42578125" style="793" customWidth="1"/>
    <col min="20" max="20" width="15.42578125" style="794" customWidth="1"/>
    <col min="21" max="21" width="16.5703125" style="794" customWidth="1"/>
    <col min="22" max="24" width="14.85546875" style="253" hidden="1" customWidth="1"/>
    <col min="25" max="25" width="8.85546875" style="253" hidden="1" customWidth="1"/>
    <col min="26" max="26" width="8.85546875" style="253"/>
    <col min="27" max="27" width="15" style="253" bestFit="1" customWidth="1"/>
    <col min="28" max="29" width="8.85546875" style="253"/>
    <col min="30" max="30" width="14.7109375" style="253" bestFit="1" customWidth="1"/>
    <col min="31" max="37" width="8.85546875" style="253"/>
    <col min="38" max="38" width="11.85546875" style="253" bestFit="1" customWidth="1"/>
    <col min="39" max="16384" width="8.85546875" style="253"/>
  </cols>
  <sheetData>
    <row r="1" spans="1:38" s="254" customFormat="1" ht="66.75" customHeight="1" x14ac:dyDescent="0.3">
      <c r="A1" s="798"/>
      <c r="B1" s="1185" t="s">
        <v>180</v>
      </c>
      <c r="C1" s="1186"/>
      <c r="D1" s="1186"/>
      <c r="E1" s="1186"/>
      <c r="F1" s="1186"/>
      <c r="G1" s="1186"/>
      <c r="H1" s="1186"/>
      <c r="I1" s="1186"/>
      <c r="J1" s="1186"/>
      <c r="K1" s="1186"/>
      <c r="L1" s="1186"/>
      <c r="M1" s="1186"/>
      <c r="N1" s="1186"/>
      <c r="O1" s="1186"/>
      <c r="P1" s="1186"/>
      <c r="Q1" s="1186"/>
      <c r="R1" s="1186"/>
      <c r="S1" s="1186"/>
      <c r="T1" s="1186"/>
      <c r="U1" s="1187"/>
    </row>
    <row r="2" spans="1:38" s="254" customFormat="1" ht="78" customHeight="1" x14ac:dyDescent="0.3">
      <c r="A2" s="851"/>
      <c r="B2" s="949" t="s">
        <v>68</v>
      </c>
      <c r="C2" s="949"/>
      <c r="D2" s="949" t="s">
        <v>546</v>
      </c>
      <c r="E2" s="800" t="s">
        <v>4</v>
      </c>
      <c r="F2" s="801" t="s">
        <v>5</v>
      </c>
      <c r="G2" s="801" t="s">
        <v>6</v>
      </c>
      <c r="H2" s="801" t="s">
        <v>7</v>
      </c>
      <c r="I2" s="801" t="s">
        <v>8</v>
      </c>
      <c r="J2" s="801" t="s">
        <v>9</v>
      </c>
      <c r="K2" s="801" t="s">
        <v>10</v>
      </c>
      <c r="L2" s="801" t="s">
        <v>11</v>
      </c>
      <c r="M2" s="801" t="s">
        <v>368</v>
      </c>
      <c r="N2" s="801" t="s">
        <v>13</v>
      </c>
      <c r="O2" s="801" t="s">
        <v>14</v>
      </c>
      <c r="P2" s="802" t="s">
        <v>15</v>
      </c>
      <c r="Q2" s="803" t="s">
        <v>3</v>
      </c>
      <c r="R2" s="803" t="s">
        <v>547</v>
      </c>
      <c r="S2" s="790" t="s">
        <v>548</v>
      </c>
      <c r="T2" s="790" t="s">
        <v>549</v>
      </c>
      <c r="U2" s="791" t="s">
        <v>550</v>
      </c>
    </row>
    <row r="3" spans="1:38" ht="31.5" customHeight="1" x14ac:dyDescent="0.3">
      <c r="A3" s="297"/>
      <c r="B3" s="881" t="s">
        <v>451</v>
      </c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922"/>
      <c r="T3" s="882"/>
      <c r="U3" s="883"/>
    </row>
    <row r="4" spans="1:38" ht="31.5" customHeight="1" x14ac:dyDescent="0.3">
      <c r="A4" s="297">
        <v>2</v>
      </c>
      <c r="B4" s="843" t="s">
        <v>57</v>
      </c>
      <c r="C4" s="806" t="s">
        <v>432</v>
      </c>
      <c r="D4" s="847">
        <f>'vacaciones 2024'!U4</f>
        <v>96</v>
      </c>
      <c r="E4" s="780"/>
      <c r="F4" s="303"/>
      <c r="G4" s="303">
        <v>1</v>
      </c>
      <c r="H4" s="303"/>
      <c r="I4" s="303">
        <f>1+2</f>
        <v>3</v>
      </c>
      <c r="J4" s="303">
        <v>1</v>
      </c>
      <c r="K4" s="303">
        <v>1</v>
      </c>
      <c r="L4" s="303"/>
      <c r="M4" s="303"/>
      <c r="N4" s="303"/>
      <c r="O4" s="303"/>
      <c r="P4" s="785"/>
      <c r="Q4" s="847">
        <f>SUM(E4:P4)</f>
        <v>6</v>
      </c>
      <c r="R4" s="847">
        <f>+D4-Q4</f>
        <v>90</v>
      </c>
      <c r="S4" s="848">
        <v>45735</v>
      </c>
      <c r="T4" s="849">
        <v>30</v>
      </c>
      <c r="U4" s="849">
        <f>+R4+T4</f>
        <v>120</v>
      </c>
    </row>
    <row r="5" spans="1:38" ht="31.5" customHeight="1" x14ac:dyDescent="0.3">
      <c r="A5" s="297">
        <v>3</v>
      </c>
      <c r="B5" s="808" t="s">
        <v>108</v>
      </c>
      <c r="C5" s="806" t="s">
        <v>443</v>
      </c>
      <c r="D5" s="847">
        <f>'vacaciones 2024'!U5</f>
        <v>37</v>
      </c>
      <c r="E5" s="781">
        <v>11</v>
      </c>
      <c r="F5" s="311">
        <v>4</v>
      </c>
      <c r="G5" s="311"/>
      <c r="H5" s="311"/>
      <c r="I5" s="311">
        <v>1</v>
      </c>
      <c r="J5" s="311"/>
      <c r="K5" s="311">
        <v>7</v>
      </c>
      <c r="L5" s="311"/>
      <c r="M5" s="311"/>
      <c r="N5" s="311"/>
      <c r="O5" s="311"/>
      <c r="P5" s="786"/>
      <c r="Q5" s="799">
        <f>SUM(E5:P5)</f>
        <v>23</v>
      </c>
      <c r="R5" s="799">
        <f>+D5-Q5</f>
        <v>14</v>
      </c>
      <c r="S5" s="848">
        <v>45950</v>
      </c>
      <c r="T5" s="792">
        <v>30</v>
      </c>
      <c r="U5" s="792">
        <f>+R5+T5</f>
        <v>44</v>
      </c>
      <c r="W5" s="938"/>
    </row>
    <row r="6" spans="1:38" ht="31.5" customHeight="1" x14ac:dyDescent="0.3">
      <c r="A6" s="297">
        <v>1</v>
      </c>
      <c r="B6" s="807" t="s">
        <v>157</v>
      </c>
      <c r="C6" s="852" t="s">
        <v>442</v>
      </c>
      <c r="D6" s="847">
        <f>'vacaciones 2023 '!U6</f>
        <v>0</v>
      </c>
      <c r="E6" s="853"/>
      <c r="F6" s="854"/>
      <c r="G6" s="854"/>
      <c r="H6" s="854"/>
      <c r="I6" s="854"/>
      <c r="J6" s="854"/>
      <c r="K6" s="854"/>
      <c r="L6" s="854"/>
      <c r="M6" s="854"/>
      <c r="N6" s="854"/>
      <c r="O6" s="854"/>
      <c r="P6" s="855"/>
      <c r="Q6" s="799">
        <f>SUM(E6:P6)</f>
        <v>0</v>
      </c>
      <c r="R6" s="799">
        <f>+D6-Q6</f>
        <v>0</v>
      </c>
      <c r="S6" s="848"/>
      <c r="T6" s="792"/>
      <c r="U6" s="792">
        <f>+R6+T6</f>
        <v>0</v>
      </c>
      <c r="W6" s="316"/>
    </row>
    <row r="7" spans="1:38" ht="31.5" customHeight="1" x14ac:dyDescent="0.3">
      <c r="A7" s="297"/>
      <c r="B7" s="881" t="s">
        <v>450</v>
      </c>
      <c r="C7" s="882"/>
      <c r="D7" s="882"/>
      <c r="E7" s="882"/>
      <c r="F7" s="882"/>
      <c r="G7" s="882"/>
      <c r="H7" s="882"/>
      <c r="I7" s="882"/>
      <c r="J7" s="882"/>
      <c r="K7" s="882"/>
      <c r="L7" s="882"/>
      <c r="M7" s="882"/>
      <c r="N7" s="882"/>
      <c r="O7" s="882"/>
      <c r="P7" s="882"/>
      <c r="Q7" s="882"/>
      <c r="R7" s="882"/>
      <c r="S7" s="922"/>
      <c r="T7" s="882"/>
      <c r="U7" s="883"/>
      <c r="W7" s="941"/>
    </row>
    <row r="8" spans="1:38" ht="31.5" customHeight="1" x14ac:dyDescent="0.3">
      <c r="A8" s="297">
        <v>7</v>
      </c>
      <c r="B8" s="878" t="s">
        <v>109</v>
      </c>
      <c r="C8" s="839" t="s">
        <v>436</v>
      </c>
      <c r="D8" s="847">
        <f>'vacaciones 2024'!U8</f>
        <v>113</v>
      </c>
      <c r="E8" s="840"/>
      <c r="F8" s="841"/>
      <c r="G8" s="841"/>
      <c r="H8" s="841"/>
      <c r="I8" s="841"/>
      <c r="J8" s="841"/>
      <c r="K8" s="841"/>
      <c r="L8" s="841"/>
      <c r="M8" s="841"/>
      <c r="N8" s="841"/>
      <c r="O8" s="841"/>
      <c r="P8" s="842"/>
      <c r="Q8" s="799">
        <f>SUM(E8:P8)</f>
        <v>0</v>
      </c>
      <c r="R8" s="799">
        <f>+D8-Q8</f>
        <v>113</v>
      </c>
      <c r="S8" s="809">
        <v>45581</v>
      </c>
      <c r="T8" s="792">
        <v>30</v>
      </c>
      <c r="U8" s="792">
        <f>+R8+T8</f>
        <v>143</v>
      </c>
    </row>
    <row r="9" spans="1:38" ht="31.5" customHeight="1" x14ac:dyDescent="0.3">
      <c r="A9" s="297"/>
      <c r="B9" s="950" t="s">
        <v>336</v>
      </c>
      <c r="C9" s="806" t="s">
        <v>435</v>
      </c>
      <c r="D9" s="847"/>
      <c r="E9" s="925"/>
      <c r="F9" s="910"/>
      <c r="G9" s="910"/>
      <c r="H9" s="910"/>
      <c r="I9" s="910"/>
      <c r="J9" s="910"/>
      <c r="K9" s="910">
        <v>21</v>
      </c>
      <c r="L9" s="910"/>
      <c r="M9" s="910"/>
      <c r="N9" s="910"/>
      <c r="O9" s="910"/>
      <c r="P9" s="911"/>
      <c r="Q9" s="799">
        <f>SUM(E9:P9)</f>
        <v>21</v>
      </c>
      <c r="R9" s="799">
        <f>+D9-Q9</f>
        <v>-21</v>
      </c>
      <c r="S9" s="837">
        <v>45870</v>
      </c>
      <c r="T9" s="838">
        <v>30</v>
      </c>
      <c r="U9" s="792">
        <f>+R9+T9</f>
        <v>9</v>
      </c>
    </row>
    <row r="10" spans="1:38" ht="31.5" customHeight="1" x14ac:dyDescent="0.3">
      <c r="A10" s="297"/>
      <c r="B10" s="873" t="s">
        <v>151</v>
      </c>
      <c r="C10" s="806" t="s">
        <v>435</v>
      </c>
      <c r="D10" s="847">
        <f>'vacaciones 2024'!U9</f>
        <v>-5</v>
      </c>
      <c r="E10" s="915"/>
      <c r="F10" s="875">
        <v>25</v>
      </c>
      <c r="G10" s="875"/>
      <c r="H10" s="875"/>
      <c r="I10" s="875"/>
      <c r="J10" s="875">
        <v>4</v>
      </c>
      <c r="K10" s="875"/>
      <c r="L10" s="875"/>
      <c r="M10" s="875"/>
      <c r="N10" s="875">
        <v>1</v>
      </c>
      <c r="O10" s="875"/>
      <c r="P10" s="877"/>
      <c r="Q10" s="836">
        <f>SUM(E10:P10)</f>
        <v>30</v>
      </c>
      <c r="R10" s="836">
        <f>+D10-Q10</f>
        <v>-35</v>
      </c>
      <c r="S10" s="837">
        <v>45737</v>
      </c>
      <c r="T10" s="838">
        <v>30</v>
      </c>
      <c r="U10" s="838">
        <f>+R10+T10</f>
        <v>-5</v>
      </c>
      <c r="V10" s="316"/>
    </row>
    <row r="11" spans="1:38" ht="31.5" customHeight="1" x14ac:dyDescent="0.3">
      <c r="A11" s="297"/>
      <c r="B11" s="881" t="s">
        <v>449</v>
      </c>
      <c r="C11" s="882"/>
      <c r="D11" s="882"/>
      <c r="E11" s="882"/>
      <c r="F11" s="882"/>
      <c r="G11" s="882"/>
      <c r="H11" s="882"/>
      <c r="I11" s="882"/>
      <c r="J11" s="882"/>
      <c r="K11" s="882"/>
      <c r="L11" s="882"/>
      <c r="M11" s="882"/>
      <c r="N11" s="882"/>
      <c r="O11" s="882"/>
      <c r="P11" s="882"/>
      <c r="Q11" s="882"/>
      <c r="R11" s="882"/>
      <c r="S11" s="922"/>
      <c r="T11" s="882"/>
      <c r="U11" s="883"/>
      <c r="V11" s="316"/>
    </row>
    <row r="12" spans="1:38" ht="31.5" customHeight="1" x14ac:dyDescent="0.3">
      <c r="A12" s="297">
        <v>5</v>
      </c>
      <c r="B12" s="808" t="s">
        <v>54</v>
      </c>
      <c r="C12" s="839" t="s">
        <v>435</v>
      </c>
      <c r="D12" s="799">
        <f>'vacaciones 2024'!U11</f>
        <v>240</v>
      </c>
      <c r="E12" s="927">
        <v>15</v>
      </c>
      <c r="F12" s="841">
        <v>16</v>
      </c>
      <c r="G12" s="928"/>
      <c r="H12" s="928"/>
      <c r="I12" s="928"/>
      <c r="J12" s="928">
        <v>3</v>
      </c>
      <c r="K12" s="928"/>
      <c r="L12" s="928"/>
      <c r="M12" s="928"/>
      <c r="N12" s="928"/>
      <c r="O12" s="928"/>
      <c r="P12" s="929"/>
      <c r="Q12" s="799">
        <f>SUM(E12:O12)</f>
        <v>34</v>
      </c>
      <c r="R12" s="799">
        <f t="shared" ref="R12:R36" si="0">+D12-Q12</f>
        <v>206</v>
      </c>
      <c r="S12" s="809">
        <v>45840</v>
      </c>
      <c r="T12" s="792">
        <v>30</v>
      </c>
      <c r="U12" s="792">
        <f t="shared" ref="U12:U36" si="1">+R12+T12</f>
        <v>236</v>
      </c>
      <c r="AL12" s="253" t="e">
        <f>C12*40%</f>
        <v>#VALUE!</v>
      </c>
    </row>
    <row r="13" spans="1:38" ht="31.5" customHeight="1" x14ac:dyDescent="0.3">
      <c r="A13" s="942">
        <v>12</v>
      </c>
      <c r="B13" s="951" t="s">
        <v>404</v>
      </c>
      <c r="C13" s="943" t="s">
        <v>435</v>
      </c>
      <c r="D13" s="813">
        <f>'vacaciones 2024'!U16</f>
        <v>118</v>
      </c>
      <c r="E13" s="952"/>
      <c r="F13" s="953"/>
      <c r="G13" s="953"/>
      <c r="H13" s="953"/>
      <c r="I13" s="953"/>
      <c r="J13" s="953"/>
      <c r="K13" s="953"/>
      <c r="L13" s="953"/>
      <c r="M13" s="953"/>
      <c r="N13" s="953"/>
      <c r="O13" s="953"/>
      <c r="P13" s="954"/>
      <c r="Q13" s="813">
        <f t="shared" ref="Q13:Q36" si="2">SUM(E13:P13)</f>
        <v>0</v>
      </c>
      <c r="R13" s="813">
        <f t="shared" si="0"/>
        <v>118</v>
      </c>
      <c r="S13" s="923">
        <v>45953</v>
      </c>
      <c r="T13" s="834">
        <v>30</v>
      </c>
      <c r="U13" s="834">
        <f t="shared" si="1"/>
        <v>148</v>
      </c>
      <c r="V13" s="947"/>
      <c r="W13" s="948"/>
      <c r="X13" s="947"/>
      <c r="Y13" s="947"/>
      <c r="Z13" s="947"/>
      <c r="AA13" s="947"/>
      <c r="AB13" s="947"/>
      <c r="AC13" s="947"/>
      <c r="AD13" s="947"/>
      <c r="AE13" s="947"/>
      <c r="AF13" s="947"/>
      <c r="AG13" s="947"/>
      <c r="AH13" s="947"/>
      <c r="AI13" s="947"/>
      <c r="AJ13" s="947"/>
      <c r="AK13" s="947"/>
      <c r="AL13" s="947"/>
    </row>
    <row r="14" spans="1:38" ht="31.5" customHeight="1" x14ac:dyDescent="0.3">
      <c r="A14" s="297">
        <v>4</v>
      </c>
      <c r="B14" s="873" t="s">
        <v>150</v>
      </c>
      <c r="C14" s="839" t="s">
        <v>435</v>
      </c>
      <c r="D14" s="799">
        <f>'vacaciones 2024'!U12</f>
        <v>115</v>
      </c>
      <c r="E14" s="925"/>
      <c r="F14" s="910">
        <f>4+6</f>
        <v>10</v>
      </c>
      <c r="G14" s="910"/>
      <c r="H14" s="910"/>
      <c r="I14" s="910"/>
      <c r="J14" s="910"/>
      <c r="K14" s="910"/>
      <c r="L14" s="910"/>
      <c r="M14" s="910"/>
      <c r="N14" s="910"/>
      <c r="O14" s="910"/>
      <c r="P14" s="911"/>
      <c r="Q14" s="799">
        <f t="shared" si="2"/>
        <v>10</v>
      </c>
      <c r="R14" s="799">
        <f t="shared" si="0"/>
        <v>105</v>
      </c>
      <c r="S14" s="809">
        <v>45776</v>
      </c>
      <c r="T14" s="792">
        <v>30</v>
      </c>
      <c r="U14" s="792">
        <f t="shared" si="1"/>
        <v>135</v>
      </c>
    </row>
    <row r="15" spans="1:38" ht="31.5" customHeight="1" x14ac:dyDescent="0.3">
      <c r="A15" s="297">
        <v>24</v>
      </c>
      <c r="B15" s="866" t="s">
        <v>152</v>
      </c>
      <c r="C15" s="867" t="s">
        <v>435</v>
      </c>
      <c r="D15" s="799">
        <f>'vacaciones 2024'!U14</f>
        <v>83</v>
      </c>
      <c r="E15" s="926">
        <v>7</v>
      </c>
      <c r="F15" s="854">
        <v>15</v>
      </c>
      <c r="G15" s="854">
        <v>7</v>
      </c>
      <c r="H15" s="854"/>
      <c r="I15" s="854"/>
      <c r="J15" s="854"/>
      <c r="K15" s="854"/>
      <c r="L15" s="854"/>
      <c r="M15" s="854"/>
      <c r="N15" s="854"/>
      <c r="O15" s="854"/>
      <c r="P15" s="879"/>
      <c r="Q15" s="799">
        <f t="shared" si="2"/>
        <v>29</v>
      </c>
      <c r="R15" s="799">
        <f t="shared" si="0"/>
        <v>54</v>
      </c>
      <c r="S15" s="809">
        <v>45980</v>
      </c>
      <c r="T15" s="792">
        <v>30</v>
      </c>
      <c r="U15" s="792">
        <f t="shared" si="1"/>
        <v>84</v>
      </c>
    </row>
    <row r="16" spans="1:38" ht="31.5" customHeight="1" x14ac:dyDescent="0.3">
      <c r="A16" s="297">
        <v>19</v>
      </c>
      <c r="B16" s="843" t="s">
        <v>51</v>
      </c>
      <c r="C16" s="864" t="s">
        <v>431</v>
      </c>
      <c r="D16" s="799">
        <f>'vacaciones 2024'!U13</f>
        <v>70</v>
      </c>
      <c r="E16" s="865"/>
      <c r="F16" s="303">
        <v>21</v>
      </c>
      <c r="G16" s="303"/>
      <c r="H16" s="303"/>
      <c r="I16" s="303"/>
      <c r="J16" s="913"/>
      <c r="K16" s="303">
        <v>5</v>
      </c>
      <c r="L16" s="303"/>
      <c r="M16" s="303"/>
      <c r="N16" s="303"/>
      <c r="O16" s="303">
        <v>8</v>
      </c>
      <c r="P16" s="785"/>
      <c r="Q16" s="847">
        <f t="shared" si="2"/>
        <v>34</v>
      </c>
      <c r="R16" s="847">
        <f t="shared" si="0"/>
        <v>36</v>
      </c>
      <c r="S16" s="848">
        <v>45874</v>
      </c>
      <c r="T16" s="849">
        <v>30</v>
      </c>
      <c r="U16" s="849">
        <f t="shared" si="1"/>
        <v>66</v>
      </c>
    </row>
    <row r="17" spans="1:38" ht="31.5" customHeight="1" x14ac:dyDescent="0.3">
      <c r="A17" s="297"/>
      <c r="B17" s="807" t="s">
        <v>532</v>
      </c>
      <c r="C17" s="806" t="s">
        <v>567</v>
      </c>
      <c r="D17" s="799">
        <f>'vacaciones 2024'!U40</f>
        <v>30</v>
      </c>
      <c r="E17" s="853"/>
      <c r="F17" s="854"/>
      <c r="G17" s="854"/>
      <c r="H17" s="854"/>
      <c r="I17" s="854"/>
      <c r="J17" s="854"/>
      <c r="K17" s="854"/>
      <c r="L17" s="854"/>
      <c r="M17" s="854"/>
      <c r="N17" s="854"/>
      <c r="O17" s="854"/>
      <c r="P17" s="855"/>
      <c r="Q17" s="799">
        <f t="shared" si="2"/>
        <v>0</v>
      </c>
      <c r="R17" s="799">
        <f t="shared" si="0"/>
        <v>30</v>
      </c>
      <c r="S17" s="809">
        <v>45890</v>
      </c>
      <c r="T17" s="792">
        <v>30</v>
      </c>
      <c r="U17" s="792">
        <f t="shared" si="1"/>
        <v>60</v>
      </c>
      <c r="W17" s="316"/>
    </row>
    <row r="18" spans="1:38" s="947" customFormat="1" ht="31.5" customHeight="1" x14ac:dyDescent="0.3">
      <c r="A18" s="297"/>
      <c r="B18" s="808" t="s">
        <v>540</v>
      </c>
      <c r="C18" s="806" t="s">
        <v>436</v>
      </c>
      <c r="D18" s="799"/>
      <c r="E18" s="78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786"/>
      <c r="Q18" s="799">
        <f t="shared" si="2"/>
        <v>0</v>
      </c>
      <c r="R18" s="847">
        <f t="shared" si="0"/>
        <v>0</v>
      </c>
      <c r="S18" s="809">
        <v>45802</v>
      </c>
      <c r="T18" s="792">
        <v>30</v>
      </c>
      <c r="U18" s="849">
        <f t="shared" si="1"/>
        <v>30</v>
      </c>
      <c r="V18" s="253"/>
      <c r="W18" s="316"/>
      <c r="X18" s="254">
        <v>259</v>
      </c>
      <c r="Y18" s="254" t="e">
        <f>X18*Y16/X16</f>
        <v>#DIV/0!</v>
      </c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</row>
    <row r="19" spans="1:38" ht="31.5" customHeight="1" x14ac:dyDescent="0.3">
      <c r="A19" s="297"/>
      <c r="B19" s="808" t="s">
        <v>544</v>
      </c>
      <c r="C19" s="806" t="s">
        <v>436</v>
      </c>
      <c r="D19" s="799"/>
      <c r="E19" s="78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786"/>
      <c r="Q19" s="799">
        <f t="shared" si="2"/>
        <v>0</v>
      </c>
      <c r="R19" s="847">
        <f t="shared" si="0"/>
        <v>0</v>
      </c>
      <c r="S19" s="809">
        <v>45870</v>
      </c>
      <c r="T19" s="792">
        <v>30</v>
      </c>
      <c r="U19" s="849">
        <f t="shared" si="1"/>
        <v>30</v>
      </c>
      <c r="W19" s="316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</row>
    <row r="20" spans="1:38" ht="31.5" customHeight="1" x14ac:dyDescent="0.3">
      <c r="A20" s="297" t="s">
        <v>539</v>
      </c>
      <c r="B20" s="808" t="s">
        <v>541</v>
      </c>
      <c r="C20" s="806" t="s">
        <v>435</v>
      </c>
      <c r="D20" s="799"/>
      <c r="E20" s="78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786"/>
      <c r="Q20" s="799">
        <f t="shared" si="2"/>
        <v>0</v>
      </c>
      <c r="R20" s="847">
        <f t="shared" si="0"/>
        <v>0</v>
      </c>
      <c r="S20" s="809">
        <v>45846</v>
      </c>
      <c r="T20" s="792">
        <v>30</v>
      </c>
      <c r="U20" s="849">
        <f t="shared" si="1"/>
        <v>30</v>
      </c>
      <c r="W20" s="316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</row>
    <row r="21" spans="1:38" ht="31.5" customHeight="1" x14ac:dyDescent="0.3">
      <c r="A21" s="297"/>
      <c r="B21" s="808" t="s">
        <v>545</v>
      </c>
      <c r="C21" s="806" t="s">
        <v>435</v>
      </c>
      <c r="D21" s="799"/>
      <c r="E21" s="78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786"/>
      <c r="Q21" s="799">
        <f t="shared" si="2"/>
        <v>0</v>
      </c>
      <c r="R21" s="847">
        <f t="shared" si="0"/>
        <v>0</v>
      </c>
      <c r="S21" s="809">
        <v>45902</v>
      </c>
      <c r="T21" s="792">
        <v>30</v>
      </c>
      <c r="U21" s="849">
        <f t="shared" si="1"/>
        <v>30</v>
      </c>
      <c r="W21" s="316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</row>
    <row r="22" spans="1:38" ht="31.5" customHeight="1" x14ac:dyDescent="0.3">
      <c r="A22" s="297"/>
      <c r="B22" s="808" t="s">
        <v>524</v>
      </c>
      <c r="C22" s="806" t="s">
        <v>435</v>
      </c>
      <c r="D22" s="799">
        <f>'vacaciones 2024'!U22</f>
        <v>30</v>
      </c>
      <c r="E22" s="781"/>
      <c r="F22" s="311"/>
      <c r="G22" s="311"/>
      <c r="H22" s="311"/>
      <c r="I22" s="311">
        <v>29</v>
      </c>
      <c r="J22" s="311"/>
      <c r="K22" s="311"/>
      <c r="L22" s="311"/>
      <c r="M22" s="311"/>
      <c r="N22" s="311">
        <v>7</v>
      </c>
      <c r="O22" s="311"/>
      <c r="P22" s="786">
        <v>7</v>
      </c>
      <c r="Q22" s="799">
        <f t="shared" si="2"/>
        <v>43</v>
      </c>
      <c r="R22" s="847">
        <f t="shared" si="0"/>
        <v>-13</v>
      </c>
      <c r="S22" s="809">
        <v>45897</v>
      </c>
      <c r="T22" s="792">
        <v>30</v>
      </c>
      <c r="U22" s="849">
        <f t="shared" si="1"/>
        <v>17</v>
      </c>
      <c r="X22" s="254">
        <v>365</v>
      </c>
      <c r="Y22" s="254">
        <v>30</v>
      </c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</row>
    <row r="23" spans="1:38" s="254" customFormat="1" ht="31.5" customHeight="1" x14ac:dyDescent="0.3">
      <c r="A23" s="297">
        <v>16</v>
      </c>
      <c r="B23" s="808" t="s">
        <v>126</v>
      </c>
      <c r="C23" s="806" t="s">
        <v>431</v>
      </c>
      <c r="D23" s="799">
        <f>'vacaciones 2024'!U17</f>
        <v>45</v>
      </c>
      <c r="E23" s="781">
        <v>31</v>
      </c>
      <c r="F23" s="311">
        <v>13</v>
      </c>
      <c r="G23" s="311"/>
      <c r="H23" s="311"/>
      <c r="I23" s="311">
        <v>2</v>
      </c>
      <c r="J23" s="311"/>
      <c r="K23" s="311"/>
      <c r="L23" s="311"/>
      <c r="M23" s="311"/>
      <c r="N23" s="311">
        <v>7</v>
      </c>
      <c r="O23" s="311"/>
      <c r="P23" s="786"/>
      <c r="Q23" s="799">
        <f t="shared" si="2"/>
        <v>53</v>
      </c>
      <c r="R23" s="847">
        <f t="shared" si="0"/>
        <v>-8</v>
      </c>
      <c r="S23" s="809">
        <v>45826</v>
      </c>
      <c r="T23" s="792">
        <v>30</v>
      </c>
      <c r="U23" s="849">
        <f t="shared" si="1"/>
        <v>22</v>
      </c>
      <c r="V23" s="253"/>
      <c r="W23" s="316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</row>
    <row r="24" spans="1:38" s="254" customFormat="1" ht="31.5" customHeight="1" x14ac:dyDescent="0.3">
      <c r="A24" s="297">
        <v>11</v>
      </c>
      <c r="B24" s="808" t="s">
        <v>16</v>
      </c>
      <c r="C24" s="806" t="s">
        <v>431</v>
      </c>
      <c r="D24" s="799">
        <f>'vacaciones 2024'!U20</f>
        <v>-9</v>
      </c>
      <c r="E24" s="78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786"/>
      <c r="Q24" s="799">
        <f t="shared" si="2"/>
        <v>0</v>
      </c>
      <c r="R24" s="847">
        <f t="shared" si="0"/>
        <v>-9</v>
      </c>
      <c r="S24" s="809">
        <v>45826</v>
      </c>
      <c r="T24" s="792">
        <v>30</v>
      </c>
      <c r="U24" s="849">
        <f t="shared" si="1"/>
        <v>21</v>
      </c>
      <c r="W24" s="254">
        <f>W23-W22+1</f>
        <v>1</v>
      </c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</row>
    <row r="25" spans="1:38" s="254" customFormat="1" ht="31.5" customHeight="1" x14ac:dyDescent="0.3">
      <c r="A25" s="297">
        <v>13</v>
      </c>
      <c r="B25" s="808" t="s">
        <v>74</v>
      </c>
      <c r="C25" s="806" t="s">
        <v>436</v>
      </c>
      <c r="D25" s="799">
        <f>'vacaciones 2024'!U19</f>
        <v>40</v>
      </c>
      <c r="E25" s="935">
        <v>22</v>
      </c>
      <c r="F25" s="311">
        <v>25</v>
      </c>
      <c r="G25" s="311"/>
      <c r="H25" s="311"/>
      <c r="I25" s="311"/>
      <c r="J25" s="311"/>
      <c r="K25" s="311"/>
      <c r="L25" s="311"/>
      <c r="M25" s="311"/>
      <c r="N25" s="311"/>
      <c r="O25" s="311"/>
      <c r="P25" s="786">
        <v>14</v>
      </c>
      <c r="Q25" s="799">
        <f t="shared" si="2"/>
        <v>61</v>
      </c>
      <c r="R25" s="847">
        <f t="shared" si="0"/>
        <v>-21</v>
      </c>
      <c r="S25" s="809">
        <v>43862</v>
      </c>
      <c r="T25" s="792">
        <v>30</v>
      </c>
      <c r="U25" s="849">
        <f t="shared" si="1"/>
        <v>9</v>
      </c>
      <c r="V25" s="253"/>
      <c r="W25" s="316">
        <v>45996</v>
      </c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</row>
    <row r="26" spans="1:38" s="254" customFormat="1" ht="31.5" customHeight="1" x14ac:dyDescent="0.3">
      <c r="A26" s="297">
        <v>14</v>
      </c>
      <c r="B26" s="808" t="s">
        <v>22</v>
      </c>
      <c r="C26" s="806" t="s">
        <v>435</v>
      </c>
      <c r="D26" s="799">
        <f>'vacaciones 2024'!U18</f>
        <v>0</v>
      </c>
      <c r="E26" s="812">
        <v>12</v>
      </c>
      <c r="F26" s="311">
        <f>10+8</f>
        <v>18</v>
      </c>
      <c r="G26" s="311"/>
      <c r="H26" s="311"/>
      <c r="I26" s="311"/>
      <c r="J26" s="311"/>
      <c r="K26" s="311"/>
      <c r="L26" s="311"/>
      <c r="M26" s="311"/>
      <c r="N26" s="311"/>
      <c r="O26" s="311"/>
      <c r="P26" s="786"/>
      <c r="Q26" s="799">
        <f t="shared" si="2"/>
        <v>30</v>
      </c>
      <c r="R26" s="847">
        <f t="shared" si="0"/>
        <v>-30</v>
      </c>
      <c r="S26" s="809">
        <v>45658</v>
      </c>
      <c r="T26" s="792">
        <v>30</v>
      </c>
      <c r="U26" s="849">
        <f t="shared" si="1"/>
        <v>0</v>
      </c>
      <c r="V26" s="253"/>
      <c r="W26" s="316">
        <v>45983</v>
      </c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</row>
    <row r="27" spans="1:38" s="254" customFormat="1" ht="31.5" customHeight="1" x14ac:dyDescent="0.3">
      <c r="A27" s="297"/>
      <c r="B27" s="808" t="s">
        <v>558</v>
      </c>
      <c r="C27" s="806"/>
      <c r="D27" s="799"/>
      <c r="E27" s="781"/>
      <c r="F27" s="311"/>
      <c r="G27" s="311"/>
      <c r="H27" s="311"/>
      <c r="I27" s="311"/>
      <c r="J27" s="311"/>
      <c r="K27" s="311"/>
      <c r="L27" s="311"/>
      <c r="M27" s="311"/>
      <c r="N27" s="311">
        <v>7</v>
      </c>
      <c r="O27" s="311"/>
      <c r="P27" s="786"/>
      <c r="Q27" s="799">
        <f t="shared" si="2"/>
        <v>7</v>
      </c>
      <c r="R27" s="847">
        <f t="shared" si="0"/>
        <v>-7</v>
      </c>
      <c r="S27" s="809">
        <v>46121</v>
      </c>
      <c r="T27" s="792"/>
      <c r="U27" s="849">
        <f t="shared" si="1"/>
        <v>-7</v>
      </c>
      <c r="V27" s="253"/>
      <c r="W27" s="316"/>
    </row>
    <row r="28" spans="1:38" s="254" customFormat="1" ht="31.5" customHeight="1" x14ac:dyDescent="0.3">
      <c r="A28" s="297">
        <v>20</v>
      </c>
      <c r="B28" s="807" t="s">
        <v>52</v>
      </c>
      <c r="C28" s="806" t="s">
        <v>431</v>
      </c>
      <c r="D28" s="799">
        <f>'vacaciones 2024'!U15</f>
        <v>59</v>
      </c>
      <c r="E28" s="781"/>
      <c r="F28" s="311">
        <v>28</v>
      </c>
      <c r="G28" s="309">
        <v>16</v>
      </c>
      <c r="H28" s="309"/>
      <c r="I28" s="309"/>
      <c r="J28" s="309"/>
      <c r="K28" s="309"/>
      <c r="L28" s="309"/>
      <c r="M28" s="309"/>
      <c r="N28" s="314">
        <v>26</v>
      </c>
      <c r="O28" s="309">
        <v>30</v>
      </c>
      <c r="P28" s="787">
        <v>5</v>
      </c>
      <c r="Q28" s="799">
        <f t="shared" si="2"/>
        <v>105</v>
      </c>
      <c r="R28" s="847">
        <f t="shared" si="0"/>
        <v>-46</v>
      </c>
      <c r="S28" s="809">
        <v>45837</v>
      </c>
      <c r="T28" s="792">
        <v>30</v>
      </c>
      <c r="U28" s="849">
        <f t="shared" si="1"/>
        <v>-16</v>
      </c>
      <c r="V28" s="253"/>
      <c r="W28" s="316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</row>
    <row r="29" spans="1:38" s="254" customFormat="1" ht="31.5" customHeight="1" x14ac:dyDescent="0.3">
      <c r="A29" s="297"/>
      <c r="B29" s="808" t="s">
        <v>553</v>
      </c>
      <c r="C29" s="806" t="s">
        <v>435</v>
      </c>
      <c r="D29" s="799"/>
      <c r="E29" s="78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786"/>
      <c r="Q29" s="799">
        <f t="shared" si="2"/>
        <v>0</v>
      </c>
      <c r="R29" s="847">
        <f t="shared" si="0"/>
        <v>0</v>
      </c>
      <c r="S29" s="809">
        <v>46318</v>
      </c>
      <c r="T29" s="792"/>
      <c r="U29" s="849">
        <f t="shared" si="1"/>
        <v>0</v>
      </c>
      <c r="V29" s="253"/>
      <c r="W29" s="316"/>
    </row>
    <row r="30" spans="1:38" s="254" customFormat="1" ht="31.5" customHeight="1" x14ac:dyDescent="0.3">
      <c r="A30" s="297"/>
      <c r="B30" s="808" t="s">
        <v>554</v>
      </c>
      <c r="C30" s="806" t="s">
        <v>564</v>
      </c>
      <c r="D30" s="799"/>
      <c r="E30" s="78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786"/>
      <c r="Q30" s="799">
        <f t="shared" si="2"/>
        <v>0</v>
      </c>
      <c r="R30" s="847">
        <f t="shared" si="0"/>
        <v>0</v>
      </c>
      <c r="S30" s="809">
        <v>46331</v>
      </c>
      <c r="T30" s="792"/>
      <c r="U30" s="849">
        <f t="shared" si="1"/>
        <v>0</v>
      </c>
      <c r="V30" s="253"/>
      <c r="W30" s="316"/>
    </row>
    <row r="31" spans="1:38" s="254" customFormat="1" ht="31.5" customHeight="1" x14ac:dyDescent="0.3">
      <c r="A31" s="297"/>
      <c r="B31" s="808" t="s">
        <v>502</v>
      </c>
      <c r="C31" s="806" t="s">
        <v>436</v>
      </c>
      <c r="D31" s="799"/>
      <c r="E31" s="78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786"/>
      <c r="Q31" s="799">
        <f t="shared" si="2"/>
        <v>0</v>
      </c>
      <c r="R31" s="847">
        <f t="shared" si="0"/>
        <v>0</v>
      </c>
      <c r="S31" s="809" t="s">
        <v>565</v>
      </c>
      <c r="T31" s="792"/>
      <c r="U31" s="849">
        <f t="shared" si="1"/>
        <v>0</v>
      </c>
      <c r="V31" s="253"/>
      <c r="W31" s="316"/>
    </row>
    <row r="32" spans="1:38" s="254" customFormat="1" ht="31.5" customHeight="1" x14ac:dyDescent="0.3">
      <c r="A32" s="297"/>
      <c r="B32" s="808" t="s">
        <v>557</v>
      </c>
      <c r="C32" s="806" t="s">
        <v>436</v>
      </c>
      <c r="D32" s="799"/>
      <c r="E32" s="78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786"/>
      <c r="Q32" s="799">
        <f t="shared" si="2"/>
        <v>0</v>
      </c>
      <c r="R32" s="847">
        <f t="shared" si="0"/>
        <v>0</v>
      </c>
      <c r="S32" s="809">
        <v>46097</v>
      </c>
      <c r="T32" s="792"/>
      <c r="U32" s="849">
        <f t="shared" si="1"/>
        <v>0</v>
      </c>
      <c r="V32" s="253"/>
      <c r="W32" s="316"/>
    </row>
    <row r="33" spans="1:38" s="254" customFormat="1" ht="31.5" customHeight="1" x14ac:dyDescent="0.3">
      <c r="A33" s="297"/>
      <c r="B33" s="808" t="s">
        <v>559</v>
      </c>
      <c r="C33" s="806" t="s">
        <v>435</v>
      </c>
      <c r="D33" s="799"/>
      <c r="E33" s="78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786"/>
      <c r="Q33" s="799">
        <f t="shared" si="2"/>
        <v>0</v>
      </c>
      <c r="R33" s="847">
        <f t="shared" si="0"/>
        <v>0</v>
      </c>
      <c r="S33" s="809">
        <v>46255</v>
      </c>
      <c r="T33" s="792"/>
      <c r="U33" s="849">
        <f t="shared" si="1"/>
        <v>0</v>
      </c>
      <c r="V33" s="253"/>
      <c r="W33" s="316"/>
    </row>
    <row r="34" spans="1:38" s="254" customFormat="1" ht="31.5" customHeight="1" x14ac:dyDescent="0.3">
      <c r="A34" s="297"/>
      <c r="B34" s="808" t="s">
        <v>560</v>
      </c>
      <c r="C34" s="806" t="s">
        <v>435</v>
      </c>
      <c r="D34" s="799"/>
      <c r="E34" s="78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786"/>
      <c r="Q34" s="799">
        <f t="shared" si="2"/>
        <v>0</v>
      </c>
      <c r="R34" s="847">
        <f t="shared" si="0"/>
        <v>0</v>
      </c>
      <c r="S34" s="809">
        <v>46350</v>
      </c>
      <c r="T34" s="792"/>
      <c r="U34" s="849">
        <f t="shared" si="1"/>
        <v>0</v>
      </c>
      <c r="V34" s="253"/>
      <c r="W34" s="316"/>
    </row>
    <row r="35" spans="1:38" s="254" customFormat="1" ht="31.5" customHeight="1" x14ac:dyDescent="0.3">
      <c r="A35" s="297"/>
      <c r="B35" s="808" t="s">
        <v>561</v>
      </c>
      <c r="C35" s="806" t="s">
        <v>435</v>
      </c>
      <c r="D35" s="799"/>
      <c r="E35" s="78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786"/>
      <c r="Q35" s="799">
        <f t="shared" si="2"/>
        <v>0</v>
      </c>
      <c r="R35" s="847">
        <f t="shared" si="0"/>
        <v>0</v>
      </c>
      <c r="S35" s="809">
        <v>46255</v>
      </c>
      <c r="T35" s="792"/>
      <c r="U35" s="849">
        <f t="shared" si="1"/>
        <v>0</v>
      </c>
      <c r="V35" s="253"/>
      <c r="W35" s="316"/>
    </row>
    <row r="36" spans="1:38" s="254" customFormat="1" ht="31.5" customHeight="1" x14ac:dyDescent="0.3">
      <c r="A36" s="297"/>
      <c r="B36" s="808" t="s">
        <v>552</v>
      </c>
      <c r="C36" s="806" t="s">
        <v>436</v>
      </c>
      <c r="D36" s="799"/>
      <c r="E36" s="78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786"/>
      <c r="Q36" s="799">
        <f t="shared" si="2"/>
        <v>0</v>
      </c>
      <c r="R36" s="847">
        <f t="shared" si="0"/>
        <v>0</v>
      </c>
      <c r="S36" s="809">
        <v>46023</v>
      </c>
      <c r="T36" s="792"/>
      <c r="U36" s="849">
        <f t="shared" si="1"/>
        <v>0</v>
      </c>
      <c r="V36" s="253"/>
      <c r="W36" s="316"/>
    </row>
    <row r="37" spans="1:38" s="254" customFormat="1" ht="31.5" customHeight="1" x14ac:dyDescent="0.3">
      <c r="A37" s="297"/>
      <c r="B37" s="808" t="s">
        <v>566</v>
      </c>
      <c r="C37" s="806" t="s">
        <v>435</v>
      </c>
      <c r="D37" s="799"/>
      <c r="E37" s="78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786"/>
      <c r="Q37" s="799"/>
      <c r="R37" s="847"/>
      <c r="S37" s="809">
        <v>46357</v>
      </c>
      <c r="T37" s="792"/>
      <c r="U37" s="849"/>
      <c r="V37" s="253"/>
      <c r="W37" s="316"/>
    </row>
    <row r="38" spans="1:38" s="254" customFormat="1" ht="31.5" customHeight="1" x14ac:dyDescent="0.3">
      <c r="A38" s="297"/>
      <c r="B38" s="881" t="s">
        <v>445</v>
      </c>
      <c r="C38" s="882"/>
      <c r="D38" s="882"/>
      <c r="E38" s="882"/>
      <c r="F38" s="882"/>
      <c r="G38" s="882"/>
      <c r="H38" s="882"/>
      <c r="I38" s="882"/>
      <c r="J38" s="882"/>
      <c r="K38" s="882"/>
      <c r="L38" s="882"/>
      <c r="M38" s="882"/>
      <c r="N38" s="882"/>
      <c r="O38" s="882"/>
      <c r="P38" s="882"/>
      <c r="Q38" s="882"/>
      <c r="R38" s="882"/>
      <c r="S38" s="882"/>
      <c r="T38" s="882"/>
      <c r="U38" s="883"/>
    </row>
    <row r="39" spans="1:38" s="254" customFormat="1" ht="31.5" customHeight="1" x14ac:dyDescent="0.3">
      <c r="A39" s="297">
        <v>27</v>
      </c>
      <c r="B39" s="912" t="s">
        <v>18</v>
      </c>
      <c r="C39" s="850" t="s">
        <v>433</v>
      </c>
      <c r="D39" s="799">
        <f>'vacaciones 2024'!U27</f>
        <v>67</v>
      </c>
      <c r="E39" s="844">
        <v>1</v>
      </c>
      <c r="F39" s="845">
        <v>12</v>
      </c>
      <c r="G39" s="845">
        <v>6</v>
      </c>
      <c r="H39" s="845"/>
      <c r="I39" s="845">
        <v>14</v>
      </c>
      <c r="J39" s="845"/>
      <c r="K39" s="845"/>
      <c r="L39" s="845"/>
      <c r="M39" s="845"/>
      <c r="N39" s="845"/>
      <c r="O39" s="845"/>
      <c r="P39" s="846">
        <v>10</v>
      </c>
      <c r="Q39" s="836">
        <f>SUM(E39:P39)</f>
        <v>43</v>
      </c>
      <c r="R39" s="847">
        <f>+D39-Q39</f>
        <v>24</v>
      </c>
      <c r="S39" s="837">
        <v>45662</v>
      </c>
      <c r="T39" s="838">
        <v>30</v>
      </c>
      <c r="U39" s="838">
        <f>+R39+T39</f>
        <v>54</v>
      </c>
      <c r="AA39" s="936">
        <v>46013</v>
      </c>
    </row>
    <row r="40" spans="1:38" s="254" customFormat="1" ht="32.25" customHeight="1" x14ac:dyDescent="0.3">
      <c r="A40" s="297">
        <v>29</v>
      </c>
      <c r="B40" s="955" t="s">
        <v>402</v>
      </c>
      <c r="C40" s="852" t="s">
        <v>428</v>
      </c>
      <c r="D40" s="799">
        <f>'vacaciones 2024'!U30</f>
        <v>29</v>
      </c>
      <c r="E40" s="844">
        <v>1</v>
      </c>
      <c r="F40" s="845">
        <f>1+1</f>
        <v>2</v>
      </c>
      <c r="G40" s="845">
        <v>1</v>
      </c>
      <c r="H40" s="845"/>
      <c r="I40" s="845">
        <v>1</v>
      </c>
      <c r="J40" s="845"/>
      <c r="K40" s="845">
        <f>5+2</f>
        <v>7</v>
      </c>
      <c r="L40" s="845"/>
      <c r="M40" s="845"/>
      <c r="N40" s="845"/>
      <c r="O40" s="845"/>
      <c r="P40" s="846">
        <v>7</v>
      </c>
      <c r="Q40" s="836">
        <f>SUM(E40:P40)</f>
        <v>19</v>
      </c>
      <c r="R40" s="847">
        <f>+D40-Q40</f>
        <v>10</v>
      </c>
      <c r="S40" s="837">
        <v>45953</v>
      </c>
      <c r="T40" s="838">
        <v>30</v>
      </c>
      <c r="U40" s="838">
        <f>+R40+T40</f>
        <v>40</v>
      </c>
      <c r="V40" s="253"/>
      <c r="W40" s="253"/>
      <c r="X40" s="253"/>
      <c r="Y40" s="253"/>
      <c r="Z40" s="253"/>
      <c r="AA40" s="316">
        <v>46022</v>
      </c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</row>
    <row r="41" spans="1:38" ht="31.5" customHeight="1" x14ac:dyDescent="0.3">
      <c r="A41" s="297"/>
      <c r="B41" s="956" t="s">
        <v>494</v>
      </c>
      <c r="C41" s="852" t="s">
        <v>428</v>
      </c>
      <c r="D41" s="799">
        <f>'vacaciones 2024'!U29</f>
        <v>9</v>
      </c>
      <c r="E41" s="853"/>
      <c r="F41" s="854"/>
      <c r="G41" s="854"/>
      <c r="H41" s="854">
        <v>1</v>
      </c>
      <c r="I41" s="854"/>
      <c r="J41" s="854"/>
      <c r="K41" s="854"/>
      <c r="L41" s="854"/>
      <c r="M41" s="854"/>
      <c r="N41" s="854"/>
      <c r="O41" s="854"/>
      <c r="P41" s="855"/>
      <c r="Q41" s="799">
        <f>SUM(E41:P41)</f>
        <v>1</v>
      </c>
      <c r="R41" s="799">
        <f>+D41-Q41</f>
        <v>8</v>
      </c>
      <c r="S41" s="809">
        <v>45809</v>
      </c>
      <c r="T41" s="792">
        <v>30</v>
      </c>
      <c r="U41" s="792">
        <f>+R41+T41</f>
        <v>38</v>
      </c>
      <c r="V41" s="254"/>
      <c r="W41" s="254"/>
      <c r="X41" s="254"/>
      <c r="Y41" s="254"/>
      <c r="Z41" s="254"/>
      <c r="AA41" s="254">
        <f>AA40-AA39+1</f>
        <v>10</v>
      </c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</row>
    <row r="42" spans="1:38" ht="31.5" customHeight="1" x14ac:dyDescent="0.3">
      <c r="A42" s="297"/>
      <c r="B42" s="881" t="s">
        <v>446</v>
      </c>
      <c r="C42" s="882"/>
      <c r="D42" s="882"/>
      <c r="E42" s="882"/>
      <c r="F42" s="882"/>
      <c r="G42" s="882"/>
      <c r="H42" s="882"/>
      <c r="I42" s="882"/>
      <c r="J42" s="882"/>
      <c r="K42" s="882"/>
      <c r="L42" s="882"/>
      <c r="M42" s="882"/>
      <c r="N42" s="882"/>
      <c r="O42" s="882"/>
      <c r="P42" s="882"/>
      <c r="Q42" s="882"/>
      <c r="R42" s="882"/>
      <c r="S42" s="922"/>
      <c r="T42" s="882" t="s">
        <v>542</v>
      </c>
      <c r="U42" s="883"/>
    </row>
    <row r="43" spans="1:38" ht="31.5" customHeight="1" x14ac:dyDescent="0.3">
      <c r="A43" s="297">
        <v>30</v>
      </c>
      <c r="B43" s="807" t="s">
        <v>58</v>
      </c>
      <c r="C43" s="856" t="s">
        <v>444</v>
      </c>
      <c r="D43" s="799">
        <f>'vacaciones 2024'!U32</f>
        <v>239</v>
      </c>
      <c r="E43" s="857"/>
      <c r="F43" s="841"/>
      <c r="G43" s="841"/>
      <c r="H43" s="841"/>
      <c r="I43" s="841"/>
      <c r="J43" s="841"/>
      <c r="K43" s="841"/>
      <c r="L43" s="841"/>
      <c r="M43" s="841"/>
      <c r="N43" s="841"/>
      <c r="O43" s="841"/>
      <c r="P43" s="858"/>
      <c r="Q43" s="799">
        <f>SUM(E43:P43)</f>
        <v>0</v>
      </c>
      <c r="R43" s="799">
        <f>+D43-Q43</f>
        <v>239</v>
      </c>
      <c r="S43" s="809">
        <v>45731</v>
      </c>
      <c r="T43" s="792">
        <v>30</v>
      </c>
      <c r="U43" s="792">
        <f>+R43+T43</f>
        <v>269</v>
      </c>
    </row>
    <row r="44" spans="1:38" ht="31.5" customHeight="1" x14ac:dyDescent="0.3">
      <c r="A44" s="297">
        <v>31</v>
      </c>
      <c r="B44" s="807" t="s">
        <v>87</v>
      </c>
      <c r="C44" s="807" t="s">
        <v>429</v>
      </c>
      <c r="D44" s="799">
        <f>'vacaciones 2024'!U33</f>
        <v>42</v>
      </c>
      <c r="E44" s="909">
        <v>2</v>
      </c>
      <c r="F44" s="910">
        <f>5+1</f>
        <v>6</v>
      </c>
      <c r="G44" s="910"/>
      <c r="H44" s="910">
        <f>1+1</f>
        <v>2</v>
      </c>
      <c r="I44" s="910"/>
      <c r="J44" s="910"/>
      <c r="K44" s="910">
        <f>1+1</f>
        <v>2</v>
      </c>
      <c r="L44" s="910">
        <v>1</v>
      </c>
      <c r="M44" s="910"/>
      <c r="N44" s="910"/>
      <c r="O44" s="910">
        <v>2</v>
      </c>
      <c r="P44" s="911"/>
      <c r="Q44" s="799">
        <f>SUM(E44:P44)</f>
        <v>15</v>
      </c>
      <c r="R44" s="799">
        <f>+D44-Q44</f>
        <v>27</v>
      </c>
      <c r="S44" s="809">
        <v>45721</v>
      </c>
      <c r="T44" s="792">
        <v>30</v>
      </c>
      <c r="U44" s="792">
        <f>+R44+T44</f>
        <v>57</v>
      </c>
    </row>
    <row r="45" spans="1:38" ht="31.5" customHeight="1" x14ac:dyDescent="0.3">
      <c r="A45" s="297">
        <v>17</v>
      </c>
      <c r="B45" s="908" t="s">
        <v>156</v>
      </c>
      <c r="C45" s="852" t="s">
        <v>429</v>
      </c>
      <c r="D45" s="799">
        <f>'vacaciones 2023 '!U42</f>
        <v>0</v>
      </c>
      <c r="E45" s="853"/>
      <c r="F45" s="854"/>
      <c r="G45" s="854"/>
      <c r="H45" s="854"/>
      <c r="I45" s="854"/>
      <c r="J45" s="854"/>
      <c r="K45" s="854"/>
      <c r="L45" s="854"/>
      <c r="M45" s="854"/>
      <c r="N45" s="854"/>
      <c r="O45" s="854"/>
      <c r="P45" s="879"/>
      <c r="Q45" s="799">
        <f>SUM(E45:P45)</f>
        <v>0</v>
      </c>
      <c r="R45" s="799">
        <f>+D45-Q45</f>
        <v>0</v>
      </c>
      <c r="S45" s="809"/>
      <c r="T45" s="792"/>
      <c r="U45" s="792">
        <f>+R45+T45</f>
        <v>0</v>
      </c>
      <c r="X45" s="316">
        <v>45964</v>
      </c>
    </row>
    <row r="46" spans="1:38" ht="31.5" customHeight="1" x14ac:dyDescent="0.3">
      <c r="A46" s="297"/>
      <c r="B46" s="881" t="s">
        <v>447</v>
      </c>
      <c r="C46" s="882"/>
      <c r="D46" s="882"/>
      <c r="E46" s="882"/>
      <c r="F46" s="882"/>
      <c r="G46" s="882"/>
      <c r="H46" s="882"/>
      <c r="I46" s="882"/>
      <c r="J46" s="882"/>
      <c r="K46" s="882"/>
      <c r="L46" s="882"/>
      <c r="M46" s="882"/>
      <c r="N46" s="882"/>
      <c r="O46" s="882"/>
      <c r="P46" s="882"/>
      <c r="Q46" s="882"/>
      <c r="R46" s="882"/>
      <c r="S46" s="922"/>
      <c r="T46" s="882"/>
      <c r="U46" s="883"/>
      <c r="X46" s="316">
        <v>45991</v>
      </c>
    </row>
    <row r="47" spans="1:38" ht="31.5" customHeight="1" x14ac:dyDescent="0.3">
      <c r="A47" s="297">
        <v>34</v>
      </c>
      <c r="B47" s="808" t="s">
        <v>50</v>
      </c>
      <c r="C47" s="856" t="s">
        <v>434</v>
      </c>
      <c r="D47" s="799">
        <f>'vacaciones 2024'!U36</f>
        <v>210</v>
      </c>
      <c r="E47" s="917">
        <v>7</v>
      </c>
      <c r="F47" s="918"/>
      <c r="G47" s="918"/>
      <c r="H47" s="918"/>
      <c r="I47" s="918"/>
      <c r="J47" s="918"/>
      <c r="K47" s="918"/>
      <c r="L47" s="918"/>
      <c r="M47" s="918"/>
      <c r="N47" s="918"/>
      <c r="O47" s="918">
        <v>28</v>
      </c>
      <c r="P47" s="920">
        <v>7</v>
      </c>
      <c r="Q47" s="799">
        <f>SUM(E47:P47)</f>
        <v>42</v>
      </c>
      <c r="R47" s="799">
        <f>+D47-Q47</f>
        <v>168</v>
      </c>
      <c r="S47" s="809">
        <v>45812</v>
      </c>
      <c r="T47" s="792">
        <v>30</v>
      </c>
      <c r="U47" s="792">
        <f>+R47+T47</f>
        <v>198</v>
      </c>
      <c r="V47" s="316"/>
      <c r="X47" s="253">
        <f>X46-X45+1</f>
        <v>28</v>
      </c>
    </row>
    <row r="48" spans="1:38" ht="31.5" customHeight="1" x14ac:dyDescent="0.3">
      <c r="A48" s="297">
        <v>33</v>
      </c>
      <c r="B48" s="808" t="s">
        <v>20</v>
      </c>
      <c r="C48" s="806" t="s">
        <v>434</v>
      </c>
      <c r="D48" s="799">
        <f>'vacaciones 2024'!U37</f>
        <v>185</v>
      </c>
      <c r="E48" s="781">
        <v>4</v>
      </c>
      <c r="F48" s="311">
        <v>17</v>
      </c>
      <c r="G48" s="311"/>
      <c r="H48" s="311"/>
      <c r="I48" s="311"/>
      <c r="J48" s="311"/>
      <c r="K48" s="311"/>
      <c r="L48" s="311"/>
      <c r="M48" s="311"/>
      <c r="N48" s="311"/>
      <c r="O48" s="311"/>
      <c r="P48" s="786">
        <v>16</v>
      </c>
      <c r="Q48" s="799">
        <f>SUM(E48:P48)</f>
        <v>37</v>
      </c>
      <c r="R48" s="799">
        <f>+D48-Q48</f>
        <v>148</v>
      </c>
      <c r="S48" s="809">
        <v>45843</v>
      </c>
      <c r="T48" s="792">
        <v>30</v>
      </c>
      <c r="U48" s="792">
        <f>+R48+T48</f>
        <v>178</v>
      </c>
      <c r="V48" s="316"/>
      <c r="W48" s="253">
        <v>2023</v>
      </c>
      <c r="X48" s="253">
        <v>2024</v>
      </c>
      <c r="Y48" s="253">
        <v>2022</v>
      </c>
    </row>
    <row r="49" spans="1:30" ht="31.5" customHeight="1" x14ac:dyDescent="0.3">
      <c r="A49" s="297">
        <v>36</v>
      </c>
      <c r="B49" s="807" t="s">
        <v>53</v>
      </c>
      <c r="C49" s="806" t="s">
        <v>143</v>
      </c>
      <c r="D49" s="799">
        <f>'vacaciones 2024'!U39</f>
        <v>65</v>
      </c>
      <c r="E49" s="781"/>
      <c r="F49" s="311">
        <v>5</v>
      </c>
      <c r="G49" s="311">
        <v>13</v>
      </c>
      <c r="H49" s="311"/>
      <c r="I49" s="311"/>
      <c r="J49" s="311"/>
      <c r="K49" s="311"/>
      <c r="L49" s="311"/>
      <c r="M49" s="311"/>
      <c r="N49" s="311"/>
      <c r="O49" s="311"/>
      <c r="P49" s="786"/>
      <c r="Q49" s="799">
        <f>SUM(E49:P49)</f>
        <v>18</v>
      </c>
      <c r="R49" s="799">
        <f>+D49-Q49</f>
        <v>47</v>
      </c>
      <c r="S49" s="809">
        <v>46012</v>
      </c>
      <c r="T49" s="792">
        <v>30</v>
      </c>
      <c r="U49" s="792">
        <f>+R49+T49</f>
        <v>77</v>
      </c>
      <c r="W49" s="316"/>
    </row>
    <row r="50" spans="1:30" ht="31.5" customHeight="1" x14ac:dyDescent="0.3">
      <c r="A50" s="297"/>
      <c r="B50" s="807" t="s">
        <v>533</v>
      </c>
      <c r="C50" s="852" t="s">
        <v>143</v>
      </c>
      <c r="D50" s="799">
        <f>'vacaciones 2024'!U41</f>
        <v>30</v>
      </c>
      <c r="E50" s="915"/>
      <c r="F50" s="875"/>
      <c r="G50" s="875"/>
      <c r="H50" s="875"/>
      <c r="I50" s="875"/>
      <c r="J50" s="875"/>
      <c r="K50" s="875"/>
      <c r="L50" s="875"/>
      <c r="M50" s="875"/>
      <c r="N50" s="875"/>
      <c r="O50" s="875"/>
      <c r="P50" s="877"/>
      <c r="Q50" s="799">
        <f>SUM(E50:P50)</f>
        <v>0</v>
      </c>
      <c r="R50" s="799">
        <f>+D50-Q50</f>
        <v>30</v>
      </c>
      <c r="S50" s="809">
        <v>45963</v>
      </c>
      <c r="T50" s="792">
        <v>30</v>
      </c>
      <c r="U50" s="792">
        <f>+R50+T50</f>
        <v>60</v>
      </c>
      <c r="W50" s="316"/>
    </row>
    <row r="51" spans="1:30" ht="31.5" customHeight="1" x14ac:dyDescent="0.3">
      <c r="A51" s="297">
        <v>35</v>
      </c>
      <c r="B51" s="808" t="s">
        <v>49</v>
      </c>
      <c r="C51" s="852" t="s">
        <v>143</v>
      </c>
      <c r="D51" s="799">
        <f>'vacaciones 2024'!U38</f>
        <v>35</v>
      </c>
      <c r="E51" s="915"/>
      <c r="F51" s="875">
        <v>20</v>
      </c>
      <c r="G51" s="875">
        <v>7</v>
      </c>
      <c r="H51" s="875">
        <v>1</v>
      </c>
      <c r="I51" s="876"/>
      <c r="J51" s="875"/>
      <c r="K51" s="875"/>
      <c r="L51" s="875"/>
      <c r="M51" s="875"/>
      <c r="N51" s="875"/>
      <c r="O51" s="875">
        <v>7</v>
      </c>
      <c r="P51" s="877"/>
      <c r="Q51" s="799">
        <f>SUM(E51:P51)</f>
        <v>35</v>
      </c>
      <c r="R51" s="799">
        <f>+D51-Q51</f>
        <v>0</v>
      </c>
      <c r="S51" s="809">
        <v>45951</v>
      </c>
      <c r="T51" s="792">
        <v>30</v>
      </c>
      <c r="U51" s="792">
        <f>+R51+T51</f>
        <v>30</v>
      </c>
      <c r="W51" s="253">
        <v>30</v>
      </c>
      <c r="X51" s="253">
        <v>30</v>
      </c>
      <c r="Y51" s="253">
        <v>15</v>
      </c>
    </row>
    <row r="52" spans="1:30" ht="31.5" customHeight="1" x14ac:dyDescent="0.3">
      <c r="A52" s="297"/>
      <c r="B52" s="881" t="s">
        <v>448</v>
      </c>
      <c r="C52" s="882"/>
      <c r="D52" s="882"/>
      <c r="E52" s="882"/>
      <c r="F52" s="882"/>
      <c r="G52" s="882"/>
      <c r="H52" s="882"/>
      <c r="I52" s="882"/>
      <c r="J52" s="882"/>
      <c r="K52" s="882"/>
      <c r="L52" s="882"/>
      <c r="M52" s="882"/>
      <c r="N52" s="882"/>
      <c r="O52" s="882"/>
      <c r="P52" s="882"/>
      <c r="Q52" s="882"/>
      <c r="R52" s="882"/>
      <c r="S52" s="922"/>
      <c r="T52" s="882"/>
      <c r="U52" s="883"/>
    </row>
    <row r="53" spans="1:30" ht="31.5" customHeight="1" x14ac:dyDescent="0.3">
      <c r="A53" s="297">
        <v>37</v>
      </c>
      <c r="B53" s="808" t="s">
        <v>56</v>
      </c>
      <c r="C53" s="860" t="s">
        <v>438</v>
      </c>
      <c r="D53" s="799">
        <f>'vacaciones 2024'!U43</f>
        <v>66</v>
      </c>
      <c r="E53" s="861"/>
      <c r="F53" s="862"/>
      <c r="G53" s="899"/>
      <c r="H53" s="862"/>
      <c r="I53" s="862"/>
      <c r="J53" s="862">
        <f>3+3</f>
        <v>6</v>
      </c>
      <c r="K53" s="862"/>
      <c r="L53" s="862"/>
      <c r="M53" s="862"/>
      <c r="N53" s="862"/>
      <c r="O53" s="862">
        <v>15</v>
      </c>
      <c r="P53" s="863"/>
      <c r="Q53" s="799">
        <f t="shared" ref="Q53:Q54" si="3">SUM(E53:P53)</f>
        <v>21</v>
      </c>
      <c r="R53" s="799">
        <f>+D53-Q53</f>
        <v>45</v>
      </c>
      <c r="S53" s="809">
        <v>45709</v>
      </c>
      <c r="T53" s="792">
        <v>30</v>
      </c>
      <c r="U53" s="792">
        <f>+R53+T53</f>
        <v>75</v>
      </c>
    </row>
    <row r="54" spans="1:30" ht="31.5" customHeight="1" x14ac:dyDescent="0.3">
      <c r="A54" s="297">
        <v>37</v>
      </c>
      <c r="B54" s="808" t="s">
        <v>495</v>
      </c>
      <c r="C54" s="860" t="s">
        <v>438</v>
      </c>
      <c r="D54" s="799">
        <f>'vacaciones 2024'!U44</f>
        <v>55</v>
      </c>
      <c r="E54" s="861"/>
      <c r="F54" s="862">
        <v>8</v>
      </c>
      <c r="G54" s="899"/>
      <c r="H54" s="862"/>
      <c r="I54" s="862"/>
      <c r="J54" s="862"/>
      <c r="K54" s="862"/>
      <c r="L54" s="862"/>
      <c r="M54" s="862"/>
      <c r="N54" s="862">
        <v>1</v>
      </c>
      <c r="O54" s="862"/>
      <c r="P54" s="863"/>
      <c r="Q54" s="799">
        <f t="shared" si="3"/>
        <v>9</v>
      </c>
      <c r="R54" s="799">
        <f>+D54-Q54</f>
        <v>46</v>
      </c>
      <c r="S54" s="809">
        <v>45814</v>
      </c>
      <c r="T54" s="792">
        <v>30</v>
      </c>
      <c r="U54" s="792">
        <f>+R54+T54</f>
        <v>76</v>
      </c>
    </row>
    <row r="55" spans="1:30" ht="31.5" customHeight="1" x14ac:dyDescent="0.3">
      <c r="A55" s="297"/>
      <c r="B55" s="881" t="s">
        <v>452</v>
      </c>
      <c r="C55" s="882"/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922"/>
      <c r="T55" s="882"/>
      <c r="U55" s="883"/>
      <c r="V55" s="316"/>
      <c r="W55" s="253">
        <v>18</v>
      </c>
      <c r="X55" s="253">
        <v>2021</v>
      </c>
    </row>
    <row r="56" spans="1:30" ht="31.5" customHeight="1" x14ac:dyDescent="0.3">
      <c r="A56" s="297">
        <v>40</v>
      </c>
      <c r="B56" s="808" t="s">
        <v>61</v>
      </c>
      <c r="C56" s="806" t="s">
        <v>563</v>
      </c>
      <c r="D56" s="799">
        <f>'vacaciones 2024'!U46</f>
        <v>78</v>
      </c>
      <c r="E56" s="781"/>
      <c r="F56" s="311">
        <v>21</v>
      </c>
      <c r="G56" s="311"/>
      <c r="H56" s="311"/>
      <c r="I56" s="311"/>
      <c r="J56" s="311"/>
      <c r="K56" s="311"/>
      <c r="L56" s="311"/>
      <c r="M56" s="311"/>
      <c r="N56" s="311"/>
      <c r="O56" s="311"/>
      <c r="P56" s="786"/>
      <c r="Q56" s="799">
        <f t="shared" ref="Q56:Q61" si="4">SUM(E56:P56)</f>
        <v>21</v>
      </c>
      <c r="R56" s="799">
        <f t="shared" ref="R56:R61" si="5">+D56-Q56</f>
        <v>57</v>
      </c>
      <c r="S56" s="809">
        <v>45891</v>
      </c>
      <c r="T56" s="792">
        <v>30</v>
      </c>
      <c r="U56" s="792">
        <f t="shared" ref="U56:U61" si="6">+R56+T56</f>
        <v>87</v>
      </c>
      <c r="V56" s="316"/>
      <c r="W56" s="253">
        <v>60</v>
      </c>
      <c r="X56" s="253" t="s">
        <v>551</v>
      </c>
    </row>
    <row r="57" spans="1:30" ht="31.5" customHeight="1" x14ac:dyDescent="0.3">
      <c r="A57" s="297">
        <v>38</v>
      </c>
      <c r="B57" s="808" t="s">
        <v>59</v>
      </c>
      <c r="C57" s="806" t="s">
        <v>440</v>
      </c>
      <c r="D57" s="799">
        <f>'vacaciones 2024'!U47</f>
        <v>39</v>
      </c>
      <c r="E57" s="781">
        <v>4</v>
      </c>
      <c r="F57" s="311">
        <v>21</v>
      </c>
      <c r="G57" s="311"/>
      <c r="H57" s="311"/>
      <c r="I57" s="311">
        <f>1+1</f>
        <v>2</v>
      </c>
      <c r="J57" s="311"/>
      <c r="K57" s="930"/>
      <c r="L57" s="311"/>
      <c r="M57" s="311"/>
      <c r="N57" s="311">
        <v>1</v>
      </c>
      <c r="O57" s="311"/>
      <c r="P57" s="786">
        <v>3</v>
      </c>
      <c r="Q57" s="799">
        <f t="shared" si="4"/>
        <v>31</v>
      </c>
      <c r="R57" s="799">
        <f t="shared" si="5"/>
        <v>8</v>
      </c>
      <c r="S57" s="809">
        <v>45981</v>
      </c>
      <c r="T57" s="792">
        <v>30</v>
      </c>
      <c r="U57" s="792">
        <f t="shared" si="6"/>
        <v>38</v>
      </c>
      <c r="V57" s="316"/>
      <c r="W57" s="253">
        <v>5</v>
      </c>
      <c r="X57" s="253">
        <v>2022</v>
      </c>
      <c r="AD57" s="316">
        <v>46020</v>
      </c>
    </row>
    <row r="58" spans="1:30" ht="31.5" customHeight="1" x14ac:dyDescent="0.3">
      <c r="A58" s="297"/>
      <c r="B58" s="808" t="s">
        <v>531</v>
      </c>
      <c r="C58" s="806" t="s">
        <v>437</v>
      </c>
      <c r="D58" s="799">
        <f>'vacaciones 2024'!U48</f>
        <v>26</v>
      </c>
      <c r="E58" s="781">
        <v>14</v>
      </c>
      <c r="F58" s="311">
        <v>21</v>
      </c>
      <c r="G58" s="311"/>
      <c r="H58" s="311"/>
      <c r="I58" s="311"/>
      <c r="J58" s="311"/>
      <c r="K58" s="311">
        <v>5</v>
      </c>
      <c r="L58" s="311"/>
      <c r="M58" s="311"/>
      <c r="N58" s="311"/>
      <c r="O58" s="311"/>
      <c r="P58" s="786"/>
      <c r="Q58" s="799">
        <f t="shared" si="4"/>
        <v>40</v>
      </c>
      <c r="R58" s="799">
        <f t="shared" si="5"/>
        <v>-14</v>
      </c>
      <c r="S58" s="809">
        <v>45901</v>
      </c>
      <c r="T58" s="792">
        <v>30</v>
      </c>
      <c r="U58" s="792">
        <f t="shared" si="6"/>
        <v>16</v>
      </c>
      <c r="V58" s="316"/>
      <c r="W58" s="253">
        <v>30</v>
      </c>
      <c r="X58" s="253">
        <v>2023</v>
      </c>
      <c r="AD58" s="316">
        <v>46022</v>
      </c>
    </row>
    <row r="59" spans="1:30" ht="31.5" customHeight="1" x14ac:dyDescent="0.3">
      <c r="A59" s="297"/>
      <c r="B59" s="808" t="s">
        <v>556</v>
      </c>
      <c r="C59" s="806" t="s">
        <v>437</v>
      </c>
      <c r="D59" s="799"/>
      <c r="E59" s="781"/>
      <c r="F59" s="781"/>
      <c r="G59" s="781"/>
      <c r="H59" s="781"/>
      <c r="I59" s="781"/>
      <c r="J59" s="781"/>
      <c r="K59" s="781"/>
      <c r="L59" s="781"/>
      <c r="M59" s="781"/>
      <c r="N59" s="781"/>
      <c r="O59" s="781"/>
      <c r="P59" s="786"/>
      <c r="Q59" s="799">
        <f t="shared" si="4"/>
        <v>0</v>
      </c>
      <c r="R59" s="799">
        <f t="shared" si="5"/>
        <v>0</v>
      </c>
      <c r="S59" s="809">
        <v>46122</v>
      </c>
      <c r="T59" s="792"/>
      <c r="U59" s="792">
        <f t="shared" si="6"/>
        <v>0</v>
      </c>
      <c r="V59" s="316"/>
      <c r="AD59" s="253">
        <f>AD58-AD57+1</f>
        <v>3</v>
      </c>
    </row>
    <row r="60" spans="1:30" ht="31.5" customHeight="1" x14ac:dyDescent="0.3">
      <c r="A60" s="297"/>
      <c r="B60" s="808" t="s">
        <v>555</v>
      </c>
      <c r="C60" s="806" t="s">
        <v>562</v>
      </c>
      <c r="D60" s="799"/>
      <c r="E60" s="781"/>
      <c r="F60" s="781"/>
      <c r="G60" s="781"/>
      <c r="H60" s="781"/>
      <c r="I60" s="781"/>
      <c r="J60" s="781"/>
      <c r="K60" s="781"/>
      <c r="L60" s="781"/>
      <c r="M60" s="781"/>
      <c r="N60" s="781"/>
      <c r="O60" s="781"/>
      <c r="P60" s="786"/>
      <c r="Q60" s="799">
        <f t="shared" si="4"/>
        <v>0</v>
      </c>
      <c r="R60" s="799">
        <f t="shared" si="5"/>
        <v>0</v>
      </c>
      <c r="S60" s="809">
        <v>46098</v>
      </c>
      <c r="T60" s="792"/>
      <c r="U60" s="792">
        <f t="shared" si="6"/>
        <v>0</v>
      </c>
      <c r="V60" s="316"/>
    </row>
    <row r="61" spans="1:30" ht="31.5" customHeight="1" x14ac:dyDescent="0.3">
      <c r="A61" s="297">
        <v>39</v>
      </c>
      <c r="B61" s="808" t="s">
        <v>441</v>
      </c>
      <c r="C61" s="806" t="s">
        <v>437</v>
      </c>
      <c r="D61" s="799">
        <f>'vacaciones 2024'!U50</f>
        <v>59</v>
      </c>
      <c r="E61" s="781"/>
      <c r="G61" s="311">
        <v>11</v>
      </c>
      <c r="H61" s="311">
        <v>30</v>
      </c>
      <c r="I61" s="311">
        <v>31</v>
      </c>
      <c r="J61" s="311">
        <v>17</v>
      </c>
      <c r="K61" s="819"/>
      <c r="L61" s="311"/>
      <c r="M61" s="311"/>
      <c r="N61" s="311"/>
      <c r="O61" s="311"/>
      <c r="P61" s="786"/>
      <c r="Q61" s="799">
        <f t="shared" si="4"/>
        <v>89</v>
      </c>
      <c r="R61" s="799">
        <f t="shared" si="5"/>
        <v>-30</v>
      </c>
      <c r="S61" s="809">
        <v>45658</v>
      </c>
      <c r="T61" s="792">
        <v>30</v>
      </c>
      <c r="U61" s="792">
        <f t="shared" si="6"/>
        <v>0</v>
      </c>
      <c r="V61" s="316"/>
      <c r="W61" s="253">
        <v>12</v>
      </c>
      <c r="X61" s="253">
        <v>2023</v>
      </c>
    </row>
    <row r="62" spans="1:30" ht="31.5" customHeight="1" x14ac:dyDescent="0.3">
      <c r="A62" s="297"/>
      <c r="B62" s="881" t="s">
        <v>453</v>
      </c>
      <c r="C62" s="882"/>
      <c r="D62" s="882"/>
      <c r="E62" s="882"/>
      <c r="F62" s="882"/>
      <c r="G62" s="882"/>
      <c r="H62" s="882"/>
      <c r="I62" s="882"/>
      <c r="J62" s="882"/>
      <c r="K62" s="882"/>
      <c r="L62" s="882"/>
      <c r="M62" s="882"/>
      <c r="N62" s="882"/>
      <c r="O62" s="882"/>
      <c r="P62" s="882"/>
      <c r="Q62" s="882"/>
      <c r="R62" s="882"/>
      <c r="S62" s="922"/>
      <c r="T62" s="882"/>
      <c r="U62" s="883"/>
    </row>
    <row r="63" spans="1:30" ht="31.5" customHeight="1" x14ac:dyDescent="0.3">
      <c r="A63" s="297">
        <v>41</v>
      </c>
      <c r="B63" s="808" t="s">
        <v>97</v>
      </c>
      <c r="C63" s="806" t="s">
        <v>439</v>
      </c>
      <c r="D63" s="799">
        <f>'vacaciones 2024'!U52</f>
        <v>60</v>
      </c>
      <c r="E63" s="880">
        <v>8</v>
      </c>
      <c r="F63" s="862">
        <v>7</v>
      </c>
      <c r="G63" s="862"/>
      <c r="H63" s="862"/>
      <c r="I63" s="862"/>
      <c r="J63" s="862"/>
      <c r="K63" s="862"/>
      <c r="L63" s="862">
        <v>11</v>
      </c>
      <c r="M63" s="862"/>
      <c r="N63" s="862"/>
      <c r="O63" s="862"/>
      <c r="P63" s="863"/>
      <c r="Q63" s="799">
        <f>SUM(E63:P63)</f>
        <v>26</v>
      </c>
      <c r="R63" s="799">
        <f>+D63-Q63</f>
        <v>34</v>
      </c>
      <c r="S63" s="809">
        <v>45844</v>
      </c>
      <c r="T63" s="792">
        <v>30</v>
      </c>
      <c r="U63" s="792">
        <f>+R63+T63</f>
        <v>64</v>
      </c>
    </row>
    <row r="64" spans="1:30" x14ac:dyDescent="0.3">
      <c r="A64" s="297"/>
      <c r="D64" s="793"/>
      <c r="Q64" s="796"/>
      <c r="R64" s="796"/>
      <c r="T64" s="793"/>
      <c r="U64" s="793"/>
    </row>
    <row r="65" spans="1:19" x14ac:dyDescent="0.3">
      <c r="A65" s="297"/>
    </row>
    <row r="66" spans="1:19" x14ac:dyDescent="0.3">
      <c r="A66" s="297"/>
    </row>
    <row r="67" spans="1:19" s="794" customFormat="1" x14ac:dyDescent="0.3">
      <c r="A67" s="297"/>
      <c r="B67" s="253"/>
      <c r="C67" s="253"/>
      <c r="E67" s="253"/>
      <c r="F67" s="253"/>
      <c r="G67" s="253"/>
      <c r="H67" s="253"/>
      <c r="I67" s="253"/>
      <c r="J67" s="253"/>
      <c r="K67" s="253"/>
      <c r="L67" s="253"/>
      <c r="M67" s="316"/>
      <c r="N67" s="253"/>
      <c r="O67" s="253"/>
      <c r="P67" s="253"/>
      <c r="Q67" s="797"/>
      <c r="R67" s="797"/>
      <c r="S67" s="793"/>
    </row>
    <row r="68" spans="1:19" s="794" customFormat="1" x14ac:dyDescent="0.3">
      <c r="A68" s="252"/>
      <c r="B68" s="253"/>
      <c r="C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797"/>
      <c r="R68" s="797"/>
      <c r="S68" s="815"/>
    </row>
    <row r="70" spans="1:19" s="794" customFormat="1" x14ac:dyDescent="0.3">
      <c r="A70" s="252"/>
      <c r="B70" s="253"/>
      <c r="C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797"/>
      <c r="R70" s="797"/>
      <c r="S70" s="815"/>
    </row>
  </sheetData>
  <sheetProtection selectLockedCells="1" selectUnlockedCells="1"/>
  <sortState ref="A56:AL61">
    <sortCondition descending="1" ref="U56:U61"/>
  </sortState>
  <mergeCells count="1">
    <mergeCell ref="B1:U1"/>
  </mergeCells>
  <printOptions horizontalCentered="1"/>
  <pageMargins left="0.19685039370078741" right="0.19685039370078741" top="0.59055118110236227" bottom="0.39370078740157483" header="0.31496062992125984" footer="0"/>
  <pageSetup paperSize="9" scale="26" firstPageNumber="0" orientation="portrait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W59"/>
  <sheetViews>
    <sheetView showGridLines="0" showZeros="0" view="pageBreakPreview" zoomScale="71" zoomScaleNormal="70" zoomScaleSheetLayoutView="71" workbookViewId="0">
      <pane xSplit="3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K9" sqref="K9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3" width="57.7109375" style="253" customWidth="1"/>
    <col min="4" max="4" width="15.42578125" style="794" customWidth="1"/>
    <col min="5" max="16" width="7.42578125" style="253" customWidth="1" outlineLevel="1"/>
    <col min="17" max="17" width="10.85546875" style="797" customWidth="1"/>
    <col min="18" max="18" width="17" style="797" customWidth="1"/>
    <col min="19" max="19" width="21.42578125" style="793" customWidth="1"/>
    <col min="20" max="20" width="15.42578125" style="794" customWidth="1"/>
    <col min="21" max="21" width="16.5703125" style="794" customWidth="1"/>
    <col min="22" max="22" width="23.85546875" style="253" customWidth="1"/>
    <col min="23" max="23" width="14.85546875" style="253" customWidth="1"/>
    <col min="24" max="24" width="14.85546875" style="253" bestFit="1" customWidth="1"/>
    <col min="25" max="16384" width="8.85546875" style="253"/>
  </cols>
  <sheetData>
    <row r="1" spans="1:23" s="254" customFormat="1" ht="66.75" customHeight="1" x14ac:dyDescent="0.3">
      <c r="A1" s="798"/>
      <c r="B1" s="1185" t="s">
        <v>180</v>
      </c>
      <c r="C1" s="1186"/>
      <c r="D1" s="1186"/>
      <c r="E1" s="1186"/>
      <c r="F1" s="1186"/>
      <c r="G1" s="1186"/>
      <c r="H1" s="1186"/>
      <c r="I1" s="1186"/>
      <c r="J1" s="1186"/>
      <c r="K1" s="1186"/>
      <c r="L1" s="1186"/>
      <c r="M1" s="1186"/>
      <c r="N1" s="1186"/>
      <c r="O1" s="1186"/>
      <c r="P1" s="1186"/>
      <c r="Q1" s="1186"/>
      <c r="R1" s="1186"/>
      <c r="S1" s="1186"/>
      <c r="T1" s="1186"/>
      <c r="U1" s="1187"/>
    </row>
    <row r="2" spans="1:23" s="254" customFormat="1" ht="78" customHeight="1" x14ac:dyDescent="0.3">
      <c r="A2" s="851"/>
      <c r="B2" s="940" t="s">
        <v>68</v>
      </c>
      <c r="C2" s="940"/>
      <c r="D2" s="940" t="s">
        <v>534</v>
      </c>
      <c r="E2" s="800" t="s">
        <v>4</v>
      </c>
      <c r="F2" s="801" t="s">
        <v>5</v>
      </c>
      <c r="G2" s="801" t="s">
        <v>6</v>
      </c>
      <c r="H2" s="801" t="s">
        <v>7</v>
      </c>
      <c r="I2" s="801" t="s">
        <v>8</v>
      </c>
      <c r="J2" s="801" t="s">
        <v>9</v>
      </c>
      <c r="K2" s="801" t="s">
        <v>10</v>
      </c>
      <c r="L2" s="801" t="s">
        <v>11</v>
      </c>
      <c r="M2" s="801" t="s">
        <v>368</v>
      </c>
      <c r="N2" s="801" t="s">
        <v>13</v>
      </c>
      <c r="O2" s="801" t="s">
        <v>14</v>
      </c>
      <c r="P2" s="802" t="s">
        <v>15</v>
      </c>
      <c r="Q2" s="803" t="s">
        <v>3</v>
      </c>
      <c r="R2" s="803" t="s">
        <v>535</v>
      </c>
      <c r="S2" s="790" t="s">
        <v>536</v>
      </c>
      <c r="T2" s="790" t="s">
        <v>537</v>
      </c>
      <c r="U2" s="791" t="s">
        <v>538</v>
      </c>
    </row>
    <row r="3" spans="1:23" ht="31.5" customHeight="1" x14ac:dyDescent="0.3">
      <c r="A3" s="297"/>
      <c r="B3" s="881" t="s">
        <v>451</v>
      </c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922"/>
      <c r="T3" s="882"/>
      <c r="U3" s="883"/>
    </row>
    <row r="4" spans="1:23" ht="31.5" customHeight="1" x14ac:dyDescent="0.3">
      <c r="A4" s="297">
        <v>2</v>
      </c>
      <c r="B4" s="843" t="s">
        <v>57</v>
      </c>
      <c r="C4" s="806" t="s">
        <v>432</v>
      </c>
      <c r="D4" s="847">
        <f>'vacaciones 2023 '!U4</f>
        <v>77</v>
      </c>
      <c r="E4" s="780"/>
      <c r="F4" s="303">
        <v>1</v>
      </c>
      <c r="G4" s="303"/>
      <c r="H4" s="303"/>
      <c r="I4" s="303"/>
      <c r="J4" s="303"/>
      <c r="K4" s="303"/>
      <c r="L4" s="303">
        <v>6</v>
      </c>
      <c r="M4" s="303">
        <v>3</v>
      </c>
      <c r="N4" s="303"/>
      <c r="O4" s="303">
        <v>1</v>
      </c>
      <c r="P4" s="785"/>
      <c r="Q4" s="847">
        <f>SUM(E4:P4)</f>
        <v>11</v>
      </c>
      <c r="R4" s="847">
        <f>+D4-Q4</f>
        <v>66</v>
      </c>
      <c r="S4" s="848">
        <v>45370</v>
      </c>
      <c r="T4" s="849">
        <v>30</v>
      </c>
      <c r="U4" s="849">
        <f>+R4+T4</f>
        <v>96</v>
      </c>
    </row>
    <row r="5" spans="1:23" ht="31.5" customHeight="1" x14ac:dyDescent="0.3">
      <c r="A5" s="297">
        <v>3</v>
      </c>
      <c r="B5" s="808" t="s">
        <v>108</v>
      </c>
      <c r="C5" s="806" t="s">
        <v>443</v>
      </c>
      <c r="D5" s="847">
        <f>'vacaciones 2023 '!U5</f>
        <v>75</v>
      </c>
      <c r="E5" s="781">
        <v>10</v>
      </c>
      <c r="F5" s="311">
        <v>18</v>
      </c>
      <c r="G5" s="311"/>
      <c r="H5" s="311"/>
      <c r="I5" s="311"/>
      <c r="J5" s="311">
        <v>1</v>
      </c>
      <c r="K5" s="311">
        <v>14</v>
      </c>
      <c r="L5" s="311">
        <v>25</v>
      </c>
      <c r="M5" s="311"/>
      <c r="N5" s="311"/>
      <c r="O5" s="311"/>
      <c r="P5" s="786"/>
      <c r="Q5" s="799">
        <f>SUM(E5:P5)</f>
        <v>68</v>
      </c>
      <c r="R5" s="799">
        <f>+D5-Q5</f>
        <v>7</v>
      </c>
      <c r="S5" s="848">
        <v>45585</v>
      </c>
      <c r="T5" s="792">
        <v>30</v>
      </c>
      <c r="U5" s="792">
        <f>+R5+T5</f>
        <v>37</v>
      </c>
      <c r="W5" s="938"/>
    </row>
    <row r="6" spans="1:23" ht="31.5" customHeight="1" x14ac:dyDescent="0.3">
      <c r="A6" s="297">
        <v>1</v>
      </c>
      <c r="B6" s="807" t="s">
        <v>157</v>
      </c>
      <c r="C6" s="852" t="s">
        <v>442</v>
      </c>
      <c r="D6" s="847">
        <f>'vacaciones 2023 '!U6</f>
        <v>0</v>
      </c>
      <c r="E6" s="853"/>
      <c r="F6" s="854"/>
      <c r="G6" s="854"/>
      <c r="H6" s="854"/>
      <c r="I6" s="854"/>
      <c r="J6" s="854"/>
      <c r="K6" s="854"/>
      <c r="L6" s="854"/>
      <c r="M6" s="854"/>
      <c r="N6" s="854"/>
      <c r="O6" s="854"/>
      <c r="P6" s="855"/>
      <c r="Q6" s="799">
        <f>SUM(E6:P6)</f>
        <v>0</v>
      </c>
      <c r="R6" s="799">
        <f>+D6-Q6</f>
        <v>0</v>
      </c>
      <c r="S6" s="848"/>
      <c r="T6" s="792"/>
      <c r="U6" s="792">
        <f>+R6+T6</f>
        <v>0</v>
      </c>
      <c r="W6" s="316"/>
    </row>
    <row r="7" spans="1:23" ht="31.5" customHeight="1" x14ac:dyDescent="0.3">
      <c r="A7" s="297"/>
      <c r="B7" s="881" t="s">
        <v>450</v>
      </c>
      <c r="C7" s="882"/>
      <c r="D7" s="882"/>
      <c r="E7" s="882"/>
      <c r="F7" s="882"/>
      <c r="G7" s="882"/>
      <c r="H7" s="882"/>
      <c r="I7" s="882"/>
      <c r="J7" s="882"/>
      <c r="K7" s="882"/>
      <c r="L7" s="882"/>
      <c r="M7" s="882"/>
      <c r="N7" s="882"/>
      <c r="O7" s="882"/>
      <c r="P7" s="882"/>
      <c r="Q7" s="882"/>
      <c r="R7" s="882"/>
      <c r="S7" s="922"/>
      <c r="T7" s="882"/>
      <c r="U7" s="883"/>
      <c r="W7" s="941"/>
    </row>
    <row r="8" spans="1:23" ht="31.5" customHeight="1" x14ac:dyDescent="0.3">
      <c r="A8" s="297">
        <v>7</v>
      </c>
      <c r="B8" s="878" t="s">
        <v>109</v>
      </c>
      <c r="C8" s="839" t="s">
        <v>436</v>
      </c>
      <c r="D8" s="847">
        <f>'vacaciones 2023 '!U8</f>
        <v>83</v>
      </c>
      <c r="E8" s="840"/>
      <c r="F8" s="841"/>
      <c r="G8" s="841"/>
      <c r="H8" s="841"/>
      <c r="I8" s="841"/>
      <c r="J8" s="841"/>
      <c r="K8" s="841"/>
      <c r="L8" s="841"/>
      <c r="M8" s="841"/>
      <c r="N8" s="841"/>
      <c r="O8" s="841"/>
      <c r="P8" s="842"/>
      <c r="Q8" s="799">
        <f>SUM(E8:P8)</f>
        <v>0</v>
      </c>
      <c r="R8" s="799">
        <f>+D8-Q8</f>
        <v>83</v>
      </c>
      <c r="S8" s="809">
        <v>45581</v>
      </c>
      <c r="T8" s="792">
        <v>30</v>
      </c>
      <c r="U8" s="792">
        <f>+R8+T8</f>
        <v>113</v>
      </c>
    </row>
    <row r="9" spans="1:23" ht="31.5" customHeight="1" x14ac:dyDescent="0.3">
      <c r="A9" s="297"/>
      <c r="B9" s="873" t="s">
        <v>151</v>
      </c>
      <c r="C9" s="806" t="s">
        <v>435</v>
      </c>
      <c r="D9" s="847">
        <f>'vacaciones 2023 '!U9</f>
        <v>10</v>
      </c>
      <c r="E9" s="915"/>
      <c r="F9" s="875"/>
      <c r="G9" s="875"/>
      <c r="H9" s="875"/>
      <c r="I9" s="875"/>
      <c r="J9" s="875">
        <v>3</v>
      </c>
      <c r="K9" s="875">
        <v>11</v>
      </c>
      <c r="L9" s="875"/>
      <c r="M9" s="875"/>
      <c r="N9" s="875"/>
      <c r="O9" s="875"/>
      <c r="P9" s="877">
        <f>23+8</f>
        <v>31</v>
      </c>
      <c r="Q9" s="836">
        <f>SUM(E9:P9)</f>
        <v>45</v>
      </c>
      <c r="R9" s="836">
        <f>+D9-Q9</f>
        <v>-35</v>
      </c>
      <c r="S9" s="837">
        <v>45372</v>
      </c>
      <c r="T9" s="838">
        <v>30</v>
      </c>
      <c r="U9" s="838">
        <f>+R9+T9</f>
        <v>-5</v>
      </c>
      <c r="V9" s="316"/>
    </row>
    <row r="10" spans="1:23" ht="31.5" customHeight="1" x14ac:dyDescent="0.3">
      <c r="A10" s="297"/>
      <c r="B10" s="881" t="s">
        <v>449</v>
      </c>
      <c r="C10" s="882"/>
      <c r="D10" s="882"/>
      <c r="E10" s="882"/>
      <c r="F10" s="882"/>
      <c r="G10" s="882"/>
      <c r="H10" s="882"/>
      <c r="I10" s="882"/>
      <c r="J10" s="882"/>
      <c r="K10" s="882"/>
      <c r="L10" s="882"/>
      <c r="M10" s="882"/>
      <c r="N10" s="882"/>
      <c r="O10" s="882"/>
      <c r="P10" s="882"/>
      <c r="Q10" s="882"/>
      <c r="R10" s="882"/>
      <c r="S10" s="922"/>
      <c r="T10" s="882"/>
      <c r="U10" s="883"/>
      <c r="V10" s="316"/>
    </row>
    <row r="11" spans="1:23" ht="31.5" customHeight="1" x14ac:dyDescent="0.3">
      <c r="A11" s="297">
        <v>5</v>
      </c>
      <c r="B11" s="808" t="s">
        <v>54</v>
      </c>
      <c r="C11" s="839" t="s">
        <v>435</v>
      </c>
      <c r="D11" s="799">
        <f>'vacaciones 2023 '!U11</f>
        <v>225</v>
      </c>
      <c r="E11" s="927"/>
      <c r="F11" s="841"/>
      <c r="G11" s="928"/>
      <c r="H11" s="928"/>
      <c r="I11" s="928"/>
      <c r="J11" s="928"/>
      <c r="K11" s="928">
        <v>15</v>
      </c>
      <c r="L11" s="928"/>
      <c r="M11" s="928"/>
      <c r="N11" s="928"/>
      <c r="O11" s="928"/>
      <c r="P11" s="929"/>
      <c r="Q11" s="799">
        <f>SUM(E11:O11)</f>
        <v>15</v>
      </c>
      <c r="R11" s="799">
        <f t="shared" ref="R11:R25" si="0">+D11-Q11</f>
        <v>210</v>
      </c>
      <c r="S11" s="809">
        <v>45475</v>
      </c>
      <c r="T11" s="792">
        <v>30</v>
      </c>
      <c r="U11" s="792">
        <f t="shared" ref="U11:U25" si="1">+R11+T11</f>
        <v>240</v>
      </c>
    </row>
    <row r="12" spans="1:23" ht="31.5" customHeight="1" x14ac:dyDescent="0.3">
      <c r="A12" s="297">
        <v>4</v>
      </c>
      <c r="B12" s="873" t="s">
        <v>150</v>
      </c>
      <c r="C12" s="806" t="s">
        <v>435</v>
      </c>
      <c r="D12" s="799">
        <f>'vacaciones 2023 '!U12</f>
        <v>93</v>
      </c>
      <c r="E12" s="840"/>
      <c r="F12" s="841">
        <v>4</v>
      </c>
      <c r="G12" s="841"/>
      <c r="H12" s="841"/>
      <c r="I12" s="841">
        <v>4</v>
      </c>
      <c r="J12" s="841"/>
      <c r="K12" s="841"/>
      <c r="L12" s="841"/>
      <c r="M12" s="841"/>
      <c r="N12" s="841"/>
      <c r="O12" s="841"/>
      <c r="P12" s="842"/>
      <c r="Q12" s="799">
        <f t="shared" ref="Q12:Q25" si="2">SUM(E12:P12)</f>
        <v>8</v>
      </c>
      <c r="R12" s="799">
        <f>+D12-Q12</f>
        <v>85</v>
      </c>
      <c r="S12" s="809">
        <v>45411</v>
      </c>
      <c r="T12" s="792">
        <v>30</v>
      </c>
      <c r="U12" s="792">
        <f t="shared" si="1"/>
        <v>115</v>
      </c>
    </row>
    <row r="13" spans="1:23" ht="31.5" customHeight="1" x14ac:dyDescent="0.3">
      <c r="A13" s="297">
        <v>19</v>
      </c>
      <c r="B13" s="873" t="s">
        <v>51</v>
      </c>
      <c r="C13" s="839" t="s">
        <v>431</v>
      </c>
      <c r="D13" s="799">
        <f>'vacaciones 2023 '!U13</f>
        <v>54</v>
      </c>
      <c r="E13" s="925"/>
      <c r="F13" s="910">
        <v>14</v>
      </c>
      <c r="G13" s="910"/>
      <c r="H13" s="910"/>
      <c r="I13" s="910"/>
      <c r="J13" s="931"/>
      <c r="K13" s="910"/>
      <c r="L13" s="910"/>
      <c r="M13" s="910"/>
      <c r="N13" s="910"/>
      <c r="O13" s="910"/>
      <c r="P13" s="911"/>
      <c r="Q13" s="799">
        <f t="shared" si="2"/>
        <v>14</v>
      </c>
      <c r="R13" s="799">
        <f t="shared" si="0"/>
        <v>40</v>
      </c>
      <c r="S13" s="809">
        <v>45509</v>
      </c>
      <c r="T13" s="792">
        <v>30</v>
      </c>
      <c r="U13" s="792">
        <f t="shared" si="1"/>
        <v>70</v>
      </c>
    </row>
    <row r="14" spans="1:23" ht="31.5" customHeight="1" x14ac:dyDescent="0.3">
      <c r="A14" s="297">
        <v>24</v>
      </c>
      <c r="B14" s="866" t="s">
        <v>152</v>
      </c>
      <c r="C14" s="867" t="s">
        <v>435</v>
      </c>
      <c r="D14" s="799">
        <f>'vacaciones 2023 '!U14</f>
        <v>71</v>
      </c>
      <c r="E14" s="926">
        <v>15</v>
      </c>
      <c r="F14" s="854"/>
      <c r="G14" s="854"/>
      <c r="H14" s="854"/>
      <c r="I14" s="854"/>
      <c r="J14" s="854">
        <v>3</v>
      </c>
      <c r="K14" s="854"/>
      <c r="L14" s="854"/>
      <c r="M14" s="854"/>
      <c r="N14" s="854"/>
      <c r="O14" s="854"/>
      <c r="P14" s="879"/>
      <c r="Q14" s="799">
        <f t="shared" si="2"/>
        <v>18</v>
      </c>
      <c r="R14" s="799">
        <f t="shared" si="0"/>
        <v>53</v>
      </c>
      <c r="S14" s="809">
        <v>45615</v>
      </c>
      <c r="T14" s="792">
        <v>30</v>
      </c>
      <c r="U14" s="792">
        <f t="shared" si="1"/>
        <v>83</v>
      </c>
    </row>
    <row r="15" spans="1:23" ht="31.5" customHeight="1" x14ac:dyDescent="0.3">
      <c r="A15" s="297">
        <v>20</v>
      </c>
      <c r="B15" s="872" t="s">
        <v>52</v>
      </c>
      <c r="C15" s="864" t="s">
        <v>431</v>
      </c>
      <c r="D15" s="799">
        <f>'vacaciones 2023 '!U15</f>
        <v>29</v>
      </c>
      <c r="E15" s="865"/>
      <c r="F15" s="303"/>
      <c r="G15" s="932"/>
      <c r="H15" s="932"/>
      <c r="I15" s="932"/>
      <c r="J15" s="932"/>
      <c r="K15" s="932"/>
      <c r="L15" s="932"/>
      <c r="M15" s="932"/>
      <c r="N15" s="933"/>
      <c r="O15" s="932"/>
      <c r="P15" s="934"/>
      <c r="Q15" s="847">
        <f t="shared" si="2"/>
        <v>0</v>
      </c>
      <c r="R15" s="847">
        <f t="shared" si="0"/>
        <v>29</v>
      </c>
      <c r="S15" s="848">
        <v>45472</v>
      </c>
      <c r="T15" s="849">
        <v>30</v>
      </c>
      <c r="U15" s="849">
        <f t="shared" si="1"/>
        <v>59</v>
      </c>
      <c r="W15" s="316"/>
    </row>
    <row r="16" spans="1:23" s="947" customFormat="1" ht="31.5" customHeight="1" x14ac:dyDescent="0.3">
      <c r="A16" s="942">
        <v>12</v>
      </c>
      <c r="B16" s="908" t="s">
        <v>404</v>
      </c>
      <c r="C16" s="943" t="s">
        <v>435</v>
      </c>
      <c r="D16" s="813">
        <f>'vacaciones 2023 '!U16</f>
        <v>88</v>
      </c>
      <c r="E16" s="944"/>
      <c r="F16" s="831"/>
      <c r="G16" s="831"/>
      <c r="H16" s="831"/>
      <c r="I16" s="831"/>
      <c r="J16" s="831"/>
      <c r="K16" s="831"/>
      <c r="L16" s="831"/>
      <c r="M16" s="831"/>
      <c r="N16" s="831"/>
      <c r="O16" s="831"/>
      <c r="P16" s="833"/>
      <c r="Q16" s="813">
        <f t="shared" si="2"/>
        <v>0</v>
      </c>
      <c r="R16" s="945">
        <f t="shared" si="0"/>
        <v>88</v>
      </c>
      <c r="S16" s="923">
        <v>45588</v>
      </c>
      <c r="T16" s="834">
        <v>30</v>
      </c>
      <c r="U16" s="946">
        <f t="shared" si="1"/>
        <v>118</v>
      </c>
      <c r="W16" s="948"/>
    </row>
    <row r="17" spans="1:23" ht="31.5" customHeight="1" x14ac:dyDescent="0.3">
      <c r="A17" s="297">
        <v>16</v>
      </c>
      <c r="B17" s="808" t="s">
        <v>126</v>
      </c>
      <c r="C17" s="806" t="s">
        <v>431</v>
      </c>
      <c r="D17" s="799">
        <f>'vacaciones 2023 '!U17</f>
        <v>35</v>
      </c>
      <c r="E17" s="781"/>
      <c r="F17" s="311"/>
      <c r="G17" s="311"/>
      <c r="H17" s="311"/>
      <c r="I17" s="311"/>
      <c r="J17" s="311">
        <v>7</v>
      </c>
      <c r="K17" s="311"/>
      <c r="L17" s="311"/>
      <c r="M17" s="311"/>
      <c r="N17" s="311"/>
      <c r="O17" s="311">
        <v>3</v>
      </c>
      <c r="P17" s="786">
        <v>10</v>
      </c>
      <c r="Q17" s="799">
        <f t="shared" si="2"/>
        <v>20</v>
      </c>
      <c r="R17" s="847">
        <f t="shared" si="0"/>
        <v>15</v>
      </c>
      <c r="S17" s="809">
        <v>45461</v>
      </c>
      <c r="T17" s="792">
        <v>30</v>
      </c>
      <c r="U17" s="849">
        <f t="shared" si="1"/>
        <v>45</v>
      </c>
      <c r="W17" s="316"/>
    </row>
    <row r="18" spans="1:23" ht="31.5" customHeight="1" x14ac:dyDescent="0.3">
      <c r="A18" s="297">
        <v>14</v>
      </c>
      <c r="B18" s="808" t="s">
        <v>22</v>
      </c>
      <c r="C18" s="806" t="s">
        <v>435</v>
      </c>
      <c r="D18" s="799">
        <f>'vacaciones 2023 '!U18</f>
        <v>-15</v>
      </c>
      <c r="E18" s="812"/>
      <c r="F18" s="311"/>
      <c r="G18" s="311"/>
      <c r="H18" s="311"/>
      <c r="I18" s="311"/>
      <c r="J18" s="311"/>
      <c r="K18" s="311">
        <v>15</v>
      </c>
      <c r="L18" s="311"/>
      <c r="M18" s="311"/>
      <c r="N18" s="311"/>
      <c r="O18" s="311"/>
      <c r="P18" s="786"/>
      <c r="Q18" s="799">
        <f t="shared" si="2"/>
        <v>15</v>
      </c>
      <c r="R18" s="847">
        <f t="shared" si="0"/>
        <v>-30</v>
      </c>
      <c r="S18" s="809">
        <v>45292</v>
      </c>
      <c r="T18" s="792">
        <v>30</v>
      </c>
      <c r="U18" s="849">
        <f t="shared" si="1"/>
        <v>0</v>
      </c>
      <c r="W18" s="316"/>
    </row>
    <row r="19" spans="1:23" ht="31.5" customHeight="1" x14ac:dyDescent="0.3">
      <c r="A19" s="297">
        <v>13</v>
      </c>
      <c r="B19" s="808" t="s">
        <v>74</v>
      </c>
      <c r="C19" s="806" t="s">
        <v>436</v>
      </c>
      <c r="D19" s="799">
        <f>'vacaciones 2023 '!U20</f>
        <v>10</v>
      </c>
      <c r="E19" s="935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786"/>
      <c r="Q19" s="799">
        <f t="shared" si="2"/>
        <v>0</v>
      </c>
      <c r="R19" s="847">
        <f t="shared" si="0"/>
        <v>10</v>
      </c>
      <c r="S19" s="809">
        <v>45450</v>
      </c>
      <c r="T19" s="792">
        <v>30</v>
      </c>
      <c r="U19" s="849">
        <f t="shared" si="1"/>
        <v>40</v>
      </c>
    </row>
    <row r="20" spans="1:23" ht="31.5" customHeight="1" x14ac:dyDescent="0.3">
      <c r="A20" s="297">
        <v>11</v>
      </c>
      <c r="B20" s="808" t="s">
        <v>16</v>
      </c>
      <c r="C20" s="806" t="s">
        <v>431</v>
      </c>
      <c r="D20" s="799">
        <f>'vacaciones 2023 '!U21</f>
        <v>-6</v>
      </c>
      <c r="E20" s="781"/>
      <c r="F20" s="311"/>
      <c r="G20" s="311">
        <v>12</v>
      </c>
      <c r="H20" s="311"/>
      <c r="I20" s="311"/>
      <c r="J20" s="311">
        <v>6</v>
      </c>
      <c r="K20" s="311">
        <v>15</v>
      </c>
      <c r="L20" s="311"/>
      <c r="M20" s="311"/>
      <c r="N20" s="311"/>
      <c r="O20" s="311"/>
      <c r="P20" s="786"/>
      <c r="Q20" s="799">
        <f t="shared" si="2"/>
        <v>33</v>
      </c>
      <c r="R20" s="847">
        <f t="shared" si="0"/>
        <v>-39</v>
      </c>
      <c r="S20" s="809">
        <v>45461</v>
      </c>
      <c r="T20" s="792">
        <v>30</v>
      </c>
      <c r="U20" s="849">
        <f t="shared" si="1"/>
        <v>-9</v>
      </c>
      <c r="V20" s="254"/>
      <c r="W20" s="254"/>
    </row>
    <row r="21" spans="1:23" s="254" customFormat="1" ht="31.5" customHeight="1" x14ac:dyDescent="0.3">
      <c r="A21" s="297"/>
      <c r="B21" s="808" t="s">
        <v>492</v>
      </c>
      <c r="C21" s="806" t="s">
        <v>436</v>
      </c>
      <c r="D21" s="799">
        <f>'vacaciones 2023 '!U22</f>
        <v>28</v>
      </c>
      <c r="E21" s="781"/>
      <c r="F21" s="311"/>
      <c r="G21" s="311">
        <v>7</v>
      </c>
      <c r="H21" s="311"/>
      <c r="I21" s="311"/>
      <c r="J21" s="311"/>
      <c r="K21" s="311"/>
      <c r="L21" s="311"/>
      <c r="M21" s="311"/>
      <c r="N21" s="311"/>
      <c r="O21" s="311">
        <v>13</v>
      </c>
      <c r="P21" s="786">
        <v>15</v>
      </c>
      <c r="Q21" s="799">
        <f>SUM(E21:P21)</f>
        <v>35</v>
      </c>
      <c r="R21" s="847">
        <f t="shared" si="0"/>
        <v>-7</v>
      </c>
      <c r="S21" s="809">
        <v>45643</v>
      </c>
      <c r="T21" s="792">
        <v>30</v>
      </c>
      <c r="U21" s="849">
        <f>+R21+T21</f>
        <v>23</v>
      </c>
      <c r="V21" s="253"/>
      <c r="W21" s="316"/>
    </row>
    <row r="22" spans="1:23" s="254" customFormat="1" ht="31.5" customHeight="1" x14ac:dyDescent="0.3">
      <c r="A22" s="297"/>
      <c r="B22" s="808" t="s">
        <v>524</v>
      </c>
      <c r="C22" s="806" t="s">
        <v>435</v>
      </c>
      <c r="D22" s="799">
        <f>'vacaciones 2023 '!U25</f>
        <v>0</v>
      </c>
      <c r="E22" s="78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786"/>
      <c r="Q22" s="799">
        <f t="shared" si="2"/>
        <v>0</v>
      </c>
      <c r="R22" s="847">
        <f t="shared" si="0"/>
        <v>0</v>
      </c>
      <c r="S22" s="809">
        <v>45532</v>
      </c>
      <c r="T22" s="792">
        <v>30</v>
      </c>
      <c r="U22" s="849">
        <f t="shared" si="1"/>
        <v>30</v>
      </c>
      <c r="V22" s="253"/>
      <c r="W22" s="253"/>
    </row>
    <row r="23" spans="1:23" s="254" customFormat="1" ht="31.5" customHeight="1" x14ac:dyDescent="0.3">
      <c r="A23" s="297"/>
      <c r="B23" s="808" t="s">
        <v>540</v>
      </c>
      <c r="C23" s="806" t="s">
        <v>436</v>
      </c>
      <c r="D23" s="799"/>
      <c r="E23" s="78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786"/>
      <c r="Q23" s="799"/>
      <c r="R23" s="847"/>
      <c r="S23" s="809">
        <v>45802</v>
      </c>
      <c r="T23" s="792"/>
      <c r="U23" s="849">
        <f t="shared" ref="U23:U24" si="3">+R23+T23</f>
        <v>0</v>
      </c>
      <c r="V23" s="253"/>
      <c r="W23" s="316"/>
    </row>
    <row r="24" spans="1:23" s="254" customFormat="1" ht="31.5" customHeight="1" x14ac:dyDescent="0.3">
      <c r="A24" s="297" t="s">
        <v>539</v>
      </c>
      <c r="B24" s="808" t="s">
        <v>541</v>
      </c>
      <c r="C24" s="806" t="s">
        <v>435</v>
      </c>
      <c r="D24" s="799"/>
      <c r="E24" s="78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786"/>
      <c r="Q24" s="799"/>
      <c r="R24" s="847"/>
      <c r="S24" s="809">
        <v>45846</v>
      </c>
      <c r="T24" s="792"/>
      <c r="U24" s="849">
        <f t="shared" si="3"/>
        <v>0</v>
      </c>
      <c r="V24" s="253"/>
      <c r="W24" s="316"/>
    </row>
    <row r="25" spans="1:23" s="254" customFormat="1" ht="31.5" customHeight="1" x14ac:dyDescent="0.3">
      <c r="A25" s="297"/>
      <c r="B25" s="808" t="s">
        <v>519</v>
      </c>
      <c r="C25" s="806" t="s">
        <v>465</v>
      </c>
      <c r="D25" s="799">
        <f>'vacaciones 2023 '!U33</f>
        <v>0</v>
      </c>
      <c r="E25" s="78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786"/>
      <c r="Q25" s="799">
        <f t="shared" si="2"/>
        <v>0</v>
      </c>
      <c r="R25" s="847">
        <f t="shared" si="0"/>
        <v>0</v>
      </c>
      <c r="S25" s="809">
        <v>45353</v>
      </c>
      <c r="T25" s="792">
        <v>30</v>
      </c>
      <c r="U25" s="849">
        <f t="shared" si="1"/>
        <v>30</v>
      </c>
      <c r="V25" s="253"/>
      <c r="W25" s="253"/>
    </row>
    <row r="26" spans="1:23" s="254" customFormat="1" ht="31.5" customHeight="1" x14ac:dyDescent="0.3">
      <c r="A26" s="297"/>
      <c r="B26" s="881" t="s">
        <v>445</v>
      </c>
      <c r="C26" s="882"/>
      <c r="D26" s="882"/>
      <c r="E26" s="882"/>
      <c r="F26" s="882"/>
      <c r="G26" s="882"/>
      <c r="H26" s="882"/>
      <c r="I26" s="882"/>
      <c r="J26" s="882"/>
      <c r="K26" s="882"/>
      <c r="L26" s="882"/>
      <c r="M26" s="882"/>
      <c r="N26" s="882"/>
      <c r="O26" s="882"/>
      <c r="P26" s="882"/>
      <c r="Q26" s="882"/>
      <c r="R26" s="882"/>
      <c r="S26" s="922"/>
      <c r="T26" s="882"/>
      <c r="U26" s="883"/>
    </row>
    <row r="27" spans="1:23" s="254" customFormat="1" ht="31.5" customHeight="1" x14ac:dyDescent="0.3">
      <c r="A27" s="297">
        <v>27</v>
      </c>
      <c r="B27" s="912" t="s">
        <v>18</v>
      </c>
      <c r="C27" s="850" t="s">
        <v>433</v>
      </c>
      <c r="D27" s="799">
        <f>'vacaciones 2023 '!U35</f>
        <v>64</v>
      </c>
      <c r="E27" s="844"/>
      <c r="F27" s="845">
        <v>19</v>
      </c>
      <c r="G27" s="845"/>
      <c r="H27" s="845"/>
      <c r="I27" s="845"/>
      <c r="J27" s="845">
        <v>3</v>
      </c>
      <c r="K27" s="845">
        <v>1</v>
      </c>
      <c r="L27" s="845"/>
      <c r="M27" s="845"/>
      <c r="N27" s="845">
        <v>1</v>
      </c>
      <c r="O27" s="845">
        <v>2</v>
      </c>
      <c r="P27" s="846">
        <v>1</v>
      </c>
      <c r="Q27" s="836">
        <f>SUM(E27:P27)</f>
        <v>27</v>
      </c>
      <c r="R27" s="836">
        <f>+D27-Q27</f>
        <v>37</v>
      </c>
      <c r="S27" s="837">
        <v>45296</v>
      </c>
      <c r="T27" s="838">
        <v>30</v>
      </c>
      <c r="U27" s="838">
        <f>+R27+T27</f>
        <v>67</v>
      </c>
    </row>
    <row r="28" spans="1:23" s="254" customFormat="1" ht="31.5" customHeight="1" x14ac:dyDescent="0.3">
      <c r="A28" s="297"/>
      <c r="B28" s="912" t="s">
        <v>493</v>
      </c>
      <c r="C28" s="852" t="s">
        <v>428</v>
      </c>
      <c r="D28" s="799">
        <f>'vacaciones 2023 '!U36</f>
        <v>5</v>
      </c>
      <c r="E28" s="844"/>
      <c r="F28" s="845"/>
      <c r="G28" s="845"/>
      <c r="H28" s="845"/>
      <c r="I28" s="845"/>
      <c r="J28" s="845"/>
      <c r="K28" s="845">
        <v>7</v>
      </c>
      <c r="L28" s="845"/>
      <c r="M28" s="845">
        <f>1+1</f>
        <v>2</v>
      </c>
      <c r="N28" s="845">
        <f>1+1</f>
        <v>2</v>
      </c>
      <c r="O28" s="845">
        <v>2</v>
      </c>
      <c r="P28" s="846">
        <v>14</v>
      </c>
      <c r="Q28" s="836">
        <f>SUM(E28:P28)</f>
        <v>27</v>
      </c>
      <c r="R28" s="836">
        <f>+D28-Q28</f>
        <v>-22</v>
      </c>
      <c r="S28" s="837">
        <v>45444</v>
      </c>
      <c r="T28" s="838">
        <v>30</v>
      </c>
      <c r="U28" s="838">
        <f>+R28+T28</f>
        <v>8</v>
      </c>
      <c r="V28" s="936">
        <v>45588</v>
      </c>
    </row>
    <row r="29" spans="1:23" s="254" customFormat="1" ht="32.25" customHeight="1" x14ac:dyDescent="0.3">
      <c r="A29" s="297"/>
      <c r="B29" s="912" t="s">
        <v>494</v>
      </c>
      <c r="C29" s="852" t="s">
        <v>428</v>
      </c>
      <c r="D29" s="799">
        <f>'vacaciones 2023 '!U37</f>
        <v>4</v>
      </c>
      <c r="E29" s="844"/>
      <c r="F29" s="845"/>
      <c r="G29" s="845"/>
      <c r="H29" s="845"/>
      <c r="I29" s="845"/>
      <c r="J29" s="845"/>
      <c r="K29" s="845">
        <v>6</v>
      </c>
      <c r="L29" s="845"/>
      <c r="M29" s="845"/>
      <c r="N29" s="845">
        <v>3</v>
      </c>
      <c r="O29" s="845">
        <v>2</v>
      </c>
      <c r="P29" s="846">
        <v>14</v>
      </c>
      <c r="Q29" s="836">
        <f>SUM(E29:P29)</f>
        <v>25</v>
      </c>
      <c r="R29" s="836">
        <f>+D29-Q29</f>
        <v>-21</v>
      </c>
      <c r="S29" s="837">
        <v>45444</v>
      </c>
      <c r="T29" s="838">
        <v>30</v>
      </c>
      <c r="U29" s="838">
        <f>+R29+T29</f>
        <v>9</v>
      </c>
      <c r="V29" s="936">
        <v>45596</v>
      </c>
    </row>
    <row r="30" spans="1:23" ht="31.5" customHeight="1" x14ac:dyDescent="0.3">
      <c r="A30" s="297">
        <v>29</v>
      </c>
      <c r="B30" s="808" t="s">
        <v>402</v>
      </c>
      <c r="C30" s="852" t="s">
        <v>428</v>
      </c>
      <c r="D30" s="799">
        <f>'vacaciones 2023 '!U38</f>
        <v>27</v>
      </c>
      <c r="E30" s="853"/>
      <c r="F30" s="854"/>
      <c r="G30" s="854">
        <v>1</v>
      </c>
      <c r="H30" s="854"/>
      <c r="I30" s="854"/>
      <c r="J30" s="854">
        <v>1</v>
      </c>
      <c r="K30" s="854"/>
      <c r="L30" s="854">
        <v>1</v>
      </c>
      <c r="M30" s="854">
        <v>2</v>
      </c>
      <c r="N30" s="854">
        <f>1+1+1+1</f>
        <v>4</v>
      </c>
      <c r="O30" s="854">
        <v>2</v>
      </c>
      <c r="P30" s="855">
        <v>17</v>
      </c>
      <c r="Q30" s="799">
        <f>SUM(E30:P30)</f>
        <v>28</v>
      </c>
      <c r="R30" s="799">
        <f>+D30-Q30</f>
        <v>-1</v>
      </c>
      <c r="S30" s="809">
        <v>45588</v>
      </c>
      <c r="T30" s="792">
        <v>30</v>
      </c>
      <c r="U30" s="792">
        <f>+R30+T30</f>
        <v>29</v>
      </c>
      <c r="V30" s="253">
        <f>V29-V28+1</f>
        <v>9</v>
      </c>
    </row>
    <row r="31" spans="1:23" ht="31.5" customHeight="1" x14ac:dyDescent="0.3">
      <c r="A31" s="297"/>
      <c r="B31" s="881" t="s">
        <v>446</v>
      </c>
      <c r="C31" s="882"/>
      <c r="D31" s="882"/>
      <c r="E31" s="882"/>
      <c r="F31" s="882"/>
      <c r="G31" s="882"/>
      <c r="H31" s="882"/>
      <c r="I31" s="882"/>
      <c r="J31" s="882"/>
      <c r="K31" s="882"/>
      <c r="L31" s="882"/>
      <c r="M31" s="882"/>
      <c r="N31" s="882"/>
      <c r="O31" s="882"/>
      <c r="P31" s="882"/>
      <c r="Q31" s="882"/>
      <c r="R31" s="882"/>
      <c r="S31" s="922"/>
      <c r="T31" s="882" t="s">
        <v>542</v>
      </c>
      <c r="U31" s="883"/>
    </row>
    <row r="32" spans="1:23" ht="31.5" customHeight="1" x14ac:dyDescent="0.3">
      <c r="A32" s="297">
        <v>30</v>
      </c>
      <c r="B32" s="807" t="s">
        <v>58</v>
      </c>
      <c r="C32" s="856" t="s">
        <v>444</v>
      </c>
      <c r="D32" s="799">
        <f>'vacaciones 2023 '!U40</f>
        <v>209</v>
      </c>
      <c r="E32" s="857"/>
      <c r="F32" s="841"/>
      <c r="G32" s="841"/>
      <c r="H32" s="841"/>
      <c r="I32" s="841"/>
      <c r="J32" s="841"/>
      <c r="K32" s="841"/>
      <c r="L32" s="841"/>
      <c r="M32" s="841"/>
      <c r="N32" s="841"/>
      <c r="O32" s="841"/>
      <c r="P32" s="858"/>
      <c r="Q32" s="799">
        <f>SUM(E32:P32)</f>
        <v>0</v>
      </c>
      <c r="R32" s="799">
        <f>+D32-Q32</f>
        <v>209</v>
      </c>
      <c r="S32" s="809">
        <v>45366</v>
      </c>
      <c r="T32" s="792">
        <v>30</v>
      </c>
      <c r="U32" s="792">
        <f>+R32+T32</f>
        <v>239</v>
      </c>
    </row>
    <row r="33" spans="1:23" ht="31.5" customHeight="1" x14ac:dyDescent="0.3">
      <c r="A33" s="297">
        <v>31</v>
      </c>
      <c r="B33" s="807" t="s">
        <v>87</v>
      </c>
      <c r="C33" s="807" t="s">
        <v>429</v>
      </c>
      <c r="D33" s="799">
        <f>'vacaciones 2023 '!U41</f>
        <v>26</v>
      </c>
      <c r="E33" s="909">
        <v>1</v>
      </c>
      <c r="F33" s="910">
        <f>1+2</f>
        <v>3</v>
      </c>
      <c r="G33" s="910">
        <v>1</v>
      </c>
      <c r="H33" s="910"/>
      <c r="I33" s="910"/>
      <c r="J33" s="910">
        <v>2</v>
      </c>
      <c r="K33" s="910">
        <v>1</v>
      </c>
      <c r="L33" s="910">
        <v>2</v>
      </c>
      <c r="M33" s="910">
        <v>1</v>
      </c>
      <c r="N33" s="910">
        <v>2</v>
      </c>
      <c r="O33" s="910"/>
      <c r="P33" s="911">
        <v>1</v>
      </c>
      <c r="Q33" s="799">
        <f>SUM(E33:P33)</f>
        <v>14</v>
      </c>
      <c r="R33" s="799">
        <f>+D33-Q33</f>
        <v>12</v>
      </c>
      <c r="S33" s="809">
        <v>45356</v>
      </c>
      <c r="T33" s="792">
        <v>30</v>
      </c>
      <c r="U33" s="792">
        <f>+R33+T33</f>
        <v>42</v>
      </c>
    </row>
    <row r="34" spans="1:23" ht="31.5" customHeight="1" x14ac:dyDescent="0.3">
      <c r="A34" s="297">
        <v>17</v>
      </c>
      <c r="B34" s="908" t="s">
        <v>156</v>
      </c>
      <c r="C34" s="852" t="s">
        <v>429</v>
      </c>
      <c r="D34" s="799">
        <f>'vacaciones 2023 '!U42</f>
        <v>0</v>
      </c>
      <c r="E34" s="853"/>
      <c r="F34" s="854"/>
      <c r="G34" s="854"/>
      <c r="H34" s="854"/>
      <c r="I34" s="854"/>
      <c r="J34" s="854"/>
      <c r="K34" s="854"/>
      <c r="L34" s="854"/>
      <c r="M34" s="854"/>
      <c r="N34" s="854"/>
      <c r="O34" s="854"/>
      <c r="P34" s="879"/>
      <c r="Q34" s="799">
        <f>SUM(E34:P34)</f>
        <v>0</v>
      </c>
      <c r="R34" s="799">
        <f>+D34-Q34</f>
        <v>0</v>
      </c>
      <c r="S34" s="809"/>
      <c r="T34" s="792"/>
      <c r="U34" s="792">
        <f>+R34+T34</f>
        <v>0</v>
      </c>
    </row>
    <row r="35" spans="1:23" ht="31.5" customHeight="1" x14ac:dyDescent="0.3">
      <c r="A35" s="297"/>
      <c r="B35" s="881" t="s">
        <v>447</v>
      </c>
      <c r="C35" s="882"/>
      <c r="D35" s="882"/>
      <c r="E35" s="882"/>
      <c r="F35" s="882"/>
      <c r="G35" s="882"/>
      <c r="H35" s="882"/>
      <c r="I35" s="882"/>
      <c r="J35" s="882"/>
      <c r="K35" s="882"/>
      <c r="L35" s="882"/>
      <c r="M35" s="882"/>
      <c r="N35" s="882"/>
      <c r="O35" s="882"/>
      <c r="P35" s="882"/>
      <c r="Q35" s="882"/>
      <c r="R35" s="882"/>
      <c r="S35" s="922"/>
      <c r="T35" s="882"/>
      <c r="U35" s="883"/>
    </row>
    <row r="36" spans="1:23" ht="31.5" customHeight="1" x14ac:dyDescent="0.3">
      <c r="A36" s="297">
        <v>34</v>
      </c>
      <c r="B36" s="808" t="s">
        <v>50</v>
      </c>
      <c r="C36" s="856" t="s">
        <v>434</v>
      </c>
      <c r="D36" s="799">
        <f>'vacaciones 2023 '!U44</f>
        <v>250</v>
      </c>
      <c r="E36" s="917"/>
      <c r="F36" s="918"/>
      <c r="G36" s="918"/>
      <c r="H36" s="918"/>
      <c r="I36" s="918"/>
      <c r="J36" s="918"/>
      <c r="K36" s="918"/>
      <c r="L36" s="918"/>
      <c r="M36" s="918"/>
      <c r="N36" s="918">
        <v>9</v>
      </c>
      <c r="O36" s="918">
        <v>30</v>
      </c>
      <c r="P36" s="920">
        <v>31</v>
      </c>
      <c r="Q36" s="799">
        <f>SUM(E36:P36)</f>
        <v>70</v>
      </c>
      <c r="R36" s="799">
        <f>+D36-Q36</f>
        <v>180</v>
      </c>
      <c r="S36" s="809">
        <v>45447</v>
      </c>
      <c r="T36" s="792">
        <v>30</v>
      </c>
      <c r="U36" s="792">
        <f>+R36+T36</f>
        <v>210</v>
      </c>
    </row>
    <row r="37" spans="1:23" ht="31.5" customHeight="1" x14ac:dyDescent="0.3">
      <c r="A37" s="297">
        <v>33</v>
      </c>
      <c r="B37" s="808" t="s">
        <v>20</v>
      </c>
      <c r="C37" s="806" t="s">
        <v>434</v>
      </c>
      <c r="D37" s="799">
        <f>'vacaciones 2023 '!U45</f>
        <v>170</v>
      </c>
      <c r="E37" s="781"/>
      <c r="F37" s="311">
        <v>15</v>
      </c>
      <c r="G37" s="311"/>
      <c r="H37" s="311"/>
      <c r="I37" s="311"/>
      <c r="J37" s="311"/>
      <c r="K37" s="311"/>
      <c r="L37" s="311"/>
      <c r="M37" s="311"/>
      <c r="N37" s="311"/>
      <c r="O37" s="311"/>
      <c r="P37" s="786"/>
      <c r="Q37" s="799">
        <f>SUM(E37:P37)</f>
        <v>15</v>
      </c>
      <c r="R37" s="799">
        <f>+D37-Q37</f>
        <v>155</v>
      </c>
      <c r="S37" s="809">
        <v>45478</v>
      </c>
      <c r="T37" s="792">
        <v>30</v>
      </c>
      <c r="U37" s="792">
        <f>+R37+T37</f>
        <v>185</v>
      </c>
      <c r="W37" s="316"/>
    </row>
    <row r="38" spans="1:23" ht="31.5" customHeight="1" x14ac:dyDescent="0.3">
      <c r="A38" s="297">
        <v>35</v>
      </c>
      <c r="B38" s="808" t="s">
        <v>49</v>
      </c>
      <c r="C38" s="806" t="s">
        <v>143</v>
      </c>
      <c r="D38" s="799">
        <f>'vacaciones 2023 '!U46</f>
        <v>21</v>
      </c>
      <c r="E38" s="781"/>
      <c r="F38" s="311"/>
      <c r="G38" s="311">
        <v>12</v>
      </c>
      <c r="H38" s="311"/>
      <c r="I38" s="309"/>
      <c r="J38" s="311"/>
      <c r="K38" s="311"/>
      <c r="L38" s="311"/>
      <c r="M38" s="311"/>
      <c r="N38" s="311"/>
      <c r="O38" s="311"/>
      <c r="P38" s="786">
        <v>4</v>
      </c>
      <c r="Q38" s="799">
        <f>SUM(E38:P38)</f>
        <v>16</v>
      </c>
      <c r="R38" s="799">
        <f>+D38-Q38</f>
        <v>5</v>
      </c>
      <c r="S38" s="809">
        <v>45586</v>
      </c>
      <c r="T38" s="792">
        <v>30</v>
      </c>
      <c r="U38" s="792">
        <f>+R38+T38</f>
        <v>35</v>
      </c>
    </row>
    <row r="39" spans="1:23" ht="31.5" customHeight="1" x14ac:dyDescent="0.3">
      <c r="A39" s="297">
        <v>36</v>
      </c>
      <c r="B39" s="807" t="s">
        <v>53</v>
      </c>
      <c r="C39" s="852" t="s">
        <v>143</v>
      </c>
      <c r="D39" s="799">
        <f>'vacaciones 2023 '!U47</f>
        <v>53</v>
      </c>
      <c r="E39" s="853"/>
      <c r="F39" s="854"/>
      <c r="G39" s="854"/>
      <c r="H39" s="854"/>
      <c r="I39" s="854"/>
      <c r="J39" s="854">
        <v>7</v>
      </c>
      <c r="K39" s="854">
        <v>11</v>
      </c>
      <c r="L39" s="854"/>
      <c r="M39" s="854"/>
      <c r="N39" s="854"/>
      <c r="O39" s="854"/>
      <c r="P39" s="855"/>
      <c r="Q39" s="799">
        <f>SUM(E39:P39)</f>
        <v>18</v>
      </c>
      <c r="R39" s="799">
        <f>+D39-Q39</f>
        <v>35</v>
      </c>
      <c r="S39" s="809">
        <v>45647</v>
      </c>
      <c r="T39" s="792">
        <v>30</v>
      </c>
      <c r="U39" s="792">
        <f>+R39+T39</f>
        <v>65</v>
      </c>
      <c r="W39" s="316"/>
    </row>
    <row r="40" spans="1:23" ht="31.5" customHeight="1" x14ac:dyDescent="0.3">
      <c r="A40" s="297"/>
      <c r="B40" s="807" t="s">
        <v>532</v>
      </c>
      <c r="C40" s="852" t="s">
        <v>143</v>
      </c>
      <c r="D40" s="799">
        <f>'vacaciones 2023 '!U48</f>
        <v>0</v>
      </c>
      <c r="E40" s="915"/>
      <c r="F40" s="875"/>
      <c r="G40" s="875"/>
      <c r="H40" s="875"/>
      <c r="I40" s="875"/>
      <c r="J40" s="875"/>
      <c r="K40" s="875"/>
      <c r="L40" s="875"/>
      <c r="M40" s="875"/>
      <c r="N40" s="875"/>
      <c r="O40" s="875"/>
      <c r="P40" s="877"/>
      <c r="Q40" s="799"/>
      <c r="R40" s="799"/>
      <c r="S40" s="809">
        <v>45525</v>
      </c>
      <c r="T40" s="792">
        <v>30</v>
      </c>
      <c r="U40" s="792">
        <f t="shared" ref="U40:U41" si="4">+R40+T40</f>
        <v>30</v>
      </c>
      <c r="W40" s="316"/>
    </row>
    <row r="41" spans="1:23" ht="31.5" customHeight="1" x14ac:dyDescent="0.3">
      <c r="A41" s="297"/>
      <c r="B41" s="807" t="s">
        <v>533</v>
      </c>
      <c r="C41" s="852" t="s">
        <v>143</v>
      </c>
      <c r="D41" s="799">
        <f>'vacaciones 2023 '!U49</f>
        <v>0</v>
      </c>
      <c r="E41" s="915"/>
      <c r="F41" s="875"/>
      <c r="G41" s="875"/>
      <c r="H41" s="875"/>
      <c r="I41" s="875"/>
      <c r="J41" s="875"/>
      <c r="K41" s="875"/>
      <c r="L41" s="875"/>
      <c r="M41" s="875"/>
      <c r="N41" s="875"/>
      <c r="O41" s="875"/>
      <c r="P41" s="877"/>
      <c r="Q41" s="799"/>
      <c r="R41" s="799"/>
      <c r="S41" s="809">
        <v>45598</v>
      </c>
      <c r="T41" s="792">
        <v>30</v>
      </c>
      <c r="U41" s="792">
        <f t="shared" si="4"/>
        <v>30</v>
      </c>
      <c r="W41" s="316"/>
    </row>
    <row r="42" spans="1:23" ht="31.5" customHeight="1" x14ac:dyDescent="0.3">
      <c r="A42" s="297"/>
      <c r="B42" s="881" t="s">
        <v>448</v>
      </c>
      <c r="C42" s="882"/>
      <c r="D42" s="882"/>
      <c r="E42" s="882"/>
      <c r="F42" s="882"/>
      <c r="G42" s="882"/>
      <c r="H42" s="882"/>
      <c r="I42" s="882"/>
      <c r="J42" s="882"/>
      <c r="K42" s="882"/>
      <c r="L42" s="882"/>
      <c r="M42" s="882"/>
      <c r="N42" s="882"/>
      <c r="O42" s="882"/>
      <c r="P42" s="882"/>
      <c r="Q42" s="882"/>
      <c r="R42" s="882"/>
      <c r="S42" s="922"/>
      <c r="T42" s="882"/>
      <c r="U42" s="883"/>
    </row>
    <row r="43" spans="1:23" ht="31.5" customHeight="1" x14ac:dyDescent="0.3">
      <c r="A43" s="297">
        <v>37</v>
      </c>
      <c r="B43" s="808" t="s">
        <v>56</v>
      </c>
      <c r="C43" s="860" t="s">
        <v>438</v>
      </c>
      <c r="D43" s="799">
        <f>'vacaciones 2023 '!U52</f>
        <v>93</v>
      </c>
      <c r="E43" s="861">
        <v>3</v>
      </c>
      <c r="F43" s="862">
        <v>2</v>
      </c>
      <c r="G43" s="899"/>
      <c r="H43" s="862"/>
      <c r="I43" s="862"/>
      <c r="J43" s="862">
        <v>1</v>
      </c>
      <c r="K43" s="862">
        <v>7</v>
      </c>
      <c r="L43" s="862"/>
      <c r="M43" s="862"/>
      <c r="N43" s="862"/>
      <c r="O43" s="862">
        <v>2</v>
      </c>
      <c r="P43" s="863">
        <v>42</v>
      </c>
      <c r="Q43" s="799">
        <f>SUM(E43:P43)</f>
        <v>57</v>
      </c>
      <c r="R43" s="799">
        <f>+D43-Q43</f>
        <v>36</v>
      </c>
      <c r="S43" s="809">
        <v>45343</v>
      </c>
      <c r="T43" s="792">
        <v>30</v>
      </c>
      <c r="U43" s="792">
        <f>+R43+T43</f>
        <v>66</v>
      </c>
    </row>
    <row r="44" spans="1:23" ht="31.5" customHeight="1" x14ac:dyDescent="0.3">
      <c r="A44" s="297">
        <v>37</v>
      </c>
      <c r="B44" s="808" t="s">
        <v>495</v>
      </c>
      <c r="C44" s="860" t="s">
        <v>438</v>
      </c>
      <c r="D44" s="799">
        <f>'vacaciones 2023 '!U53</f>
        <v>29</v>
      </c>
      <c r="E44" s="861"/>
      <c r="F44" s="862">
        <v>1</v>
      </c>
      <c r="G44" s="899"/>
      <c r="H44" s="862">
        <v>2</v>
      </c>
      <c r="I44" s="862"/>
      <c r="J44" s="862"/>
      <c r="K44" s="862">
        <v>1</v>
      </c>
      <c r="L44" s="862"/>
      <c r="M44" s="862"/>
      <c r="N44" s="862"/>
      <c r="O44" s="862"/>
      <c r="P44" s="863"/>
      <c r="Q44" s="799">
        <f>SUM(E44:P44)</f>
        <v>4</v>
      </c>
      <c r="R44" s="799">
        <f>+D44-Q44</f>
        <v>25</v>
      </c>
      <c r="S44" s="809">
        <v>45449</v>
      </c>
      <c r="T44" s="792">
        <v>30</v>
      </c>
      <c r="U44" s="792">
        <f>+R44+T44</f>
        <v>55</v>
      </c>
    </row>
    <row r="45" spans="1:23" ht="31.5" customHeight="1" x14ac:dyDescent="0.3">
      <c r="A45" s="297"/>
      <c r="B45" s="881" t="s">
        <v>452</v>
      </c>
      <c r="C45" s="882"/>
      <c r="D45" s="882"/>
      <c r="E45" s="882"/>
      <c r="F45" s="882"/>
      <c r="G45" s="882"/>
      <c r="H45" s="882"/>
      <c r="I45" s="882"/>
      <c r="J45" s="882"/>
      <c r="K45" s="882"/>
      <c r="L45" s="882"/>
      <c r="M45" s="882"/>
      <c r="N45" s="882"/>
      <c r="O45" s="882"/>
      <c r="P45" s="882"/>
      <c r="Q45" s="882"/>
      <c r="R45" s="882"/>
      <c r="S45" s="922"/>
      <c r="T45" s="882"/>
      <c r="U45" s="883"/>
      <c r="V45" s="316"/>
    </row>
    <row r="46" spans="1:23" ht="31.5" customHeight="1" x14ac:dyDescent="0.3">
      <c r="A46" s="297">
        <v>40</v>
      </c>
      <c r="B46" s="808" t="s">
        <v>61</v>
      </c>
      <c r="C46" s="806" t="s">
        <v>437</v>
      </c>
      <c r="D46" s="799">
        <f>'vacaciones 2023 '!U55</f>
        <v>59</v>
      </c>
      <c r="E46" s="781"/>
      <c r="F46" s="311"/>
      <c r="G46" s="311"/>
      <c r="H46" s="311"/>
      <c r="I46" s="311"/>
      <c r="J46" s="311"/>
      <c r="K46" s="311"/>
      <c r="L46" s="311">
        <v>11</v>
      </c>
      <c r="M46" s="311"/>
      <c r="N46" s="311"/>
      <c r="O46" s="311"/>
      <c r="P46" s="786"/>
      <c r="Q46" s="799">
        <f>SUM(E46:P46)</f>
        <v>11</v>
      </c>
      <c r="R46" s="799">
        <f>+D46-Q46</f>
        <v>48</v>
      </c>
      <c r="S46" s="809">
        <v>45526</v>
      </c>
      <c r="T46" s="792">
        <v>30</v>
      </c>
      <c r="U46" s="792">
        <f>+R46+T46</f>
        <v>78</v>
      </c>
      <c r="V46" s="316"/>
    </row>
    <row r="47" spans="1:23" ht="31.5" customHeight="1" x14ac:dyDescent="0.3">
      <c r="A47" s="297">
        <v>38</v>
      </c>
      <c r="B47" s="808" t="s">
        <v>59</v>
      </c>
      <c r="C47" s="806" t="s">
        <v>440</v>
      </c>
      <c r="D47" s="799">
        <f>'vacaciones 2023 '!U56</f>
        <v>57</v>
      </c>
      <c r="E47" s="781">
        <v>31</v>
      </c>
      <c r="F47" s="311">
        <v>17</v>
      </c>
      <c r="G47" s="311"/>
      <c r="H47" s="311"/>
      <c r="I47" s="311"/>
      <c r="J47" s="311"/>
      <c r="K47" s="930"/>
      <c r="L47" s="311"/>
      <c r="M47" s="311"/>
      <c r="N47" s="311"/>
      <c r="O47" s="311"/>
      <c r="P47" s="786"/>
      <c r="Q47" s="799">
        <f>SUM(E47:P47)</f>
        <v>48</v>
      </c>
      <c r="R47" s="799">
        <f>+D47-Q47</f>
        <v>9</v>
      </c>
      <c r="S47" s="809">
        <v>45616</v>
      </c>
      <c r="T47" s="792">
        <v>30</v>
      </c>
      <c r="U47" s="792">
        <f>+R47+T47</f>
        <v>39</v>
      </c>
      <c r="V47" s="316"/>
    </row>
    <row r="48" spans="1:23" ht="31.5" customHeight="1" x14ac:dyDescent="0.3">
      <c r="A48" s="297"/>
      <c r="B48" s="808" t="s">
        <v>531</v>
      </c>
      <c r="C48" s="806" t="s">
        <v>437</v>
      </c>
      <c r="D48" s="799">
        <f>'vacaciones 2023 '!U57</f>
        <v>0</v>
      </c>
      <c r="E48" s="781"/>
      <c r="F48" s="311">
        <v>2</v>
      </c>
      <c r="G48" s="311"/>
      <c r="H48" s="311"/>
      <c r="I48" s="311"/>
      <c r="J48" s="311"/>
      <c r="K48" s="311"/>
      <c r="L48" s="311"/>
      <c r="M48" s="311"/>
      <c r="N48" s="311"/>
      <c r="O48" s="311">
        <v>2</v>
      </c>
      <c r="P48" s="786"/>
      <c r="Q48" s="799">
        <f t="shared" ref="Q48:Q50" si="5">SUM(E48:P48)</f>
        <v>4</v>
      </c>
      <c r="R48" s="799">
        <f t="shared" ref="R48:R50" si="6">+D48-Q48</f>
        <v>-4</v>
      </c>
      <c r="S48" s="809">
        <v>45536</v>
      </c>
      <c r="T48" s="792">
        <v>30</v>
      </c>
      <c r="U48" s="792">
        <f t="shared" ref="U48:U50" si="7">+R48+T48</f>
        <v>26</v>
      </c>
      <c r="V48" s="316"/>
    </row>
    <row r="49" spans="1:22" ht="31.5" customHeight="1" x14ac:dyDescent="0.3">
      <c r="A49" s="297"/>
      <c r="B49" s="808" t="s">
        <v>543</v>
      </c>
      <c r="C49" s="806" t="s">
        <v>437</v>
      </c>
      <c r="D49" s="799"/>
      <c r="E49" s="781"/>
      <c r="F49" s="311"/>
      <c r="G49" s="311"/>
      <c r="H49" s="311"/>
      <c r="I49" s="311"/>
      <c r="J49" s="311"/>
      <c r="K49" s="311"/>
      <c r="L49" s="311"/>
      <c r="M49" s="311">
        <v>7</v>
      </c>
      <c r="N49" s="311"/>
      <c r="O49" s="311">
        <v>7</v>
      </c>
      <c r="P49" s="786"/>
      <c r="Q49" s="799">
        <f t="shared" si="5"/>
        <v>14</v>
      </c>
      <c r="R49" s="799">
        <f t="shared" si="6"/>
        <v>-14</v>
      </c>
      <c r="S49" s="809"/>
      <c r="T49" s="792">
        <v>0</v>
      </c>
      <c r="U49" s="792">
        <f t="shared" si="7"/>
        <v>-14</v>
      </c>
    </row>
    <row r="50" spans="1:22" ht="31.5" customHeight="1" x14ac:dyDescent="0.3">
      <c r="A50" s="297">
        <v>39</v>
      </c>
      <c r="B50" s="808" t="s">
        <v>441</v>
      </c>
      <c r="C50" s="806" t="s">
        <v>437</v>
      </c>
      <c r="D50" s="799">
        <f>'vacaciones 2023 '!U58</f>
        <v>29</v>
      </c>
      <c r="E50" s="781"/>
      <c r="F50" s="311"/>
      <c r="G50" s="311"/>
      <c r="H50" s="311"/>
      <c r="I50" s="311"/>
      <c r="J50" s="311"/>
      <c r="K50" s="819"/>
      <c r="L50" s="311"/>
      <c r="M50" s="311"/>
      <c r="N50" s="311"/>
      <c r="O50" s="311"/>
      <c r="P50" s="786"/>
      <c r="Q50" s="799">
        <f t="shared" si="5"/>
        <v>0</v>
      </c>
      <c r="R50" s="799">
        <f t="shared" si="6"/>
        <v>29</v>
      </c>
      <c r="S50" s="809">
        <v>45292</v>
      </c>
      <c r="T50" s="792">
        <v>30</v>
      </c>
      <c r="U50" s="792">
        <f t="shared" si="7"/>
        <v>59</v>
      </c>
      <c r="V50" s="316"/>
    </row>
    <row r="51" spans="1:22" ht="31.5" customHeight="1" x14ac:dyDescent="0.3">
      <c r="A51" s="297"/>
      <c r="B51" s="881" t="s">
        <v>453</v>
      </c>
      <c r="C51" s="882"/>
      <c r="D51" s="882"/>
      <c r="E51" s="882"/>
      <c r="F51" s="882"/>
      <c r="G51" s="882"/>
      <c r="H51" s="882"/>
      <c r="I51" s="882"/>
      <c r="J51" s="882"/>
      <c r="K51" s="882"/>
      <c r="L51" s="882"/>
      <c r="M51" s="882"/>
      <c r="N51" s="882"/>
      <c r="O51" s="882"/>
      <c r="P51" s="882"/>
      <c r="Q51" s="882"/>
      <c r="R51" s="882"/>
      <c r="S51" s="922"/>
      <c r="T51" s="882"/>
      <c r="U51" s="883"/>
    </row>
    <row r="52" spans="1:22" ht="31.5" customHeight="1" x14ac:dyDescent="0.3">
      <c r="A52" s="297">
        <v>41</v>
      </c>
      <c r="B52" s="808" t="s">
        <v>97</v>
      </c>
      <c r="C52" s="806" t="s">
        <v>439</v>
      </c>
      <c r="D52" s="799">
        <f>'vacaciones 2023 '!U60</f>
        <v>40</v>
      </c>
      <c r="E52" s="880"/>
      <c r="F52" s="862">
        <v>3</v>
      </c>
      <c r="G52" s="862"/>
      <c r="H52" s="862"/>
      <c r="I52" s="862"/>
      <c r="J52" s="862"/>
      <c r="K52" s="862"/>
      <c r="L52" s="862">
        <v>7</v>
      </c>
      <c r="M52" s="862"/>
      <c r="N52" s="862"/>
      <c r="O52" s="862"/>
      <c r="P52" s="863"/>
      <c r="Q52" s="799">
        <f>SUM(E52:P52)</f>
        <v>10</v>
      </c>
      <c r="R52" s="799">
        <f>+D52-Q52</f>
        <v>30</v>
      </c>
      <c r="S52" s="809">
        <v>45479</v>
      </c>
      <c r="T52" s="792">
        <v>30</v>
      </c>
      <c r="U52" s="792">
        <f>+R52+T52</f>
        <v>60</v>
      </c>
    </row>
    <row r="53" spans="1:22" x14ac:dyDescent="0.3">
      <c r="A53" s="297"/>
      <c r="D53" s="793"/>
      <c r="Q53" s="796"/>
      <c r="R53" s="796"/>
      <c r="T53" s="793"/>
      <c r="U53" s="793"/>
    </row>
    <row r="54" spans="1:22" x14ac:dyDescent="0.3">
      <c r="A54" s="297"/>
    </row>
    <row r="55" spans="1:22" x14ac:dyDescent="0.3">
      <c r="A55" s="297"/>
    </row>
    <row r="56" spans="1:22" s="794" customFormat="1" x14ac:dyDescent="0.3">
      <c r="A56" s="297"/>
      <c r="B56" s="253"/>
      <c r="C56" s="253"/>
      <c r="E56" s="253"/>
      <c r="F56" s="253"/>
      <c r="G56" s="253"/>
      <c r="H56" s="253"/>
      <c r="I56" s="253"/>
      <c r="J56" s="253"/>
      <c r="K56" s="253"/>
      <c r="L56" s="253"/>
      <c r="M56" s="316"/>
      <c r="N56" s="253"/>
      <c r="O56" s="253"/>
      <c r="P56" s="253"/>
      <c r="Q56" s="797"/>
      <c r="R56" s="797"/>
      <c r="S56" s="793"/>
    </row>
    <row r="57" spans="1:22" s="794" customFormat="1" x14ac:dyDescent="0.3">
      <c r="A57" s="252"/>
      <c r="B57" s="253"/>
      <c r="C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797"/>
      <c r="R57" s="797"/>
      <c r="S57" s="815"/>
    </row>
    <row r="59" spans="1:22" s="794" customFormat="1" x14ac:dyDescent="0.3">
      <c r="A59" s="252"/>
      <c r="B59" s="253"/>
      <c r="C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797"/>
      <c r="R59" s="797"/>
      <c r="S59" s="815"/>
    </row>
  </sheetData>
  <sheetProtection selectLockedCells="1" selectUnlockedCells="1"/>
  <mergeCells count="1">
    <mergeCell ref="B1:U1"/>
  </mergeCells>
  <printOptions horizontalCentered="1"/>
  <pageMargins left="0.19685039370078741" right="0.19685039370078741" top="0.59055118110236227" bottom="0.39370078740157483" header="0.31496062992125984" footer="0"/>
  <pageSetup paperSize="9" scale="30" firstPageNumber="0" orientation="portrait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Y67"/>
  <sheetViews>
    <sheetView showGridLines="0" showZeros="0" view="pageBreakPreview" zoomScale="71" zoomScaleNormal="70" zoomScaleSheetLayoutView="71" workbookViewId="0">
      <pane xSplit="3" ySplit="2" topLeftCell="F3" activePane="bottomRight" state="frozen"/>
      <selection activeCell="U35" sqref="U35"/>
      <selection pane="topRight" activeCell="U35" sqref="U35"/>
      <selection pane="bottomLeft" activeCell="U35" sqref="U35"/>
      <selection pane="bottomRight" activeCell="J9" sqref="J9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3" width="57.7109375" style="253" customWidth="1"/>
    <col min="4" max="4" width="15.42578125" style="794" customWidth="1"/>
    <col min="5" max="16" width="7.42578125" style="253" customWidth="1" outlineLevel="1"/>
    <col min="17" max="17" width="10.85546875" style="797" customWidth="1"/>
    <col min="18" max="18" width="17" style="797" customWidth="1"/>
    <col min="19" max="19" width="21.42578125" style="793" customWidth="1"/>
    <col min="20" max="20" width="15.42578125" style="794" customWidth="1"/>
    <col min="21" max="21" width="16.5703125" style="794" customWidth="1"/>
    <col min="22" max="22" width="0" style="253" hidden="1" customWidth="1"/>
    <col min="23" max="23" width="27.140625" style="253" hidden="1" customWidth="1"/>
    <col min="24" max="26" width="14.85546875" style="253" bestFit="1" customWidth="1"/>
    <col min="27" max="16384" width="8.85546875" style="253"/>
  </cols>
  <sheetData>
    <row r="1" spans="1:25" s="254" customFormat="1" ht="66.75" customHeight="1" x14ac:dyDescent="0.3">
      <c r="A1" s="798"/>
      <c r="B1" s="1185" t="s">
        <v>180</v>
      </c>
      <c r="C1" s="1186"/>
      <c r="D1" s="1186"/>
      <c r="E1" s="1186"/>
      <c r="F1" s="1186"/>
      <c r="G1" s="1186"/>
      <c r="H1" s="1186"/>
      <c r="I1" s="1186"/>
      <c r="J1" s="1186"/>
      <c r="K1" s="1186"/>
      <c r="L1" s="1186"/>
      <c r="M1" s="1186"/>
      <c r="N1" s="1186"/>
      <c r="O1" s="1186"/>
      <c r="P1" s="1186"/>
      <c r="Q1" s="1186"/>
      <c r="R1" s="1186"/>
      <c r="S1" s="1186"/>
      <c r="T1" s="1186"/>
      <c r="U1" s="1187"/>
    </row>
    <row r="2" spans="1:25" s="254" customFormat="1" ht="78" customHeight="1" x14ac:dyDescent="0.3">
      <c r="A2" s="851"/>
      <c r="B2" s="778" t="s">
        <v>68</v>
      </c>
      <c r="C2" s="778"/>
      <c r="D2" s="778" t="s">
        <v>503</v>
      </c>
      <c r="E2" s="800" t="s">
        <v>4</v>
      </c>
      <c r="F2" s="801" t="s">
        <v>5</v>
      </c>
      <c r="G2" s="801" t="s">
        <v>6</v>
      </c>
      <c r="H2" s="801" t="s">
        <v>7</v>
      </c>
      <c r="I2" s="801" t="s">
        <v>8</v>
      </c>
      <c r="J2" s="801" t="s">
        <v>9</v>
      </c>
      <c r="K2" s="801" t="s">
        <v>10</v>
      </c>
      <c r="L2" s="801" t="s">
        <v>11</v>
      </c>
      <c r="M2" s="801" t="s">
        <v>368</v>
      </c>
      <c r="N2" s="801" t="s">
        <v>13</v>
      </c>
      <c r="O2" s="801" t="s">
        <v>14</v>
      </c>
      <c r="P2" s="802" t="s">
        <v>15</v>
      </c>
      <c r="Q2" s="803" t="s">
        <v>3</v>
      </c>
      <c r="R2" s="803" t="s">
        <v>504</v>
      </c>
      <c r="S2" s="790" t="s">
        <v>505</v>
      </c>
      <c r="T2" s="790" t="s">
        <v>506</v>
      </c>
      <c r="U2" s="791" t="s">
        <v>507</v>
      </c>
      <c r="W2" s="936"/>
    </row>
    <row r="3" spans="1:25" ht="31.5" customHeight="1" x14ac:dyDescent="0.3">
      <c r="A3" s="297"/>
      <c r="B3" s="881" t="s">
        <v>451</v>
      </c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922"/>
      <c r="T3" s="882"/>
      <c r="U3" s="883"/>
      <c r="V3" s="254"/>
      <c r="W3" s="316"/>
    </row>
    <row r="4" spans="1:25" ht="31.5" customHeight="1" x14ac:dyDescent="0.3">
      <c r="A4" s="297">
        <v>2</v>
      </c>
      <c r="B4" s="843" t="s">
        <v>57</v>
      </c>
      <c r="C4" s="806" t="s">
        <v>432</v>
      </c>
      <c r="D4" s="847">
        <f>'vacaciones 2022'!U4</f>
        <v>66</v>
      </c>
      <c r="E4" s="780">
        <v>1</v>
      </c>
      <c r="F4" s="303"/>
      <c r="G4" s="303">
        <v>7</v>
      </c>
      <c r="H4" s="303"/>
      <c r="I4" s="303">
        <v>1</v>
      </c>
      <c r="J4" s="303">
        <v>1</v>
      </c>
      <c r="K4" s="303">
        <v>7</v>
      </c>
      <c r="L4" s="303"/>
      <c r="M4" s="303">
        <v>1</v>
      </c>
      <c r="N4" s="303"/>
      <c r="O4" s="303"/>
      <c r="P4" s="785">
        <v>1</v>
      </c>
      <c r="Q4" s="847">
        <f>SUM(E4:P4)</f>
        <v>19</v>
      </c>
      <c r="R4" s="847">
        <f>+D4-Q4</f>
        <v>47</v>
      </c>
      <c r="S4" s="848">
        <v>45011</v>
      </c>
      <c r="T4" s="849">
        <v>30</v>
      </c>
      <c r="U4" s="849">
        <f>+R4+T4</f>
        <v>77</v>
      </c>
      <c r="W4" s="316"/>
    </row>
    <row r="5" spans="1:25" ht="31.5" customHeight="1" x14ac:dyDescent="0.3">
      <c r="A5" s="297">
        <v>3</v>
      </c>
      <c r="B5" s="808" t="s">
        <v>108</v>
      </c>
      <c r="C5" s="806" t="s">
        <v>443</v>
      </c>
      <c r="D5" s="847">
        <f>'vacaciones 2022'!U5</f>
        <v>54</v>
      </c>
      <c r="E5" s="781"/>
      <c r="F5" s="311"/>
      <c r="G5" s="311"/>
      <c r="H5" s="311"/>
      <c r="I5" s="311"/>
      <c r="J5" s="311">
        <v>2</v>
      </c>
      <c r="K5" s="311"/>
      <c r="L5" s="311">
        <v>7</v>
      </c>
      <c r="M5" s="311"/>
      <c r="N5" s="311"/>
      <c r="O5" s="311"/>
      <c r="P5" s="786"/>
      <c r="Q5" s="799">
        <f>SUM(E5:P5)</f>
        <v>9</v>
      </c>
      <c r="R5" s="799">
        <f>+D5-Q5</f>
        <v>45</v>
      </c>
      <c r="S5" s="848">
        <v>45226</v>
      </c>
      <c r="T5" s="792">
        <v>30</v>
      </c>
      <c r="U5" s="792">
        <f>+R5+T5</f>
        <v>75</v>
      </c>
      <c r="W5" s="316"/>
      <c r="Y5" s="938"/>
    </row>
    <row r="6" spans="1:25" ht="31.5" customHeight="1" x14ac:dyDescent="0.3">
      <c r="A6" s="297">
        <v>1</v>
      </c>
      <c r="B6" s="807" t="s">
        <v>157</v>
      </c>
      <c r="C6" s="852" t="s">
        <v>442</v>
      </c>
      <c r="D6" s="847">
        <f>'vacaciones 2022'!U6</f>
        <v>0</v>
      </c>
      <c r="E6" s="853"/>
      <c r="F6" s="854"/>
      <c r="G6" s="854"/>
      <c r="H6" s="854"/>
      <c r="I6" s="854"/>
      <c r="J6" s="854"/>
      <c r="K6" s="854"/>
      <c r="L6" s="854"/>
      <c r="M6" s="854"/>
      <c r="N6" s="854"/>
      <c r="O6" s="854"/>
      <c r="P6" s="855"/>
      <c r="Q6" s="799">
        <f>SUM(E6:P6)</f>
        <v>0</v>
      </c>
      <c r="R6" s="799">
        <f>+D6-Q6</f>
        <v>0</v>
      </c>
      <c r="S6" s="848"/>
      <c r="T6" s="792"/>
      <c r="U6" s="792">
        <f>+R6+T6</f>
        <v>0</v>
      </c>
    </row>
    <row r="7" spans="1:25" ht="31.5" customHeight="1" x14ac:dyDescent="0.3">
      <c r="A7" s="297"/>
      <c r="B7" s="881" t="s">
        <v>450</v>
      </c>
      <c r="C7" s="882"/>
      <c r="D7" s="882"/>
      <c r="E7" s="882"/>
      <c r="F7" s="882"/>
      <c r="G7" s="882"/>
      <c r="H7" s="882"/>
      <c r="I7" s="882"/>
      <c r="J7" s="882"/>
      <c r="K7" s="882"/>
      <c r="L7" s="882"/>
      <c r="M7" s="882"/>
      <c r="N7" s="882"/>
      <c r="O7" s="882"/>
      <c r="P7" s="882"/>
      <c r="Q7" s="882"/>
      <c r="R7" s="882"/>
      <c r="S7" s="922"/>
      <c r="T7" s="882"/>
      <c r="U7" s="883"/>
      <c r="V7" s="254"/>
      <c r="Y7" s="938"/>
    </row>
    <row r="8" spans="1:25" ht="31.5" customHeight="1" x14ac:dyDescent="0.3">
      <c r="A8" s="297">
        <v>7</v>
      </c>
      <c r="B8" s="878" t="s">
        <v>109</v>
      </c>
      <c r="C8" s="839" t="s">
        <v>436</v>
      </c>
      <c r="D8" s="799">
        <f>'vacaciones 2022'!U8</f>
        <v>53</v>
      </c>
      <c r="E8" s="840"/>
      <c r="F8" s="841"/>
      <c r="G8" s="841"/>
      <c r="H8" s="841"/>
      <c r="I8" s="841"/>
      <c r="J8" s="841"/>
      <c r="K8" s="841"/>
      <c r="L8" s="841"/>
      <c r="M8" s="841"/>
      <c r="N8" s="841"/>
      <c r="O8" s="841"/>
      <c r="P8" s="842"/>
      <c r="Q8" s="799">
        <f>SUM(E8:P8)</f>
        <v>0</v>
      </c>
      <c r="R8" s="799">
        <f>+D8-Q8</f>
        <v>53</v>
      </c>
      <c r="S8" s="809">
        <v>45222</v>
      </c>
      <c r="T8" s="792">
        <v>30</v>
      </c>
      <c r="U8" s="792">
        <f>+R8+T8</f>
        <v>83</v>
      </c>
      <c r="V8" s="254"/>
      <c r="W8" s="254"/>
    </row>
    <row r="9" spans="1:25" ht="31.5" customHeight="1" x14ac:dyDescent="0.3">
      <c r="A9" s="297"/>
      <c r="B9" s="873" t="s">
        <v>151</v>
      </c>
      <c r="C9" s="806" t="s">
        <v>435</v>
      </c>
      <c r="D9" s="799">
        <f>'vacaciones 2022'!U10</f>
        <v>-12</v>
      </c>
      <c r="E9" s="915"/>
      <c r="F9" s="875"/>
      <c r="G9" s="875"/>
      <c r="H9" s="875"/>
      <c r="I9" s="875"/>
      <c r="J9" s="875">
        <v>7</v>
      </c>
      <c r="K9" s="875">
        <v>1</v>
      </c>
      <c r="L9" s="875"/>
      <c r="M9" s="875"/>
      <c r="N9" s="875"/>
      <c r="O9" s="875"/>
      <c r="P9" s="877"/>
      <c r="Q9" s="836">
        <f>SUM(E9:P9)</f>
        <v>8</v>
      </c>
      <c r="R9" s="836">
        <f>+D9-Q9</f>
        <v>-20</v>
      </c>
      <c r="S9" s="837">
        <v>45006</v>
      </c>
      <c r="T9" s="838">
        <v>30</v>
      </c>
      <c r="U9" s="838">
        <f>+R9+T9</f>
        <v>10</v>
      </c>
      <c r="W9" s="316"/>
      <c r="X9" s="316"/>
    </row>
    <row r="10" spans="1:25" ht="31.5" customHeight="1" x14ac:dyDescent="0.3">
      <c r="A10" s="297"/>
      <c r="B10" s="881" t="s">
        <v>449</v>
      </c>
      <c r="C10" s="882"/>
      <c r="D10" s="882"/>
      <c r="E10" s="882"/>
      <c r="F10" s="882"/>
      <c r="G10" s="882"/>
      <c r="H10" s="882"/>
      <c r="I10" s="882"/>
      <c r="J10" s="882"/>
      <c r="K10" s="882"/>
      <c r="L10" s="882"/>
      <c r="M10" s="882"/>
      <c r="N10" s="882"/>
      <c r="O10" s="882"/>
      <c r="P10" s="882"/>
      <c r="Q10" s="882"/>
      <c r="R10" s="882"/>
      <c r="S10" s="922"/>
      <c r="T10" s="882"/>
      <c r="U10" s="883"/>
      <c r="V10" s="254"/>
      <c r="X10" s="316"/>
    </row>
    <row r="11" spans="1:25" ht="31.5" customHeight="1" x14ac:dyDescent="0.3">
      <c r="A11" s="297">
        <v>5</v>
      </c>
      <c r="B11" s="808" t="s">
        <v>54</v>
      </c>
      <c r="C11" s="839" t="s">
        <v>435</v>
      </c>
      <c r="D11" s="799">
        <f>'vacaciones 2022'!U12</f>
        <v>202</v>
      </c>
      <c r="E11" s="927"/>
      <c r="F11" s="841"/>
      <c r="G11" s="928"/>
      <c r="H11" s="928"/>
      <c r="I11" s="928">
        <v>7</v>
      </c>
      <c r="J11" s="928"/>
      <c r="K11" s="928"/>
      <c r="L11" s="928"/>
      <c r="M11" s="928"/>
      <c r="N11" s="928"/>
      <c r="O11" s="928"/>
      <c r="P11" s="929"/>
      <c r="Q11" s="799">
        <f>SUM(E11:O11)</f>
        <v>7</v>
      </c>
      <c r="R11" s="799">
        <f t="shared" ref="R11:R22" si="0">+D11-Q11</f>
        <v>195</v>
      </c>
      <c r="S11" s="809">
        <v>45109</v>
      </c>
      <c r="T11" s="792">
        <v>30</v>
      </c>
      <c r="U11" s="792">
        <f t="shared" ref="U11:U33" si="1">+R11+T11</f>
        <v>225</v>
      </c>
    </row>
    <row r="12" spans="1:25" ht="31.5" customHeight="1" x14ac:dyDescent="0.3">
      <c r="A12" s="297">
        <v>4</v>
      </c>
      <c r="B12" s="873" t="s">
        <v>150</v>
      </c>
      <c r="C12" s="806" t="s">
        <v>435</v>
      </c>
      <c r="D12" s="799">
        <f>'vacaciones 2022'!U13</f>
        <v>79</v>
      </c>
      <c r="E12" s="840"/>
      <c r="F12" s="841"/>
      <c r="G12" s="841">
        <v>1</v>
      </c>
      <c r="H12" s="841">
        <f>7</f>
        <v>7</v>
      </c>
      <c r="I12" s="841">
        <v>6</v>
      </c>
      <c r="J12" s="841">
        <v>2</v>
      </c>
      <c r="K12" s="841"/>
      <c r="L12" s="841"/>
      <c r="M12" s="841"/>
      <c r="N12" s="841"/>
      <c r="O12" s="841"/>
      <c r="P12" s="842"/>
      <c r="Q12" s="799">
        <f t="shared" ref="Q12:Q22" si="2">SUM(E12:P12)</f>
        <v>16</v>
      </c>
      <c r="R12" s="799">
        <f>+D12-Q12</f>
        <v>63</v>
      </c>
      <c r="S12" s="809">
        <v>45045</v>
      </c>
      <c r="T12" s="792">
        <v>30</v>
      </c>
      <c r="U12" s="792">
        <f t="shared" si="1"/>
        <v>93</v>
      </c>
    </row>
    <row r="13" spans="1:25" ht="31.5" customHeight="1" x14ac:dyDescent="0.3">
      <c r="A13" s="297">
        <v>19</v>
      </c>
      <c r="B13" s="873" t="s">
        <v>51</v>
      </c>
      <c r="C13" s="839" t="s">
        <v>431</v>
      </c>
      <c r="D13" s="799">
        <f>'vacaciones 2022'!U14</f>
        <v>39</v>
      </c>
      <c r="E13" s="925">
        <v>15</v>
      </c>
      <c r="F13" s="910"/>
      <c r="G13" s="910"/>
      <c r="H13" s="910"/>
      <c r="I13" s="910"/>
      <c r="J13" s="931"/>
      <c r="K13" s="910"/>
      <c r="L13" s="910"/>
      <c r="M13" s="910"/>
      <c r="N13" s="910"/>
      <c r="O13" s="910"/>
      <c r="P13" s="911"/>
      <c r="Q13" s="799">
        <f t="shared" si="2"/>
        <v>15</v>
      </c>
      <c r="R13" s="799">
        <f t="shared" si="0"/>
        <v>24</v>
      </c>
      <c r="S13" s="809">
        <v>45143</v>
      </c>
      <c r="T13" s="792">
        <v>30</v>
      </c>
      <c r="U13" s="792">
        <f t="shared" si="1"/>
        <v>54</v>
      </c>
      <c r="V13" s="253" t="s">
        <v>508</v>
      </c>
      <c r="W13" s="316"/>
    </row>
    <row r="14" spans="1:25" ht="31.5" customHeight="1" x14ac:dyDescent="0.3">
      <c r="A14" s="297">
        <v>24</v>
      </c>
      <c r="B14" s="866" t="s">
        <v>152</v>
      </c>
      <c r="C14" s="867" t="s">
        <v>435</v>
      </c>
      <c r="D14" s="799">
        <f>'vacaciones 2022'!U15</f>
        <v>65</v>
      </c>
      <c r="E14" s="926"/>
      <c r="F14" s="854">
        <v>7</v>
      </c>
      <c r="G14" s="854"/>
      <c r="H14" s="854"/>
      <c r="I14" s="854"/>
      <c r="J14" s="854">
        <v>3</v>
      </c>
      <c r="K14" s="854"/>
      <c r="L14" s="854"/>
      <c r="M14" s="854"/>
      <c r="N14" s="854"/>
      <c r="O14" s="854"/>
      <c r="P14" s="879">
        <v>14</v>
      </c>
      <c r="Q14" s="799">
        <f t="shared" si="2"/>
        <v>24</v>
      </c>
      <c r="R14" s="799">
        <f t="shared" si="0"/>
        <v>41</v>
      </c>
      <c r="S14" s="809">
        <v>45249</v>
      </c>
      <c r="T14" s="792">
        <v>30</v>
      </c>
      <c r="U14" s="792">
        <f t="shared" si="1"/>
        <v>71</v>
      </c>
    </row>
    <row r="15" spans="1:25" ht="31.5" customHeight="1" x14ac:dyDescent="0.3">
      <c r="A15" s="297">
        <v>20</v>
      </c>
      <c r="B15" s="872" t="s">
        <v>52</v>
      </c>
      <c r="C15" s="864" t="s">
        <v>431</v>
      </c>
      <c r="D15" s="799">
        <f>'vacaciones 2022'!U16</f>
        <v>60</v>
      </c>
      <c r="E15" s="865">
        <v>31</v>
      </c>
      <c r="F15" s="303"/>
      <c r="G15" s="932"/>
      <c r="H15" s="932">
        <v>7</v>
      </c>
      <c r="I15" s="932">
        <v>23</v>
      </c>
      <c r="J15" s="932"/>
      <c r="K15" s="932"/>
      <c r="L15" s="932"/>
      <c r="M15" s="932"/>
      <c r="N15" s="933"/>
      <c r="O15" s="932"/>
      <c r="P15" s="934"/>
      <c r="Q15" s="847">
        <f t="shared" si="2"/>
        <v>61</v>
      </c>
      <c r="R15" s="847">
        <f t="shared" si="0"/>
        <v>-1</v>
      </c>
      <c r="S15" s="848">
        <v>45106</v>
      </c>
      <c r="T15" s="849">
        <v>30</v>
      </c>
      <c r="U15" s="849">
        <f t="shared" si="1"/>
        <v>29</v>
      </c>
      <c r="V15" s="253" t="s">
        <v>514</v>
      </c>
      <c r="Y15" s="316"/>
    </row>
    <row r="16" spans="1:25" ht="31.5" customHeight="1" x14ac:dyDescent="0.3">
      <c r="A16" s="297">
        <v>12</v>
      </c>
      <c r="B16" s="808" t="s">
        <v>404</v>
      </c>
      <c r="C16" s="806" t="s">
        <v>435</v>
      </c>
      <c r="D16" s="799">
        <f>'vacaciones 2022'!U18</f>
        <v>58</v>
      </c>
      <c r="E16" s="783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787"/>
      <c r="Q16" s="799">
        <f t="shared" si="2"/>
        <v>0</v>
      </c>
      <c r="R16" s="847">
        <f t="shared" si="0"/>
        <v>58</v>
      </c>
      <c r="S16" s="809">
        <v>45222</v>
      </c>
      <c r="T16" s="792">
        <v>30</v>
      </c>
      <c r="U16" s="849">
        <f t="shared" si="1"/>
        <v>88</v>
      </c>
      <c r="Y16" s="316"/>
    </row>
    <row r="17" spans="1:25" ht="31.5" customHeight="1" x14ac:dyDescent="0.3">
      <c r="A17" s="297">
        <v>16</v>
      </c>
      <c r="B17" s="808" t="s">
        <v>126</v>
      </c>
      <c r="C17" s="806" t="s">
        <v>431</v>
      </c>
      <c r="D17" s="799">
        <f>'vacaciones 2022'!U19</f>
        <v>31</v>
      </c>
      <c r="E17" s="781"/>
      <c r="F17" s="311">
        <v>9</v>
      </c>
      <c r="G17" s="311"/>
      <c r="H17" s="311"/>
      <c r="I17" s="311"/>
      <c r="J17" s="311"/>
      <c r="K17" s="311"/>
      <c r="L17" s="311"/>
      <c r="M17" s="311"/>
      <c r="N17" s="311">
        <v>17</v>
      </c>
      <c r="O17" s="311"/>
      <c r="P17" s="786"/>
      <c r="Q17" s="799">
        <f t="shared" si="2"/>
        <v>26</v>
      </c>
      <c r="R17" s="847">
        <f t="shared" si="0"/>
        <v>5</v>
      </c>
      <c r="S17" s="809">
        <v>45095</v>
      </c>
      <c r="T17" s="792">
        <v>30</v>
      </c>
      <c r="U17" s="849">
        <f t="shared" si="1"/>
        <v>35</v>
      </c>
      <c r="V17" s="254"/>
      <c r="W17" s="254"/>
      <c r="Y17" s="316"/>
    </row>
    <row r="18" spans="1:25" ht="31.5" customHeight="1" x14ac:dyDescent="0.3">
      <c r="A18" s="297">
        <v>14</v>
      </c>
      <c r="B18" s="808" t="s">
        <v>22</v>
      </c>
      <c r="C18" s="806" t="s">
        <v>435</v>
      </c>
      <c r="D18" s="799">
        <f>'vacaciones 2022'!U21</f>
        <v>16</v>
      </c>
      <c r="E18" s="812">
        <v>17</v>
      </c>
      <c r="F18" s="311">
        <v>29</v>
      </c>
      <c r="G18" s="311">
        <v>15</v>
      </c>
      <c r="H18" s="311"/>
      <c r="I18" s="311"/>
      <c r="J18" s="311"/>
      <c r="K18" s="311"/>
      <c r="L18" s="311"/>
      <c r="M18" s="311"/>
      <c r="N18" s="311"/>
      <c r="O18" s="311"/>
      <c r="P18" s="786"/>
      <c r="Q18" s="799">
        <f t="shared" si="2"/>
        <v>61</v>
      </c>
      <c r="R18" s="847">
        <f t="shared" si="0"/>
        <v>-45</v>
      </c>
      <c r="S18" s="809">
        <v>44927</v>
      </c>
      <c r="T18" s="792">
        <v>30</v>
      </c>
      <c r="U18" s="849">
        <f t="shared" si="1"/>
        <v>-15</v>
      </c>
      <c r="V18" s="253" t="s">
        <v>509</v>
      </c>
      <c r="W18" s="316" t="s">
        <v>518</v>
      </c>
      <c r="Y18" s="316">
        <v>45291</v>
      </c>
    </row>
    <row r="19" spans="1:25" ht="31.5" customHeight="1" x14ac:dyDescent="0.3">
      <c r="A19" s="297">
        <v>21</v>
      </c>
      <c r="B19" s="808" t="s">
        <v>127</v>
      </c>
      <c r="C19" s="806" t="s">
        <v>431</v>
      </c>
      <c r="D19" s="799">
        <f>'vacaciones 2022'!U23</f>
        <v>0</v>
      </c>
      <c r="E19" s="781">
        <v>7</v>
      </c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786"/>
      <c r="Q19" s="799">
        <f t="shared" si="2"/>
        <v>7</v>
      </c>
      <c r="R19" s="847">
        <f t="shared" si="0"/>
        <v>-7</v>
      </c>
      <c r="S19" s="809">
        <v>45083</v>
      </c>
      <c r="T19" s="792">
        <v>30</v>
      </c>
      <c r="U19" s="849">
        <f>+R19+T19</f>
        <v>23</v>
      </c>
      <c r="V19" s="254"/>
      <c r="W19" s="254"/>
      <c r="Y19" s="937">
        <f>Y18-Y17+1</f>
        <v>45292</v>
      </c>
    </row>
    <row r="20" spans="1:25" ht="31.5" customHeight="1" x14ac:dyDescent="0.3">
      <c r="A20" s="297">
        <v>13</v>
      </c>
      <c r="B20" s="808" t="s">
        <v>74</v>
      </c>
      <c r="C20" s="806" t="s">
        <v>436</v>
      </c>
      <c r="D20" s="799">
        <f>'vacaciones 2022'!U24</f>
        <v>2</v>
      </c>
      <c r="E20" s="935">
        <v>22</v>
      </c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786"/>
      <c r="Q20" s="799">
        <f t="shared" si="2"/>
        <v>22</v>
      </c>
      <c r="R20" s="847">
        <f t="shared" si="0"/>
        <v>-20</v>
      </c>
      <c r="S20" s="809">
        <v>45084</v>
      </c>
      <c r="T20" s="792">
        <v>30</v>
      </c>
      <c r="U20" s="849">
        <f t="shared" si="1"/>
        <v>10</v>
      </c>
      <c r="V20" s="253" t="s">
        <v>510</v>
      </c>
    </row>
    <row r="21" spans="1:25" ht="31.5" customHeight="1" x14ac:dyDescent="0.3">
      <c r="A21" s="297">
        <v>11</v>
      </c>
      <c r="B21" s="808" t="s">
        <v>16</v>
      </c>
      <c r="C21" s="806" t="s">
        <v>431</v>
      </c>
      <c r="D21" s="799">
        <f>'vacaciones 2022'!U25</f>
        <v>-15</v>
      </c>
      <c r="E21" s="781"/>
      <c r="F21" s="311"/>
      <c r="G21" s="311"/>
      <c r="H21" s="311"/>
      <c r="I21" s="311"/>
      <c r="J21" s="311">
        <v>12</v>
      </c>
      <c r="K21" s="311">
        <v>4</v>
      </c>
      <c r="L21" s="311">
        <v>5</v>
      </c>
      <c r="M21" s="311"/>
      <c r="N21" s="311"/>
      <c r="O21" s="311"/>
      <c r="P21" s="786"/>
      <c r="Q21" s="799">
        <f t="shared" si="2"/>
        <v>21</v>
      </c>
      <c r="R21" s="847">
        <f t="shared" si="0"/>
        <v>-36</v>
      </c>
      <c r="S21" s="809">
        <v>45095</v>
      </c>
      <c r="T21" s="792">
        <v>30</v>
      </c>
      <c r="U21" s="849">
        <f t="shared" si="1"/>
        <v>-6</v>
      </c>
      <c r="V21" s="253" t="s">
        <v>511</v>
      </c>
      <c r="X21" s="254"/>
      <c r="Y21" s="254"/>
    </row>
    <row r="22" spans="1:25" s="254" customFormat="1" ht="31.5" customHeight="1" x14ac:dyDescent="0.3">
      <c r="A22" s="297"/>
      <c r="B22" s="808" t="s">
        <v>492</v>
      </c>
      <c r="C22" s="806" t="s">
        <v>436</v>
      </c>
      <c r="D22" s="799">
        <f>'vacaciones 2022'!U26</f>
        <v>20</v>
      </c>
      <c r="E22" s="781"/>
      <c r="F22" s="311"/>
      <c r="G22" s="311"/>
      <c r="H22" s="311"/>
      <c r="I22" s="311">
        <v>7</v>
      </c>
      <c r="J22" s="311"/>
      <c r="K22" s="311"/>
      <c r="L22" s="311"/>
      <c r="M22" s="311"/>
      <c r="N22" s="311"/>
      <c r="O22" s="311"/>
      <c r="P22" s="786">
        <v>15</v>
      </c>
      <c r="Q22" s="799">
        <f t="shared" si="2"/>
        <v>22</v>
      </c>
      <c r="R22" s="847">
        <f t="shared" si="0"/>
        <v>-2</v>
      </c>
      <c r="S22" s="809">
        <v>45277</v>
      </c>
      <c r="T22" s="792">
        <v>30</v>
      </c>
      <c r="U22" s="849">
        <f t="shared" si="1"/>
        <v>28</v>
      </c>
      <c r="V22" s="253"/>
      <c r="W22" s="253"/>
      <c r="X22" s="253"/>
      <c r="Y22" s="253"/>
    </row>
    <row r="23" spans="1:25" s="254" customFormat="1" ht="31.5" customHeight="1" x14ac:dyDescent="0.3">
      <c r="A23" s="297"/>
      <c r="B23" s="808" t="s">
        <v>502</v>
      </c>
      <c r="C23" s="806" t="s">
        <v>436</v>
      </c>
      <c r="D23" s="799">
        <f>'vacaciones 2022'!U27</f>
        <v>0</v>
      </c>
      <c r="E23" s="78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786"/>
      <c r="Q23" s="799"/>
      <c r="R23" s="847"/>
      <c r="S23" s="809">
        <v>45163</v>
      </c>
      <c r="T23" s="792">
        <v>30</v>
      </c>
      <c r="U23" s="849">
        <f t="shared" si="1"/>
        <v>30</v>
      </c>
      <c r="V23" s="253"/>
      <c r="W23" s="253"/>
      <c r="X23" s="253"/>
      <c r="Y23" s="253"/>
    </row>
    <row r="24" spans="1:25" s="254" customFormat="1" ht="31.5" customHeight="1" x14ac:dyDescent="0.3">
      <c r="A24" s="297"/>
      <c r="B24" s="808" t="s">
        <v>523</v>
      </c>
      <c r="C24" s="806" t="s">
        <v>435</v>
      </c>
      <c r="D24" s="799"/>
      <c r="E24" s="78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786"/>
      <c r="Q24" s="799"/>
      <c r="R24" s="847"/>
      <c r="S24" s="809">
        <v>45581</v>
      </c>
      <c r="T24" s="792"/>
      <c r="U24" s="849"/>
      <c r="V24" s="253"/>
      <c r="W24" s="253"/>
      <c r="X24" s="253"/>
      <c r="Y24" s="253"/>
    </row>
    <row r="25" spans="1:25" s="254" customFormat="1" ht="31.5" customHeight="1" x14ac:dyDescent="0.3">
      <c r="A25" s="297"/>
      <c r="B25" s="808" t="s">
        <v>524</v>
      </c>
      <c r="C25" s="806" t="s">
        <v>435</v>
      </c>
      <c r="D25" s="799"/>
      <c r="E25" s="78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786"/>
      <c r="Q25" s="799"/>
      <c r="R25" s="847"/>
      <c r="S25" s="809">
        <v>45532</v>
      </c>
      <c r="T25" s="792"/>
      <c r="U25" s="849"/>
      <c r="V25" s="253"/>
      <c r="W25" s="253"/>
      <c r="X25" s="253"/>
      <c r="Y25" s="253"/>
    </row>
    <row r="26" spans="1:25" s="254" customFormat="1" ht="31.5" customHeight="1" x14ac:dyDescent="0.3">
      <c r="A26" s="297"/>
      <c r="B26" s="808" t="s">
        <v>525</v>
      </c>
      <c r="C26" s="806"/>
      <c r="D26" s="799"/>
      <c r="E26" s="78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786"/>
      <c r="Q26" s="799"/>
      <c r="R26" s="847"/>
      <c r="S26" s="809">
        <v>45570</v>
      </c>
      <c r="T26" s="792"/>
      <c r="U26" s="849"/>
      <c r="V26" s="253"/>
      <c r="W26" s="253"/>
      <c r="X26" s="253"/>
      <c r="Y26" s="253"/>
    </row>
    <row r="27" spans="1:25" s="254" customFormat="1" ht="31.5" customHeight="1" x14ac:dyDescent="0.3">
      <c r="A27" s="297"/>
      <c r="B27" s="808" t="s">
        <v>526</v>
      </c>
      <c r="C27" s="806"/>
      <c r="D27" s="799"/>
      <c r="E27" s="78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786"/>
      <c r="Q27" s="799"/>
      <c r="R27" s="847"/>
      <c r="S27" s="809">
        <v>45518</v>
      </c>
      <c r="T27" s="792"/>
      <c r="U27" s="849"/>
      <c r="V27" s="253"/>
      <c r="W27" s="253"/>
      <c r="X27" s="253"/>
      <c r="Y27" s="253"/>
    </row>
    <row r="28" spans="1:25" s="254" customFormat="1" ht="31.5" customHeight="1" x14ac:dyDescent="0.3">
      <c r="A28" s="297"/>
      <c r="B28" s="808" t="s">
        <v>527</v>
      </c>
      <c r="C28" s="806"/>
      <c r="D28" s="799"/>
      <c r="E28" s="78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786"/>
      <c r="Q28" s="799"/>
      <c r="R28" s="847"/>
      <c r="S28" s="809">
        <v>45570</v>
      </c>
      <c r="T28" s="792"/>
      <c r="U28" s="849"/>
      <c r="V28" s="253"/>
      <c r="W28" s="253"/>
      <c r="X28" s="253"/>
      <c r="Y28" s="253"/>
    </row>
    <row r="29" spans="1:25" s="254" customFormat="1" ht="31.5" customHeight="1" x14ac:dyDescent="0.3">
      <c r="A29" s="297"/>
      <c r="B29" s="808" t="s">
        <v>528</v>
      </c>
      <c r="C29" s="806"/>
      <c r="D29" s="799"/>
      <c r="E29" s="78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786"/>
      <c r="Q29" s="799"/>
      <c r="R29" s="847"/>
      <c r="S29" s="809">
        <v>45497</v>
      </c>
      <c r="T29" s="792"/>
      <c r="U29" s="849"/>
      <c r="V29" s="253"/>
      <c r="W29" s="253"/>
      <c r="X29" s="253"/>
      <c r="Y29" s="253"/>
    </row>
    <row r="30" spans="1:25" s="254" customFormat="1" ht="31.5" customHeight="1" x14ac:dyDescent="0.3">
      <c r="A30" s="297"/>
      <c r="B30" s="808" t="s">
        <v>529</v>
      </c>
      <c r="C30" s="806"/>
      <c r="D30" s="799"/>
      <c r="E30" s="78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786"/>
      <c r="Q30" s="799"/>
      <c r="R30" s="847"/>
      <c r="S30" s="809">
        <v>45588</v>
      </c>
      <c r="T30" s="792"/>
      <c r="U30" s="849"/>
      <c r="V30" s="253"/>
      <c r="W30" s="253"/>
      <c r="X30" s="253"/>
      <c r="Y30" s="253"/>
    </row>
    <row r="31" spans="1:25" s="254" customFormat="1" ht="31.5" customHeight="1" x14ac:dyDescent="0.3">
      <c r="A31" s="297"/>
      <c r="B31" s="808" t="s">
        <v>521</v>
      </c>
      <c r="C31" s="806" t="s">
        <v>522</v>
      </c>
      <c r="D31" s="799"/>
      <c r="E31" s="78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786"/>
      <c r="Q31" s="799"/>
      <c r="R31" s="847"/>
      <c r="S31" s="809">
        <v>45581</v>
      </c>
      <c r="T31" s="792"/>
      <c r="U31" s="849"/>
      <c r="V31" s="253"/>
      <c r="W31" s="253"/>
      <c r="X31" s="253"/>
      <c r="Y31" s="253"/>
    </row>
    <row r="32" spans="1:25" s="254" customFormat="1" ht="31.5" customHeight="1" x14ac:dyDescent="0.3">
      <c r="A32" s="297"/>
      <c r="B32" s="808" t="s">
        <v>530</v>
      </c>
      <c r="C32" s="806" t="s">
        <v>522</v>
      </c>
      <c r="D32" s="799"/>
      <c r="E32" s="78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786"/>
      <c r="Q32" s="799"/>
      <c r="R32" s="847"/>
      <c r="S32" s="809">
        <v>45536</v>
      </c>
      <c r="T32" s="792"/>
      <c r="U32" s="849"/>
      <c r="V32" s="253"/>
      <c r="W32" s="253"/>
      <c r="X32" s="253"/>
      <c r="Y32" s="253"/>
    </row>
    <row r="33" spans="1:25" s="254" customFormat="1" ht="31.5" customHeight="1" x14ac:dyDescent="0.3">
      <c r="A33" s="297"/>
      <c r="B33" s="808" t="s">
        <v>519</v>
      </c>
      <c r="C33" s="806" t="s">
        <v>465</v>
      </c>
      <c r="D33" s="799"/>
      <c r="E33" s="78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786"/>
      <c r="Q33" s="799"/>
      <c r="R33" s="847"/>
      <c r="S33" s="809">
        <v>45353</v>
      </c>
      <c r="T33" s="792"/>
      <c r="U33" s="849">
        <f t="shared" si="1"/>
        <v>0</v>
      </c>
      <c r="V33" s="253"/>
      <c r="W33" s="253"/>
      <c r="X33" s="253"/>
      <c r="Y33" s="253"/>
    </row>
    <row r="34" spans="1:25" s="254" customFormat="1" ht="31.5" customHeight="1" x14ac:dyDescent="0.3">
      <c r="A34" s="297"/>
      <c r="B34" s="881" t="s">
        <v>445</v>
      </c>
      <c r="C34" s="882"/>
      <c r="D34" s="882"/>
      <c r="E34" s="882"/>
      <c r="F34" s="882"/>
      <c r="G34" s="882"/>
      <c r="H34" s="882"/>
      <c r="I34" s="882"/>
      <c r="J34" s="882"/>
      <c r="K34" s="882"/>
      <c r="L34" s="882"/>
      <c r="M34" s="882"/>
      <c r="N34" s="882"/>
      <c r="O34" s="882"/>
      <c r="P34" s="882"/>
      <c r="Q34" s="882"/>
      <c r="R34" s="882"/>
      <c r="S34" s="922"/>
      <c r="T34" s="882"/>
      <c r="U34" s="883"/>
    </row>
    <row r="35" spans="1:25" s="254" customFormat="1" ht="31.5" customHeight="1" x14ac:dyDescent="0.3">
      <c r="A35" s="297">
        <v>27</v>
      </c>
      <c r="B35" s="912" t="s">
        <v>18</v>
      </c>
      <c r="C35" s="850" t="s">
        <v>433</v>
      </c>
      <c r="D35" s="836">
        <f>'vacaciones 2022'!U29-5</f>
        <v>52</v>
      </c>
      <c r="E35" s="844"/>
      <c r="F35" s="845"/>
      <c r="G35" s="845"/>
      <c r="H35" s="845"/>
      <c r="I35" s="845"/>
      <c r="J35" s="845">
        <v>4</v>
      </c>
      <c r="K35" s="845"/>
      <c r="L35" s="845">
        <v>1</v>
      </c>
      <c r="M35" s="845"/>
      <c r="N35" s="845">
        <v>7</v>
      </c>
      <c r="O35" s="845"/>
      <c r="P35" s="846">
        <v>6</v>
      </c>
      <c r="Q35" s="836">
        <f>SUM(E35:P35)</f>
        <v>18</v>
      </c>
      <c r="R35" s="836">
        <f>+D35-Q35</f>
        <v>34</v>
      </c>
      <c r="S35" s="837">
        <v>44931</v>
      </c>
      <c r="T35" s="838">
        <v>30</v>
      </c>
      <c r="U35" s="838">
        <f>+R35+T35</f>
        <v>64</v>
      </c>
    </row>
    <row r="36" spans="1:25" s="254" customFormat="1" ht="31.5" customHeight="1" x14ac:dyDescent="0.3">
      <c r="A36" s="297"/>
      <c r="B36" s="912" t="s">
        <v>493</v>
      </c>
      <c r="C36" s="852" t="s">
        <v>428</v>
      </c>
      <c r="D36" s="836">
        <f>'vacaciones 2022'!U30</f>
        <v>-11</v>
      </c>
      <c r="E36" s="844"/>
      <c r="F36" s="845"/>
      <c r="G36" s="845"/>
      <c r="H36" s="845"/>
      <c r="I36" s="845"/>
      <c r="J36" s="845"/>
      <c r="K36" s="845">
        <v>7</v>
      </c>
      <c r="L36" s="845"/>
      <c r="M36" s="845"/>
      <c r="N36" s="845">
        <v>1</v>
      </c>
      <c r="O36" s="845"/>
      <c r="P36" s="846">
        <v>6</v>
      </c>
      <c r="Q36" s="836">
        <f>SUM(E36:P36)</f>
        <v>14</v>
      </c>
      <c r="R36" s="836">
        <f>+D36-Q36</f>
        <v>-25</v>
      </c>
      <c r="S36" s="837">
        <v>45078</v>
      </c>
      <c r="T36" s="838">
        <v>30</v>
      </c>
      <c r="U36" s="838">
        <f>+R36+T36</f>
        <v>5</v>
      </c>
    </row>
    <row r="37" spans="1:25" s="254" customFormat="1" ht="31.5" customHeight="1" x14ac:dyDescent="0.3">
      <c r="A37" s="297"/>
      <c r="B37" s="912" t="s">
        <v>494</v>
      </c>
      <c r="C37" s="852" t="s">
        <v>428</v>
      </c>
      <c r="D37" s="836">
        <f>'vacaciones 2022'!U31</f>
        <v>-11</v>
      </c>
      <c r="E37" s="844"/>
      <c r="F37" s="845"/>
      <c r="G37" s="845"/>
      <c r="H37" s="845"/>
      <c r="I37" s="845"/>
      <c r="J37" s="845"/>
      <c r="K37" s="845">
        <v>7</v>
      </c>
      <c r="L37" s="845"/>
      <c r="M37" s="845">
        <v>1</v>
      </c>
      <c r="N37" s="845"/>
      <c r="O37" s="845"/>
      <c r="P37" s="846">
        <f>6+1</f>
        <v>7</v>
      </c>
      <c r="Q37" s="836">
        <f>SUM(E37:P37)</f>
        <v>15</v>
      </c>
      <c r="R37" s="836">
        <f>+D37-Q37</f>
        <v>-26</v>
      </c>
      <c r="S37" s="837">
        <v>45078</v>
      </c>
      <c r="T37" s="838">
        <v>30</v>
      </c>
      <c r="U37" s="838">
        <f>+R37+T37</f>
        <v>4</v>
      </c>
    </row>
    <row r="38" spans="1:25" ht="31.5" customHeight="1" x14ac:dyDescent="0.3">
      <c r="A38" s="297">
        <v>29</v>
      </c>
      <c r="B38" s="808" t="s">
        <v>402</v>
      </c>
      <c r="C38" s="852" t="s">
        <v>428</v>
      </c>
      <c r="D38" s="836">
        <f>'vacaciones 2022'!U32+5</f>
        <v>12</v>
      </c>
      <c r="E38" s="853"/>
      <c r="F38" s="854"/>
      <c r="G38" s="854">
        <v>1</v>
      </c>
      <c r="H38" s="854"/>
      <c r="I38" s="854">
        <v>2</v>
      </c>
      <c r="J38" s="854">
        <v>1</v>
      </c>
      <c r="K38" s="854"/>
      <c r="L38" s="854">
        <v>1</v>
      </c>
      <c r="M38" s="854">
        <v>1</v>
      </c>
      <c r="N38" s="854">
        <v>1</v>
      </c>
      <c r="O38" s="854">
        <v>2</v>
      </c>
      <c r="P38" s="855">
        <v>6</v>
      </c>
      <c r="Q38" s="799">
        <f>SUM(E38:P38)</f>
        <v>15</v>
      </c>
      <c r="R38" s="799">
        <f>+D38-Q38</f>
        <v>-3</v>
      </c>
      <c r="S38" s="809">
        <v>45222</v>
      </c>
      <c r="T38" s="792">
        <v>30</v>
      </c>
      <c r="U38" s="792">
        <f>+R38+T38</f>
        <v>27</v>
      </c>
    </row>
    <row r="39" spans="1:25" ht="31.5" customHeight="1" x14ac:dyDescent="0.3">
      <c r="A39" s="297"/>
      <c r="B39" s="881" t="s">
        <v>446</v>
      </c>
      <c r="C39" s="882"/>
      <c r="D39" s="882"/>
      <c r="E39" s="882"/>
      <c r="F39" s="882"/>
      <c r="G39" s="882"/>
      <c r="H39" s="882"/>
      <c r="I39" s="882"/>
      <c r="J39" s="882"/>
      <c r="K39" s="882"/>
      <c r="L39" s="882"/>
      <c r="M39" s="882"/>
      <c r="N39" s="882"/>
      <c r="O39" s="882"/>
      <c r="P39" s="882"/>
      <c r="Q39" s="882"/>
      <c r="R39" s="882"/>
      <c r="S39" s="922"/>
      <c r="T39" s="882"/>
      <c r="U39" s="883"/>
      <c r="V39" s="254"/>
    </row>
    <row r="40" spans="1:25" ht="31.5" customHeight="1" x14ac:dyDescent="0.3">
      <c r="A40" s="297">
        <v>30</v>
      </c>
      <c r="B40" s="807" t="s">
        <v>58</v>
      </c>
      <c r="C40" s="856" t="s">
        <v>444</v>
      </c>
      <c r="D40" s="799">
        <f>'vacaciones 2022'!U34</f>
        <v>179</v>
      </c>
      <c r="E40" s="857"/>
      <c r="F40" s="841"/>
      <c r="G40" s="841"/>
      <c r="H40" s="841"/>
      <c r="I40" s="841"/>
      <c r="J40" s="841"/>
      <c r="K40" s="841"/>
      <c r="L40" s="841"/>
      <c r="M40" s="841"/>
      <c r="N40" s="841"/>
      <c r="O40" s="841"/>
      <c r="P40" s="858"/>
      <c r="Q40" s="799">
        <f>SUM(E40:P40)</f>
        <v>0</v>
      </c>
      <c r="R40" s="799">
        <f>+D40-Q40</f>
        <v>179</v>
      </c>
      <c r="S40" s="809">
        <v>45000</v>
      </c>
      <c r="T40" s="792">
        <v>30</v>
      </c>
      <c r="U40" s="792">
        <f>+R40+T40</f>
        <v>209</v>
      </c>
    </row>
    <row r="41" spans="1:25" ht="31.5" customHeight="1" x14ac:dyDescent="0.3">
      <c r="A41" s="297">
        <v>31</v>
      </c>
      <c r="B41" s="807" t="s">
        <v>87</v>
      </c>
      <c r="C41" s="807" t="s">
        <v>429</v>
      </c>
      <c r="D41" s="799">
        <f>'vacaciones 2022'!U35</f>
        <v>14</v>
      </c>
      <c r="E41" s="909">
        <v>1</v>
      </c>
      <c r="F41" s="910">
        <f>1+1+1+1</f>
        <v>4</v>
      </c>
      <c r="G41" s="910">
        <f>1+1+1+2</f>
        <v>5</v>
      </c>
      <c r="H41" s="910"/>
      <c r="I41" s="910"/>
      <c r="J41" s="910">
        <f>1+1</f>
        <v>2</v>
      </c>
      <c r="K41" s="910">
        <f>1</f>
        <v>1</v>
      </c>
      <c r="L41" s="910"/>
      <c r="M41" s="910">
        <v>1</v>
      </c>
      <c r="N41" s="910"/>
      <c r="O41" s="910">
        <v>1</v>
      </c>
      <c r="P41" s="911">
        <v>3</v>
      </c>
      <c r="Q41" s="799">
        <f>SUM(E41:P41)</f>
        <v>18</v>
      </c>
      <c r="R41" s="799">
        <f>+D41-Q41</f>
        <v>-4</v>
      </c>
      <c r="S41" s="809">
        <v>44990</v>
      </c>
      <c r="T41" s="792">
        <v>30</v>
      </c>
      <c r="U41" s="792">
        <f>+R41+T41</f>
        <v>26</v>
      </c>
    </row>
    <row r="42" spans="1:25" ht="31.5" customHeight="1" x14ac:dyDescent="0.3">
      <c r="A42" s="297">
        <v>17</v>
      </c>
      <c r="B42" s="908" t="s">
        <v>156</v>
      </c>
      <c r="C42" s="852" t="s">
        <v>429</v>
      </c>
      <c r="D42" s="799">
        <f>'vacaciones 2022'!U37</f>
        <v>0</v>
      </c>
      <c r="E42" s="853"/>
      <c r="F42" s="854"/>
      <c r="G42" s="854"/>
      <c r="H42" s="854"/>
      <c r="I42" s="854"/>
      <c r="J42" s="854"/>
      <c r="K42" s="854"/>
      <c r="L42" s="854"/>
      <c r="M42" s="854"/>
      <c r="N42" s="854"/>
      <c r="O42" s="854"/>
      <c r="P42" s="879"/>
      <c r="Q42" s="799">
        <f>SUM(E42:P42)</f>
        <v>0</v>
      </c>
      <c r="R42" s="799">
        <f>+D42-Q42</f>
        <v>0</v>
      </c>
      <c r="S42" s="809"/>
      <c r="T42" s="792"/>
      <c r="U42" s="792">
        <f>+R42+T42</f>
        <v>0</v>
      </c>
    </row>
    <row r="43" spans="1:25" ht="31.5" customHeight="1" x14ac:dyDescent="0.3">
      <c r="A43" s="297"/>
      <c r="B43" s="881" t="s">
        <v>447</v>
      </c>
      <c r="C43" s="882"/>
      <c r="D43" s="882"/>
      <c r="E43" s="882"/>
      <c r="F43" s="882"/>
      <c r="G43" s="882"/>
      <c r="H43" s="882"/>
      <c r="I43" s="882"/>
      <c r="J43" s="882"/>
      <c r="K43" s="882"/>
      <c r="L43" s="882"/>
      <c r="M43" s="882"/>
      <c r="N43" s="882"/>
      <c r="O43" s="882"/>
      <c r="P43" s="882"/>
      <c r="Q43" s="882"/>
      <c r="R43" s="882"/>
      <c r="S43" s="922"/>
      <c r="T43" s="882"/>
      <c r="U43" s="883"/>
      <c r="V43" s="254"/>
    </row>
    <row r="44" spans="1:25" ht="31.5" customHeight="1" x14ac:dyDescent="0.3">
      <c r="A44" s="297">
        <v>34</v>
      </c>
      <c r="B44" s="808" t="s">
        <v>50</v>
      </c>
      <c r="C44" s="856" t="s">
        <v>434</v>
      </c>
      <c r="D44" s="799">
        <f>'vacaciones 2022'!U39</f>
        <v>232</v>
      </c>
      <c r="E44" s="917"/>
      <c r="F44" s="918"/>
      <c r="G44" s="918"/>
      <c r="H44" s="918"/>
      <c r="I44" s="918"/>
      <c r="J44" s="918"/>
      <c r="K44" s="918">
        <v>12</v>
      </c>
      <c r="L44" s="918"/>
      <c r="M44" s="918"/>
      <c r="N44" s="918"/>
      <c r="O44" s="918"/>
      <c r="P44" s="920"/>
      <c r="Q44" s="799">
        <f>SUM(E44:P44)</f>
        <v>12</v>
      </c>
      <c r="R44" s="799">
        <f>+D44-Q44</f>
        <v>220</v>
      </c>
      <c r="S44" s="809">
        <v>45081</v>
      </c>
      <c r="T44" s="792">
        <v>30</v>
      </c>
      <c r="U44" s="792">
        <f>+R44+T44</f>
        <v>250</v>
      </c>
    </row>
    <row r="45" spans="1:25" ht="31.5" customHeight="1" x14ac:dyDescent="0.3">
      <c r="A45" s="297">
        <v>33</v>
      </c>
      <c r="B45" s="808" t="s">
        <v>20</v>
      </c>
      <c r="C45" s="806" t="s">
        <v>434</v>
      </c>
      <c r="D45" s="799">
        <f>'vacaciones 2022'!U40</f>
        <v>173</v>
      </c>
      <c r="E45" s="781"/>
      <c r="F45" s="311"/>
      <c r="G45" s="311"/>
      <c r="H45" s="311"/>
      <c r="I45" s="311"/>
      <c r="J45" s="311"/>
      <c r="K45" s="311">
        <v>33</v>
      </c>
      <c r="L45" s="311"/>
      <c r="M45" s="311"/>
      <c r="N45" s="311"/>
      <c r="O45" s="311"/>
      <c r="P45" s="786"/>
      <c r="Q45" s="799">
        <f>SUM(E45:P45)</f>
        <v>33</v>
      </c>
      <c r="R45" s="799">
        <f>+D45-Q45</f>
        <v>140</v>
      </c>
      <c r="S45" s="809">
        <v>45112</v>
      </c>
      <c r="T45" s="792">
        <v>30</v>
      </c>
      <c r="U45" s="792">
        <f>+R45+T45</f>
        <v>170</v>
      </c>
      <c r="Y45" s="316"/>
    </row>
    <row r="46" spans="1:25" ht="31.5" customHeight="1" x14ac:dyDescent="0.3">
      <c r="A46" s="297">
        <v>35</v>
      </c>
      <c r="B46" s="808" t="s">
        <v>49</v>
      </c>
      <c r="C46" s="806" t="s">
        <v>143</v>
      </c>
      <c r="D46" s="799">
        <f>'vacaciones 2022'!U41</f>
        <v>17</v>
      </c>
      <c r="E46" s="781"/>
      <c r="F46" s="311"/>
      <c r="G46" s="311">
        <v>1</v>
      </c>
      <c r="H46" s="311"/>
      <c r="I46" s="309"/>
      <c r="J46" s="311">
        <f>1+12</f>
        <v>13</v>
      </c>
      <c r="K46" s="311">
        <v>2</v>
      </c>
      <c r="L46" s="311"/>
      <c r="M46" s="311">
        <v>1</v>
      </c>
      <c r="N46" s="311"/>
      <c r="O46" s="311"/>
      <c r="P46" s="786">
        <v>9</v>
      </c>
      <c r="Q46" s="799">
        <f>SUM(E46:P46)</f>
        <v>26</v>
      </c>
      <c r="R46" s="799">
        <f>+D46-Q46</f>
        <v>-9</v>
      </c>
      <c r="S46" s="809">
        <v>45220</v>
      </c>
      <c r="T46" s="792">
        <v>30</v>
      </c>
      <c r="U46" s="792">
        <f>+R46+T46</f>
        <v>21</v>
      </c>
      <c r="X46" s="316">
        <v>45264</v>
      </c>
    </row>
    <row r="47" spans="1:25" ht="31.5" customHeight="1" x14ac:dyDescent="0.3">
      <c r="A47" s="297">
        <v>36</v>
      </c>
      <c r="B47" s="807" t="s">
        <v>53</v>
      </c>
      <c r="C47" s="852" t="s">
        <v>143</v>
      </c>
      <c r="D47" s="799">
        <f>'vacaciones 2022'!U42</f>
        <v>46</v>
      </c>
      <c r="E47" s="853"/>
      <c r="F47" s="854"/>
      <c r="G47" s="854"/>
      <c r="H47" s="854"/>
      <c r="I47" s="854"/>
      <c r="J47" s="854"/>
      <c r="K47" s="854"/>
      <c r="L47" s="854"/>
      <c r="M47" s="854"/>
      <c r="N47" s="854"/>
      <c r="O47" s="854">
        <v>23</v>
      </c>
      <c r="P47" s="855"/>
      <c r="Q47" s="799">
        <f>SUM(E47:P47)</f>
        <v>23</v>
      </c>
      <c r="R47" s="799">
        <f>+D47-Q47</f>
        <v>23</v>
      </c>
      <c r="S47" s="809">
        <v>45281</v>
      </c>
      <c r="T47" s="792">
        <v>30</v>
      </c>
      <c r="U47" s="792">
        <f>+R47+T47</f>
        <v>53</v>
      </c>
      <c r="X47" s="316">
        <v>45272</v>
      </c>
      <c r="Y47" s="316"/>
    </row>
    <row r="48" spans="1:25" ht="31.5" customHeight="1" x14ac:dyDescent="0.3">
      <c r="A48" s="297"/>
      <c r="B48" s="807" t="s">
        <v>532</v>
      </c>
      <c r="C48" s="852" t="s">
        <v>143</v>
      </c>
      <c r="D48" s="799"/>
      <c r="E48" s="915"/>
      <c r="F48" s="875"/>
      <c r="G48" s="875"/>
      <c r="H48" s="875"/>
      <c r="I48" s="875"/>
      <c r="J48" s="875"/>
      <c r="K48" s="875"/>
      <c r="L48" s="875"/>
      <c r="M48" s="875"/>
      <c r="N48" s="875"/>
      <c r="O48" s="875"/>
      <c r="P48" s="877"/>
      <c r="Q48" s="799"/>
      <c r="R48" s="799"/>
      <c r="S48" s="809">
        <v>45525</v>
      </c>
      <c r="T48" s="792"/>
      <c r="U48" s="792"/>
      <c r="X48" s="316"/>
      <c r="Y48" s="316"/>
    </row>
    <row r="49" spans="1:25" ht="31.5" customHeight="1" x14ac:dyDescent="0.3">
      <c r="A49" s="297"/>
      <c r="B49" s="807" t="s">
        <v>533</v>
      </c>
      <c r="C49" s="852" t="s">
        <v>143</v>
      </c>
      <c r="D49" s="799"/>
      <c r="E49" s="915"/>
      <c r="F49" s="875"/>
      <c r="G49" s="875"/>
      <c r="H49" s="875"/>
      <c r="I49" s="875"/>
      <c r="J49" s="875"/>
      <c r="K49" s="875"/>
      <c r="L49" s="875"/>
      <c r="M49" s="875"/>
      <c r="N49" s="875"/>
      <c r="O49" s="875"/>
      <c r="P49" s="877"/>
      <c r="Q49" s="799"/>
      <c r="R49" s="799"/>
      <c r="S49" s="809">
        <v>45598</v>
      </c>
      <c r="T49" s="792"/>
      <c r="U49" s="792"/>
      <c r="X49" s="316"/>
      <c r="Y49" s="316"/>
    </row>
    <row r="50" spans="1:25" ht="31.5" customHeight="1" x14ac:dyDescent="0.3">
      <c r="A50" s="297"/>
      <c r="B50" s="807" t="s">
        <v>472</v>
      </c>
      <c r="C50" s="806" t="s">
        <v>466</v>
      </c>
      <c r="D50" s="799">
        <f>'vacaciones 2022'!U43</f>
        <v>14</v>
      </c>
      <c r="E50" s="915"/>
      <c r="F50" s="875"/>
      <c r="G50" s="875"/>
      <c r="H50" s="875"/>
      <c r="I50" s="875"/>
      <c r="J50" s="875"/>
      <c r="K50" s="875"/>
      <c r="L50" s="875"/>
      <c r="M50" s="875"/>
      <c r="N50" s="875"/>
      <c r="O50" s="875"/>
      <c r="P50" s="877"/>
      <c r="Q50" s="799">
        <f>SUM(E50:P50)</f>
        <v>0</v>
      </c>
      <c r="R50" s="799">
        <f>+D50-Q50</f>
        <v>14</v>
      </c>
      <c r="S50" s="809">
        <v>45184</v>
      </c>
      <c r="T50" s="792">
        <v>30</v>
      </c>
      <c r="U50" s="792">
        <f>+R50+T50</f>
        <v>44</v>
      </c>
      <c r="X50" s="253">
        <f>X47-X46+1</f>
        <v>9</v>
      </c>
    </row>
    <row r="51" spans="1:25" ht="31.5" customHeight="1" x14ac:dyDescent="0.3">
      <c r="A51" s="297"/>
      <c r="B51" s="881" t="s">
        <v>448</v>
      </c>
      <c r="C51" s="882"/>
      <c r="D51" s="882"/>
      <c r="E51" s="882"/>
      <c r="F51" s="882"/>
      <c r="G51" s="882"/>
      <c r="H51" s="882"/>
      <c r="I51" s="882"/>
      <c r="J51" s="882"/>
      <c r="K51" s="882"/>
      <c r="L51" s="882"/>
      <c r="M51" s="882"/>
      <c r="N51" s="882"/>
      <c r="O51" s="882"/>
      <c r="P51" s="882"/>
      <c r="Q51" s="882"/>
      <c r="R51" s="882"/>
      <c r="S51" s="922"/>
      <c r="T51" s="882"/>
      <c r="U51" s="883"/>
      <c r="V51" s="254"/>
    </row>
    <row r="52" spans="1:25" ht="31.5" customHeight="1" x14ac:dyDescent="0.3">
      <c r="A52" s="297">
        <v>37</v>
      </c>
      <c r="B52" s="808" t="s">
        <v>56</v>
      </c>
      <c r="C52" s="860" t="s">
        <v>438</v>
      </c>
      <c r="D52" s="799">
        <f>'vacaciones 2022'!U45</f>
        <v>74</v>
      </c>
      <c r="E52" s="861"/>
      <c r="F52" s="862"/>
      <c r="G52" s="899"/>
      <c r="H52" s="862"/>
      <c r="I52" s="862"/>
      <c r="J52" s="862"/>
      <c r="K52" s="862">
        <v>1</v>
      </c>
      <c r="L52" s="862">
        <f>6+1</f>
        <v>7</v>
      </c>
      <c r="M52" s="862">
        <v>1</v>
      </c>
      <c r="N52" s="862"/>
      <c r="O52" s="862">
        <v>1</v>
      </c>
      <c r="P52" s="863">
        <v>1</v>
      </c>
      <c r="Q52" s="799">
        <f>SUM(E52:P52)</f>
        <v>11</v>
      </c>
      <c r="R52" s="799">
        <f>+D52-Q52</f>
        <v>63</v>
      </c>
      <c r="S52" s="809">
        <v>44978</v>
      </c>
      <c r="T52" s="792">
        <v>30</v>
      </c>
      <c r="U52" s="792">
        <f>+R52+T52</f>
        <v>93</v>
      </c>
    </row>
    <row r="53" spans="1:25" ht="31.5" customHeight="1" x14ac:dyDescent="0.3">
      <c r="A53" s="297">
        <v>37</v>
      </c>
      <c r="B53" s="808" t="s">
        <v>495</v>
      </c>
      <c r="C53" s="860" t="s">
        <v>438</v>
      </c>
      <c r="D53" s="799">
        <f>'vacaciones 2022'!U46</f>
        <v>-1</v>
      </c>
      <c r="E53" s="861"/>
      <c r="F53" s="862"/>
      <c r="G53" s="899"/>
      <c r="H53" s="862"/>
      <c r="I53" s="862"/>
      <c r="J53" s="862"/>
      <c r="K53" s="862"/>
      <c r="L53" s="862"/>
      <c r="M53" s="862"/>
      <c r="N53" s="862"/>
      <c r="O53" s="862"/>
      <c r="P53" s="863"/>
      <c r="Q53" s="799">
        <f>SUM(E53:P53)</f>
        <v>0</v>
      </c>
      <c r="R53" s="799">
        <f>+D53-Q53</f>
        <v>-1</v>
      </c>
      <c r="S53" s="809">
        <v>45083</v>
      </c>
      <c r="T53" s="792">
        <v>30</v>
      </c>
      <c r="U53" s="792">
        <f>+R53+T53</f>
        <v>29</v>
      </c>
    </row>
    <row r="54" spans="1:25" ht="31.5" customHeight="1" x14ac:dyDescent="0.3">
      <c r="A54" s="297"/>
      <c r="B54" s="881" t="s">
        <v>452</v>
      </c>
      <c r="C54" s="882"/>
      <c r="D54" s="882"/>
      <c r="E54" s="882"/>
      <c r="F54" s="882"/>
      <c r="G54" s="882"/>
      <c r="H54" s="882"/>
      <c r="I54" s="882"/>
      <c r="J54" s="882"/>
      <c r="K54" s="882"/>
      <c r="L54" s="882"/>
      <c r="M54" s="882"/>
      <c r="N54" s="882"/>
      <c r="O54" s="882"/>
      <c r="P54" s="882"/>
      <c r="Q54" s="882"/>
      <c r="R54" s="882"/>
      <c r="S54" s="922"/>
      <c r="T54" s="882"/>
      <c r="U54" s="883"/>
      <c r="V54" s="254"/>
      <c r="X54" s="316"/>
    </row>
    <row r="55" spans="1:25" ht="31.5" customHeight="1" x14ac:dyDescent="0.3">
      <c r="A55" s="297">
        <v>40</v>
      </c>
      <c r="B55" s="808" t="s">
        <v>61</v>
      </c>
      <c r="C55" s="806" t="s">
        <v>437</v>
      </c>
      <c r="D55" s="799">
        <f>'vacaciones 2022'!U48</f>
        <v>80</v>
      </c>
      <c r="E55" s="781">
        <v>31</v>
      </c>
      <c r="F55" s="311">
        <v>20</v>
      </c>
      <c r="G55" s="311"/>
      <c r="H55" s="311"/>
      <c r="I55" s="311"/>
      <c r="J55" s="311"/>
      <c r="K55" s="311"/>
      <c r="L55" s="311"/>
      <c r="M55" s="311"/>
      <c r="N55" s="311"/>
      <c r="O55" s="311"/>
      <c r="P55" s="786"/>
      <c r="Q55" s="799">
        <f>SUM(E55:P55)</f>
        <v>51</v>
      </c>
      <c r="R55" s="799">
        <f>+D55-Q55</f>
        <v>29</v>
      </c>
      <c r="S55" s="809">
        <v>45160</v>
      </c>
      <c r="T55" s="792">
        <v>30</v>
      </c>
      <c r="U55" s="792">
        <f>+R55+T55</f>
        <v>59</v>
      </c>
      <c r="X55" s="316"/>
    </row>
    <row r="56" spans="1:25" ht="31.5" customHeight="1" x14ac:dyDescent="0.3">
      <c r="A56" s="297">
        <v>38</v>
      </c>
      <c r="B56" s="808" t="s">
        <v>59</v>
      </c>
      <c r="C56" s="806" t="s">
        <v>440</v>
      </c>
      <c r="D56" s="799">
        <f>'vacaciones 2022'!U49</f>
        <v>50</v>
      </c>
      <c r="E56" s="781"/>
      <c r="F56" s="311">
        <v>7</v>
      </c>
      <c r="G56" s="311"/>
      <c r="H56" s="311"/>
      <c r="I56" s="311">
        <v>1</v>
      </c>
      <c r="J56" s="311"/>
      <c r="K56" s="930">
        <v>1</v>
      </c>
      <c r="L56" s="311"/>
      <c r="M56" s="311"/>
      <c r="N56" s="311"/>
      <c r="O56" s="311"/>
      <c r="P56" s="786">
        <v>14</v>
      </c>
      <c r="Q56" s="799">
        <f>SUM(E56:P56)</f>
        <v>23</v>
      </c>
      <c r="R56" s="799">
        <f>+D56-Q56</f>
        <v>27</v>
      </c>
      <c r="S56" s="809">
        <v>45250</v>
      </c>
      <c r="T56" s="792">
        <v>30</v>
      </c>
      <c r="U56" s="792">
        <f>+R56+T56</f>
        <v>57</v>
      </c>
      <c r="X56" s="316">
        <v>45210</v>
      </c>
    </row>
    <row r="57" spans="1:25" ht="31.5" customHeight="1" x14ac:dyDescent="0.3">
      <c r="A57" s="297"/>
      <c r="B57" s="808" t="s">
        <v>531</v>
      </c>
      <c r="C57" s="806"/>
      <c r="D57" s="799"/>
      <c r="E57" s="781"/>
      <c r="F57" s="311"/>
      <c r="G57" s="311"/>
      <c r="H57" s="311"/>
      <c r="I57" s="311"/>
      <c r="J57" s="311"/>
      <c r="K57" s="939"/>
      <c r="L57" s="311"/>
      <c r="M57" s="311"/>
      <c r="N57" s="311"/>
      <c r="O57" s="311"/>
      <c r="P57" s="786"/>
      <c r="Q57" s="799"/>
      <c r="R57" s="799"/>
      <c r="S57" s="809">
        <v>45536</v>
      </c>
      <c r="T57" s="792"/>
      <c r="U57" s="792"/>
      <c r="X57" s="316"/>
    </row>
    <row r="58" spans="1:25" ht="31.5" customHeight="1" x14ac:dyDescent="0.3">
      <c r="A58" s="297">
        <v>39</v>
      </c>
      <c r="B58" s="808" t="s">
        <v>441</v>
      </c>
      <c r="C58" s="806" t="s">
        <v>437</v>
      </c>
      <c r="D58" s="799">
        <f>'vacaciones 2022'!U50</f>
        <v>6</v>
      </c>
      <c r="E58" s="781"/>
      <c r="F58" s="311">
        <v>7</v>
      </c>
      <c r="G58" s="311"/>
      <c r="H58" s="311"/>
      <c r="I58" s="311"/>
      <c r="J58" s="311"/>
      <c r="K58" s="819"/>
      <c r="L58" s="311"/>
      <c r="M58" s="311"/>
      <c r="N58" s="311"/>
      <c r="O58" s="311"/>
      <c r="P58" s="786"/>
      <c r="Q58" s="799">
        <f>SUM(E58:P58)</f>
        <v>7</v>
      </c>
      <c r="R58" s="799">
        <f>+D58-Q58</f>
        <v>-1</v>
      </c>
      <c r="S58" s="809">
        <v>44927</v>
      </c>
      <c r="T58" s="792">
        <v>30</v>
      </c>
      <c r="U58" s="792">
        <f>+R58+T58</f>
        <v>29</v>
      </c>
      <c r="X58" s="316">
        <v>45212</v>
      </c>
    </row>
    <row r="59" spans="1:25" ht="31.5" customHeight="1" x14ac:dyDescent="0.3">
      <c r="A59" s="297"/>
      <c r="B59" s="881" t="s">
        <v>453</v>
      </c>
      <c r="C59" s="882"/>
      <c r="D59" s="882"/>
      <c r="E59" s="882"/>
      <c r="F59" s="882"/>
      <c r="G59" s="882"/>
      <c r="H59" s="882"/>
      <c r="I59" s="882"/>
      <c r="J59" s="882"/>
      <c r="K59" s="882"/>
      <c r="L59" s="882"/>
      <c r="M59" s="882"/>
      <c r="N59" s="882"/>
      <c r="O59" s="882"/>
      <c r="P59" s="882"/>
      <c r="Q59" s="882"/>
      <c r="R59" s="882"/>
      <c r="S59" s="922"/>
      <c r="T59" s="882"/>
      <c r="U59" s="883"/>
      <c r="V59" s="254"/>
      <c r="X59" s="253">
        <f>X58-X56+1</f>
        <v>3</v>
      </c>
    </row>
    <row r="60" spans="1:25" ht="31.5" customHeight="1" x14ac:dyDescent="0.3">
      <c r="A60" s="297">
        <v>41</v>
      </c>
      <c r="B60" s="808" t="s">
        <v>97</v>
      </c>
      <c r="C60" s="806" t="s">
        <v>439</v>
      </c>
      <c r="D60" s="799">
        <f>'vacaciones 2022'!U52</f>
        <v>18</v>
      </c>
      <c r="E60" s="880"/>
      <c r="F60" s="862"/>
      <c r="G60" s="862"/>
      <c r="H60" s="862"/>
      <c r="I60" s="862"/>
      <c r="J60" s="862"/>
      <c r="K60" s="862"/>
      <c r="L60" s="862">
        <v>5</v>
      </c>
      <c r="M60" s="862"/>
      <c r="N60" s="862">
        <v>3</v>
      </c>
      <c r="O60" s="862"/>
      <c r="P60" s="863"/>
      <c r="Q60" s="799">
        <f>SUM(E60:P60)</f>
        <v>8</v>
      </c>
      <c r="R60" s="799">
        <f>+D60-Q60</f>
        <v>10</v>
      </c>
      <c r="S60" s="809">
        <v>45113</v>
      </c>
      <c r="T60" s="792">
        <v>30</v>
      </c>
      <c r="U60" s="792">
        <f>+R60+T60</f>
        <v>40</v>
      </c>
    </row>
    <row r="61" spans="1:25" x14ac:dyDescent="0.3">
      <c r="A61" s="297"/>
      <c r="D61" s="793"/>
      <c r="Q61" s="796"/>
      <c r="R61" s="796"/>
      <c r="T61" s="793"/>
      <c r="U61" s="793"/>
    </row>
    <row r="62" spans="1:25" x14ac:dyDescent="0.3">
      <c r="A62" s="297"/>
    </row>
    <row r="63" spans="1:25" x14ac:dyDescent="0.3">
      <c r="A63" s="297"/>
    </row>
    <row r="64" spans="1:25" s="794" customFormat="1" x14ac:dyDescent="0.3">
      <c r="A64" s="297"/>
      <c r="B64" s="253"/>
      <c r="C64" s="253"/>
      <c r="E64" s="253"/>
      <c r="F64" s="253"/>
      <c r="G64" s="253"/>
      <c r="H64" s="253"/>
      <c r="I64" s="253"/>
      <c r="J64" s="253"/>
      <c r="K64" s="253"/>
      <c r="L64" s="253"/>
      <c r="M64" s="316"/>
      <c r="N64" s="253"/>
      <c r="O64" s="253"/>
      <c r="P64" s="253"/>
      <c r="Q64" s="797"/>
      <c r="R64" s="797"/>
      <c r="S64" s="793"/>
      <c r="V64" s="253"/>
      <c r="W64" s="253"/>
    </row>
    <row r="65" spans="1:23" s="794" customFormat="1" x14ac:dyDescent="0.3">
      <c r="A65" s="252"/>
      <c r="B65" s="253"/>
      <c r="C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797"/>
      <c r="R65" s="797"/>
      <c r="S65" s="815"/>
      <c r="V65" s="253"/>
      <c r="W65" s="253"/>
    </row>
    <row r="67" spans="1:23" s="794" customFormat="1" x14ac:dyDescent="0.3">
      <c r="A67" s="252"/>
      <c r="B67" s="253"/>
      <c r="C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797"/>
      <c r="R67" s="797"/>
      <c r="S67" s="815"/>
      <c r="V67" s="253"/>
      <c r="W67" s="253"/>
    </row>
  </sheetData>
  <sheetProtection selectLockedCells="1" selectUnlockedCells="1"/>
  <mergeCells count="1">
    <mergeCell ref="B1:U1"/>
  </mergeCells>
  <printOptions horizontalCentered="1"/>
  <pageMargins left="0.19685039370078741" right="0.19685039370078741" top="0.59055118110236227" bottom="0.39370078740157483" header="0.31496062992125984" footer="0"/>
  <pageSetup paperSize="9" scale="30" firstPageNumber="0" orientation="portrait" verticalDpi="300" r:id="rId1"/>
  <headerFooter alignWithMargins="0"/>
  <rowBreaks count="1" manualBreakCount="1">
    <brk id="49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Z59"/>
  <sheetViews>
    <sheetView showGridLines="0" showZeros="0" zoomScale="70" zoomScaleNormal="70" zoomScaleSheetLayoutView="71" workbookViewId="0">
      <pane xSplit="3" ySplit="2" topLeftCell="M3" activePane="bottomRight" state="frozen"/>
      <selection activeCell="U35" sqref="U35"/>
      <selection pane="topRight" activeCell="U35" sqref="U35"/>
      <selection pane="bottomLeft" activeCell="U35" sqref="U35"/>
      <selection pane="bottomRight" activeCell="N10" sqref="N10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3" width="57.7109375" style="253" customWidth="1"/>
    <col min="4" max="4" width="15.42578125" style="794" customWidth="1"/>
    <col min="5" max="16" width="7.42578125" style="253" customWidth="1" outlineLevel="1"/>
    <col min="17" max="17" width="10.85546875" style="797" customWidth="1"/>
    <col min="18" max="18" width="17" style="797" customWidth="1"/>
    <col min="19" max="19" width="21.42578125" style="793" customWidth="1"/>
    <col min="20" max="20" width="15.42578125" style="794" customWidth="1"/>
    <col min="21" max="21" width="16.5703125" style="794" customWidth="1"/>
    <col min="22" max="22" width="8.85546875" style="253"/>
    <col min="23" max="26" width="14.85546875" style="253" bestFit="1" customWidth="1"/>
    <col min="27" max="16384" width="8.85546875" style="253"/>
  </cols>
  <sheetData>
    <row r="1" spans="1:25" s="254" customFormat="1" ht="66.75" customHeight="1" x14ac:dyDescent="0.3">
      <c r="A1" s="798"/>
      <c r="B1" s="1185" t="s">
        <v>180</v>
      </c>
      <c r="C1" s="1186"/>
      <c r="D1" s="1186"/>
      <c r="E1" s="1186"/>
      <c r="F1" s="1186"/>
      <c r="G1" s="1186"/>
      <c r="H1" s="1186"/>
      <c r="I1" s="1186"/>
      <c r="J1" s="1186"/>
      <c r="K1" s="1186"/>
      <c r="L1" s="1186"/>
      <c r="M1" s="1186"/>
      <c r="N1" s="1186"/>
      <c r="O1" s="1186"/>
      <c r="P1" s="1186"/>
      <c r="Q1" s="1186"/>
      <c r="R1" s="1186"/>
      <c r="S1" s="1186"/>
      <c r="T1" s="1186"/>
      <c r="U1" s="1187"/>
    </row>
    <row r="2" spans="1:25" s="254" customFormat="1" ht="78" customHeight="1" x14ac:dyDescent="0.3">
      <c r="A2" s="851"/>
      <c r="B2" s="778" t="s">
        <v>68</v>
      </c>
      <c r="C2" s="778"/>
      <c r="D2" s="778" t="s">
        <v>488</v>
      </c>
      <c r="E2" s="800" t="s">
        <v>4</v>
      </c>
      <c r="F2" s="801" t="s">
        <v>5</v>
      </c>
      <c r="G2" s="801" t="s">
        <v>6</v>
      </c>
      <c r="H2" s="801" t="s">
        <v>7</v>
      </c>
      <c r="I2" s="801" t="s">
        <v>8</v>
      </c>
      <c r="J2" s="801" t="s">
        <v>9</v>
      </c>
      <c r="K2" s="801" t="s">
        <v>10</v>
      </c>
      <c r="L2" s="801" t="s">
        <v>11</v>
      </c>
      <c r="M2" s="801" t="s">
        <v>368</v>
      </c>
      <c r="N2" s="801" t="s">
        <v>13</v>
      </c>
      <c r="O2" s="801" t="s">
        <v>14</v>
      </c>
      <c r="P2" s="802" t="s">
        <v>15</v>
      </c>
      <c r="Q2" s="803" t="s">
        <v>3</v>
      </c>
      <c r="R2" s="803" t="s">
        <v>489</v>
      </c>
      <c r="S2" s="790" t="s">
        <v>490</v>
      </c>
      <c r="T2" s="790" t="s">
        <v>491</v>
      </c>
      <c r="U2" s="791" t="s">
        <v>501</v>
      </c>
    </row>
    <row r="3" spans="1:25" ht="31.5" customHeight="1" x14ac:dyDescent="0.3">
      <c r="A3" s="297"/>
      <c r="B3" s="881" t="s">
        <v>451</v>
      </c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922"/>
      <c r="T3" s="882"/>
      <c r="U3" s="883"/>
      <c r="V3" s="254"/>
      <c r="W3" s="316"/>
    </row>
    <row r="4" spans="1:25" ht="31.5" customHeight="1" x14ac:dyDescent="0.3">
      <c r="A4" s="297">
        <v>2</v>
      </c>
      <c r="B4" s="843" t="s">
        <v>57</v>
      </c>
      <c r="C4" s="806" t="s">
        <v>432</v>
      </c>
      <c r="D4" s="847">
        <f>'vacaciones 2021'!U5</f>
        <v>60</v>
      </c>
      <c r="E4" s="780"/>
      <c r="F4" s="303"/>
      <c r="G4" s="303"/>
      <c r="H4" s="303"/>
      <c r="I4" s="303"/>
      <c r="J4" s="303"/>
      <c r="K4" s="303">
        <v>15</v>
      </c>
      <c r="L4" s="303">
        <v>1</v>
      </c>
      <c r="M4" s="303">
        <f>1+1</f>
        <v>2</v>
      </c>
      <c r="N4" s="303">
        <v>5</v>
      </c>
      <c r="O4" s="303"/>
      <c r="P4" s="785">
        <v>1</v>
      </c>
      <c r="Q4" s="847">
        <f>SUM(E4:P4)</f>
        <v>24</v>
      </c>
      <c r="R4" s="847">
        <f>+D4-Q4</f>
        <v>36</v>
      </c>
      <c r="S4" s="848">
        <f>vacaciones!L9+360</f>
        <v>44646</v>
      </c>
      <c r="T4" s="849">
        <v>30</v>
      </c>
      <c r="U4" s="849">
        <f>+R4+T4</f>
        <v>66</v>
      </c>
      <c r="W4" s="316"/>
    </row>
    <row r="5" spans="1:25" ht="31.5" customHeight="1" x14ac:dyDescent="0.3">
      <c r="A5" s="297">
        <v>3</v>
      </c>
      <c r="B5" s="808" t="s">
        <v>108</v>
      </c>
      <c r="C5" s="806" t="s">
        <v>443</v>
      </c>
      <c r="D5" s="847">
        <f>'vacaciones 2021'!U6</f>
        <v>33</v>
      </c>
      <c r="E5" s="781">
        <v>5</v>
      </c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786">
        <v>4</v>
      </c>
      <c r="Q5" s="799">
        <f>SUM(E5:P5)</f>
        <v>9</v>
      </c>
      <c r="R5" s="799">
        <f>+D5-Q5</f>
        <v>24</v>
      </c>
      <c r="S5" s="809">
        <f>vacaciones!L25+360</f>
        <v>44861</v>
      </c>
      <c r="T5" s="792">
        <v>30</v>
      </c>
      <c r="U5" s="792">
        <f>+R5+T5</f>
        <v>54</v>
      </c>
    </row>
    <row r="6" spans="1:25" ht="31.5" customHeight="1" x14ac:dyDescent="0.3">
      <c r="A6" s="297">
        <v>1</v>
      </c>
      <c r="B6" s="807" t="s">
        <v>157</v>
      </c>
      <c r="C6" s="852" t="s">
        <v>442</v>
      </c>
      <c r="D6" s="847">
        <f>'vacaciones 2021'!U4</f>
        <v>0</v>
      </c>
      <c r="E6" s="853"/>
      <c r="F6" s="854"/>
      <c r="G6" s="854"/>
      <c r="H6" s="854"/>
      <c r="I6" s="854"/>
      <c r="J6" s="854"/>
      <c r="K6" s="854"/>
      <c r="L6" s="854"/>
      <c r="M6" s="854"/>
      <c r="N6" s="854"/>
      <c r="O6" s="854"/>
      <c r="P6" s="855"/>
      <c r="Q6" s="799">
        <f>SUM(E6:P6)</f>
        <v>0</v>
      </c>
      <c r="R6" s="799">
        <f>+D6-Q6</f>
        <v>0</v>
      </c>
      <c r="S6" s="809">
        <f>vacaciones!I26</f>
        <v>0</v>
      </c>
      <c r="T6" s="792"/>
      <c r="U6" s="792">
        <f>+R6+T6</f>
        <v>0</v>
      </c>
    </row>
    <row r="7" spans="1:25" ht="31.5" customHeight="1" x14ac:dyDescent="0.3">
      <c r="A7" s="297"/>
      <c r="B7" s="881" t="s">
        <v>450</v>
      </c>
      <c r="C7" s="882"/>
      <c r="D7" s="882"/>
      <c r="E7" s="882"/>
      <c r="F7" s="882"/>
      <c r="G7" s="882"/>
      <c r="H7" s="882"/>
      <c r="I7" s="882"/>
      <c r="J7" s="882"/>
      <c r="K7" s="882"/>
      <c r="L7" s="882"/>
      <c r="M7" s="882"/>
      <c r="N7" s="882"/>
      <c r="O7" s="882"/>
      <c r="P7" s="882"/>
      <c r="Q7" s="882"/>
      <c r="R7" s="882"/>
      <c r="S7" s="922"/>
      <c r="T7" s="882"/>
      <c r="U7" s="883"/>
      <c r="V7" s="254"/>
    </row>
    <row r="8" spans="1:25" ht="31.5" customHeight="1" x14ac:dyDescent="0.3">
      <c r="A8" s="297">
        <v>7</v>
      </c>
      <c r="B8" s="878" t="s">
        <v>109</v>
      </c>
      <c r="C8" s="839" t="s">
        <v>436</v>
      </c>
      <c r="D8" s="799">
        <f>'vacaciones 2021'!U9</f>
        <v>34</v>
      </c>
      <c r="E8" s="840"/>
      <c r="F8" s="841"/>
      <c r="G8" s="841">
        <f>7</f>
        <v>7</v>
      </c>
      <c r="H8" s="841"/>
      <c r="I8" s="841"/>
      <c r="J8" s="841"/>
      <c r="K8" s="841"/>
      <c r="L8" s="841"/>
      <c r="M8" s="841"/>
      <c r="N8" s="841"/>
      <c r="O8" s="841"/>
      <c r="P8" s="842">
        <v>4</v>
      </c>
      <c r="Q8" s="799">
        <f>SUM(E8:P8)</f>
        <v>11</v>
      </c>
      <c r="R8" s="799">
        <f>+D8-Q8</f>
        <v>23</v>
      </c>
      <c r="S8" s="809">
        <f>vacaciones!L42+360</f>
        <v>44857</v>
      </c>
      <c r="T8" s="792">
        <v>30</v>
      </c>
      <c r="U8" s="792">
        <f>+R8+T8</f>
        <v>53</v>
      </c>
      <c r="V8" s="254"/>
      <c r="W8" s="254"/>
    </row>
    <row r="9" spans="1:25" ht="31.5" customHeight="1" x14ac:dyDescent="0.3">
      <c r="A9" s="297">
        <v>6</v>
      </c>
      <c r="B9" s="843" t="s">
        <v>346</v>
      </c>
      <c r="C9" s="839" t="s">
        <v>435</v>
      </c>
      <c r="D9" s="799">
        <f>'vacaciones 2021'!U8</f>
        <v>21</v>
      </c>
      <c r="E9" s="780"/>
      <c r="F9" s="303"/>
      <c r="G9" s="303"/>
      <c r="H9" s="303"/>
      <c r="I9" s="303">
        <v>5</v>
      </c>
      <c r="J9" s="303"/>
      <c r="K9" s="303"/>
      <c r="L9" s="303"/>
      <c r="M9" s="303"/>
      <c r="N9" s="303">
        <f>1+1</f>
        <v>2</v>
      </c>
      <c r="O9" s="303">
        <v>3</v>
      </c>
      <c r="P9" s="785">
        <v>4</v>
      </c>
      <c r="Q9" s="799">
        <f>SUM(E9:P9)</f>
        <v>14</v>
      </c>
      <c r="R9" s="799">
        <f>+D9-Q9</f>
        <v>7</v>
      </c>
      <c r="S9" s="809">
        <f>vacaciones!L31+360</f>
        <v>44764</v>
      </c>
      <c r="T9" s="792">
        <v>30</v>
      </c>
      <c r="U9" s="792">
        <f>+R9+T9</f>
        <v>37</v>
      </c>
      <c r="X9" s="254"/>
      <c r="Y9" s="254"/>
    </row>
    <row r="10" spans="1:25" ht="31.5" customHeight="1" x14ac:dyDescent="0.3">
      <c r="A10" s="297"/>
      <c r="B10" s="873" t="s">
        <v>151</v>
      </c>
      <c r="C10" s="806" t="s">
        <v>435</v>
      </c>
      <c r="D10" s="799"/>
      <c r="E10" s="915"/>
      <c r="F10" s="875"/>
      <c r="G10" s="875"/>
      <c r="H10" s="875"/>
      <c r="I10" s="875"/>
      <c r="J10" s="875"/>
      <c r="K10" s="875"/>
      <c r="L10" s="875"/>
      <c r="M10" s="875"/>
      <c r="N10" s="875">
        <v>1</v>
      </c>
      <c r="O10" s="875"/>
      <c r="P10" s="877">
        <v>11</v>
      </c>
      <c r="Q10" s="836">
        <f>SUM(E10:P10)</f>
        <v>12</v>
      </c>
      <c r="R10" s="836">
        <f>+D10-Q10</f>
        <v>-12</v>
      </c>
      <c r="S10" s="837">
        <v>45006</v>
      </c>
      <c r="T10" s="838"/>
      <c r="U10" s="838">
        <f>+R10+T10</f>
        <v>-12</v>
      </c>
    </row>
    <row r="11" spans="1:25" ht="31.5" customHeight="1" x14ac:dyDescent="0.3">
      <c r="A11" s="297"/>
      <c r="B11" s="881" t="s">
        <v>449</v>
      </c>
      <c r="C11" s="882"/>
      <c r="D11" s="882"/>
      <c r="E11" s="882"/>
      <c r="F11" s="882"/>
      <c r="G11" s="882"/>
      <c r="H11" s="882"/>
      <c r="I11" s="882"/>
      <c r="J11" s="882"/>
      <c r="K11" s="882"/>
      <c r="L11" s="882"/>
      <c r="M11" s="882"/>
      <c r="N11" s="882"/>
      <c r="O11" s="882"/>
      <c r="P11" s="882"/>
      <c r="Q11" s="882"/>
      <c r="R11" s="882"/>
      <c r="S11" s="922"/>
      <c r="T11" s="882"/>
      <c r="U11" s="883"/>
      <c r="V11" s="254"/>
    </row>
    <row r="12" spans="1:25" ht="31.5" customHeight="1" x14ac:dyDescent="0.3">
      <c r="A12" s="297">
        <v>5</v>
      </c>
      <c r="B12" s="808" t="s">
        <v>54</v>
      </c>
      <c r="C12" s="839" t="s">
        <v>435</v>
      </c>
      <c r="D12" s="799">
        <f>'vacaciones 2021'!U15</f>
        <v>179</v>
      </c>
      <c r="E12" s="927"/>
      <c r="F12" s="841"/>
      <c r="G12" s="928"/>
      <c r="H12" s="928"/>
      <c r="I12" s="928"/>
      <c r="J12" s="928"/>
      <c r="K12" s="928"/>
      <c r="L12" s="928"/>
      <c r="M12" s="928"/>
      <c r="N12" s="928"/>
      <c r="O12" s="928">
        <v>7</v>
      </c>
      <c r="P12" s="929"/>
      <c r="Q12" s="799">
        <f>SUM(E12:O12)</f>
        <v>7</v>
      </c>
      <c r="R12" s="799">
        <f t="shared" ref="R12:R26" si="0">+D12-Q12</f>
        <v>172</v>
      </c>
      <c r="S12" s="809">
        <f>vacaciones!L35+360</f>
        <v>44744</v>
      </c>
      <c r="T12" s="792">
        <v>30</v>
      </c>
      <c r="U12" s="792">
        <f t="shared" ref="U12:U26" si="1">+R12+T12</f>
        <v>202</v>
      </c>
    </row>
    <row r="13" spans="1:25" ht="31.5" customHeight="1" x14ac:dyDescent="0.3">
      <c r="A13" s="297">
        <v>4</v>
      </c>
      <c r="B13" s="873" t="s">
        <v>150</v>
      </c>
      <c r="C13" s="806" t="s">
        <v>435</v>
      </c>
      <c r="D13" s="799">
        <f>'vacaciones 2021'!U14</f>
        <v>57</v>
      </c>
      <c r="E13" s="840">
        <v>1</v>
      </c>
      <c r="F13" s="841"/>
      <c r="G13" s="841">
        <f>1+1+1</f>
        <v>3</v>
      </c>
      <c r="H13" s="841"/>
      <c r="I13" s="841"/>
      <c r="J13" s="841"/>
      <c r="K13" s="841"/>
      <c r="L13" s="841"/>
      <c r="M13" s="841"/>
      <c r="N13" s="841"/>
      <c r="O13" s="841">
        <f>1+3</f>
        <v>4</v>
      </c>
      <c r="P13" s="842"/>
      <c r="Q13" s="799">
        <f t="shared" ref="Q13:Q26" si="2">SUM(E13:P13)</f>
        <v>8</v>
      </c>
      <c r="R13" s="799">
        <f>+D13-Q13</f>
        <v>49</v>
      </c>
      <c r="S13" s="809">
        <f>vacaciones!L21+360</f>
        <v>44680</v>
      </c>
      <c r="T13" s="792">
        <v>30</v>
      </c>
      <c r="U13" s="792">
        <f t="shared" si="1"/>
        <v>79</v>
      </c>
      <c r="W13" s="316"/>
    </row>
    <row r="14" spans="1:25" ht="31.5" customHeight="1" x14ac:dyDescent="0.3">
      <c r="A14" s="297">
        <v>19</v>
      </c>
      <c r="B14" s="873" t="s">
        <v>51</v>
      </c>
      <c r="C14" s="839" t="s">
        <v>431</v>
      </c>
      <c r="D14" s="799">
        <f>'vacaciones 2021'!U16</f>
        <v>63</v>
      </c>
      <c r="E14" s="925"/>
      <c r="F14" s="910">
        <v>15</v>
      </c>
      <c r="G14" s="910">
        <v>6</v>
      </c>
      <c r="H14" s="910"/>
      <c r="I14" s="910"/>
      <c r="J14" s="931"/>
      <c r="K14" s="910"/>
      <c r="L14" s="910"/>
      <c r="M14" s="910"/>
      <c r="N14" s="910"/>
      <c r="O14" s="910">
        <v>3</v>
      </c>
      <c r="P14" s="911">
        <v>30</v>
      </c>
      <c r="Q14" s="799">
        <f t="shared" si="2"/>
        <v>54</v>
      </c>
      <c r="R14" s="799">
        <f t="shared" si="0"/>
        <v>9</v>
      </c>
      <c r="S14" s="809">
        <f>vacaciones!L20+360</f>
        <v>44778</v>
      </c>
      <c r="T14" s="792">
        <v>30</v>
      </c>
      <c r="U14" s="792">
        <f t="shared" si="1"/>
        <v>39</v>
      </c>
      <c r="W14" s="316"/>
    </row>
    <row r="15" spans="1:25" ht="31.5" customHeight="1" x14ac:dyDescent="0.3">
      <c r="A15" s="297">
        <v>24</v>
      </c>
      <c r="B15" s="866" t="s">
        <v>152</v>
      </c>
      <c r="C15" s="867" t="s">
        <v>435</v>
      </c>
      <c r="D15" s="799">
        <f>'vacaciones 2021'!U18</f>
        <v>35</v>
      </c>
      <c r="E15" s="926"/>
      <c r="F15" s="854"/>
      <c r="G15" s="854"/>
      <c r="H15" s="854"/>
      <c r="I15" s="854"/>
      <c r="J15" s="854"/>
      <c r="K15" s="854"/>
      <c r="L15" s="854"/>
      <c r="M15" s="854"/>
      <c r="N15" s="854"/>
      <c r="O15" s="854"/>
      <c r="P15" s="879"/>
      <c r="Q15" s="799">
        <f t="shared" si="2"/>
        <v>0</v>
      </c>
      <c r="R15" s="799">
        <f t="shared" si="0"/>
        <v>35</v>
      </c>
      <c r="S15" s="809">
        <f>vacaciones!L32+360</f>
        <v>44884.5</v>
      </c>
      <c r="T15" s="792">
        <v>30</v>
      </c>
      <c r="U15" s="792">
        <f t="shared" si="1"/>
        <v>65</v>
      </c>
    </row>
    <row r="16" spans="1:25" ht="31.5" customHeight="1" x14ac:dyDescent="0.3">
      <c r="A16" s="297">
        <v>20</v>
      </c>
      <c r="B16" s="872" t="s">
        <v>52</v>
      </c>
      <c r="C16" s="864" t="s">
        <v>431</v>
      </c>
      <c r="D16" s="799">
        <f>'vacaciones 2021'!U19</f>
        <v>30</v>
      </c>
      <c r="E16" s="865"/>
      <c r="F16" s="303"/>
      <c r="G16" s="932"/>
      <c r="H16" s="932"/>
      <c r="I16" s="932"/>
      <c r="J16" s="932"/>
      <c r="K16" s="932"/>
      <c r="L16" s="932"/>
      <c r="M16" s="932"/>
      <c r="N16" s="933"/>
      <c r="O16" s="932"/>
      <c r="P16" s="934"/>
      <c r="Q16" s="847">
        <f t="shared" si="2"/>
        <v>0</v>
      </c>
      <c r="R16" s="847">
        <f t="shared" si="0"/>
        <v>30</v>
      </c>
      <c r="S16" s="848">
        <f>vacaciones!L23+360</f>
        <v>44741</v>
      </c>
      <c r="T16" s="849">
        <v>30</v>
      </c>
      <c r="U16" s="849">
        <f t="shared" si="1"/>
        <v>60</v>
      </c>
    </row>
    <row r="17" spans="1:26" ht="31.5" customHeight="1" x14ac:dyDescent="0.3">
      <c r="A17" s="297">
        <v>10</v>
      </c>
      <c r="B17" s="808" t="s">
        <v>107</v>
      </c>
      <c r="C17" s="806" t="s">
        <v>430</v>
      </c>
      <c r="D17" s="799">
        <f>'vacaciones 2021'!U20</f>
        <v>29</v>
      </c>
      <c r="E17" s="781"/>
      <c r="F17" s="309"/>
      <c r="G17" s="309"/>
      <c r="H17" s="309"/>
      <c r="I17" s="309"/>
      <c r="J17" s="309"/>
      <c r="K17" s="309"/>
      <c r="L17" s="309"/>
      <c r="M17" s="311"/>
      <c r="N17" s="311"/>
      <c r="O17" s="311">
        <v>3</v>
      </c>
      <c r="P17" s="786">
        <f>26+5</f>
        <v>31</v>
      </c>
      <c r="Q17" s="799">
        <f t="shared" si="2"/>
        <v>34</v>
      </c>
      <c r="R17" s="847">
        <f t="shared" si="0"/>
        <v>-5</v>
      </c>
      <c r="S17" s="809">
        <f>vacaciones!L7+360</f>
        <v>44815</v>
      </c>
      <c r="T17" s="792">
        <v>30</v>
      </c>
      <c r="U17" s="849">
        <f t="shared" si="1"/>
        <v>25</v>
      </c>
      <c r="V17" s="253" t="s">
        <v>515</v>
      </c>
    </row>
    <row r="18" spans="1:26" ht="31.5" customHeight="1" x14ac:dyDescent="0.3">
      <c r="A18" s="297">
        <v>12</v>
      </c>
      <c r="B18" s="808" t="s">
        <v>404</v>
      </c>
      <c r="C18" s="806" t="s">
        <v>435</v>
      </c>
      <c r="D18" s="799">
        <f>'vacaciones 2021'!U22</f>
        <v>28</v>
      </c>
      <c r="E18" s="783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787"/>
      <c r="Q18" s="799">
        <f t="shared" si="2"/>
        <v>0</v>
      </c>
      <c r="R18" s="847">
        <f t="shared" si="0"/>
        <v>28</v>
      </c>
      <c r="S18" s="809">
        <f>vacaciones!L14+360</f>
        <v>44857</v>
      </c>
      <c r="T18" s="792">
        <v>30</v>
      </c>
      <c r="U18" s="849">
        <f t="shared" si="1"/>
        <v>58</v>
      </c>
      <c r="X18" s="316"/>
    </row>
    <row r="19" spans="1:26" ht="31.5" customHeight="1" x14ac:dyDescent="0.3">
      <c r="A19" s="297">
        <v>16</v>
      </c>
      <c r="B19" s="808" t="s">
        <v>126</v>
      </c>
      <c r="C19" s="806" t="s">
        <v>431</v>
      </c>
      <c r="D19" s="799">
        <f>'vacaciones 2021'!U23</f>
        <v>16</v>
      </c>
      <c r="E19" s="781"/>
      <c r="F19" s="311"/>
      <c r="G19" s="311"/>
      <c r="H19" s="311"/>
      <c r="I19" s="311"/>
      <c r="J19" s="311"/>
      <c r="K19" s="311"/>
      <c r="L19" s="311"/>
      <c r="M19" s="311"/>
      <c r="N19" s="311">
        <v>15</v>
      </c>
      <c r="O19" s="311"/>
      <c r="P19" s="786"/>
      <c r="Q19" s="799">
        <f t="shared" si="2"/>
        <v>15</v>
      </c>
      <c r="R19" s="847">
        <f t="shared" si="0"/>
        <v>1</v>
      </c>
      <c r="S19" s="809">
        <f>vacaciones!L18+360</f>
        <v>44730</v>
      </c>
      <c r="T19" s="792">
        <v>30</v>
      </c>
      <c r="U19" s="849">
        <f t="shared" si="1"/>
        <v>31</v>
      </c>
      <c r="V19" s="254"/>
      <c r="W19" s="254"/>
      <c r="X19" s="316"/>
      <c r="Y19" s="316"/>
    </row>
    <row r="20" spans="1:26" ht="31.5" customHeight="1" x14ac:dyDescent="0.3">
      <c r="A20" s="297"/>
      <c r="B20" s="808" t="s">
        <v>460</v>
      </c>
      <c r="C20" s="806" t="s">
        <v>465</v>
      </c>
      <c r="D20" s="799">
        <f>'vacaciones 2021'!U27</f>
        <v>0</v>
      </c>
      <c r="E20" s="781"/>
      <c r="F20" s="309"/>
      <c r="G20" s="309"/>
      <c r="H20" s="309"/>
      <c r="I20" s="309"/>
      <c r="J20" s="309"/>
      <c r="K20" s="309"/>
      <c r="L20" s="309"/>
      <c r="M20" s="311"/>
      <c r="N20" s="311"/>
      <c r="O20" s="311"/>
      <c r="P20" s="786"/>
      <c r="Q20" s="799">
        <f t="shared" si="2"/>
        <v>0</v>
      </c>
      <c r="R20" s="847">
        <f t="shared" si="0"/>
        <v>0</v>
      </c>
      <c r="S20" s="809">
        <v>44682</v>
      </c>
      <c r="T20" s="792">
        <v>30</v>
      </c>
      <c r="U20" s="849">
        <f t="shared" si="1"/>
        <v>30</v>
      </c>
    </row>
    <row r="21" spans="1:26" ht="31.5" customHeight="1" x14ac:dyDescent="0.3">
      <c r="A21" s="297">
        <v>14</v>
      </c>
      <c r="B21" s="808" t="s">
        <v>22</v>
      </c>
      <c r="C21" s="806" t="s">
        <v>435</v>
      </c>
      <c r="D21" s="799">
        <f>'vacaciones 2021'!U30</f>
        <v>0</v>
      </c>
      <c r="E21" s="812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786">
        <v>14</v>
      </c>
      <c r="Q21" s="799">
        <f t="shared" si="2"/>
        <v>14</v>
      </c>
      <c r="R21" s="847">
        <f t="shared" si="0"/>
        <v>-14</v>
      </c>
      <c r="S21" s="809">
        <v>44562</v>
      </c>
      <c r="T21" s="792">
        <v>30</v>
      </c>
      <c r="U21" s="849">
        <f t="shared" si="1"/>
        <v>16</v>
      </c>
      <c r="V21" s="253" t="s">
        <v>516</v>
      </c>
      <c r="W21" s="316"/>
    </row>
    <row r="22" spans="1:26" ht="31.5" customHeight="1" x14ac:dyDescent="0.3">
      <c r="A22" s="297"/>
      <c r="B22" s="808" t="s">
        <v>464</v>
      </c>
      <c r="C22" s="864" t="s">
        <v>465</v>
      </c>
      <c r="D22" s="799">
        <f>'vacaciones 2021'!U31</f>
        <v>0</v>
      </c>
      <c r="E22" s="78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786"/>
      <c r="Q22" s="799">
        <f t="shared" si="2"/>
        <v>0</v>
      </c>
      <c r="R22" s="847">
        <f t="shared" si="0"/>
        <v>0</v>
      </c>
      <c r="S22" s="809">
        <v>44806</v>
      </c>
      <c r="T22" s="792">
        <v>30</v>
      </c>
      <c r="U22" s="849">
        <f t="shared" si="1"/>
        <v>30</v>
      </c>
      <c r="Z22" s="316"/>
    </row>
    <row r="23" spans="1:26" ht="31.5" customHeight="1" x14ac:dyDescent="0.3">
      <c r="A23" s="297">
        <v>21</v>
      </c>
      <c r="B23" s="808" t="s">
        <v>127</v>
      </c>
      <c r="C23" s="806" t="s">
        <v>431</v>
      </c>
      <c r="D23" s="799">
        <f>'vacaciones 2021'!U21</f>
        <v>29</v>
      </c>
      <c r="E23" s="781"/>
      <c r="F23" s="311"/>
      <c r="G23" s="311"/>
      <c r="H23" s="311"/>
      <c r="I23" s="311"/>
      <c r="J23" s="311"/>
      <c r="K23" s="311"/>
      <c r="L23" s="311"/>
      <c r="M23" s="311"/>
      <c r="N23" s="311">
        <v>30</v>
      </c>
      <c r="O23" s="311">
        <v>29</v>
      </c>
      <c r="P23" s="786"/>
      <c r="Q23" s="799">
        <f t="shared" si="2"/>
        <v>59</v>
      </c>
      <c r="R23" s="847">
        <f t="shared" si="0"/>
        <v>-30</v>
      </c>
      <c r="S23" s="809">
        <f>vacaciones!L28+360</f>
        <v>44718</v>
      </c>
      <c r="T23" s="792">
        <v>30</v>
      </c>
      <c r="U23" s="849">
        <f t="shared" si="1"/>
        <v>0</v>
      </c>
      <c r="V23" s="254"/>
      <c r="W23" s="254"/>
      <c r="X23" s="316">
        <v>45272</v>
      </c>
      <c r="Y23" s="316"/>
    </row>
    <row r="24" spans="1:26" ht="31.5" customHeight="1" x14ac:dyDescent="0.3">
      <c r="A24" s="297">
        <v>13</v>
      </c>
      <c r="B24" s="808" t="s">
        <v>74</v>
      </c>
      <c r="C24" s="806" t="s">
        <v>436</v>
      </c>
      <c r="D24" s="799">
        <f>'vacaciones 2021'!U26</f>
        <v>-9</v>
      </c>
      <c r="E24" s="783">
        <v>6</v>
      </c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786">
        <v>13</v>
      </c>
      <c r="Q24" s="799">
        <f t="shared" si="2"/>
        <v>19</v>
      </c>
      <c r="R24" s="847">
        <f t="shared" si="0"/>
        <v>-28</v>
      </c>
      <c r="S24" s="809">
        <f>vacaciones!L15+360</f>
        <v>44719</v>
      </c>
      <c r="T24" s="792">
        <v>30</v>
      </c>
      <c r="U24" s="849">
        <f t="shared" si="1"/>
        <v>2</v>
      </c>
      <c r="X24" s="316">
        <v>45285</v>
      </c>
    </row>
    <row r="25" spans="1:26" ht="31.5" customHeight="1" x14ac:dyDescent="0.3">
      <c r="A25" s="297">
        <v>11</v>
      </c>
      <c r="B25" s="808" t="s">
        <v>16</v>
      </c>
      <c r="C25" s="806" t="s">
        <v>431</v>
      </c>
      <c r="D25" s="799">
        <f>'vacaciones 2021'!U24</f>
        <v>0</v>
      </c>
      <c r="E25" s="781">
        <v>14</v>
      </c>
      <c r="F25" s="311"/>
      <c r="G25" s="311"/>
      <c r="H25" s="311">
        <v>7</v>
      </c>
      <c r="I25" s="311"/>
      <c r="J25" s="311"/>
      <c r="K25" s="311"/>
      <c r="L25" s="311"/>
      <c r="M25" s="311"/>
      <c r="N25" s="311">
        <v>4</v>
      </c>
      <c r="O25" s="311">
        <v>4</v>
      </c>
      <c r="P25" s="786">
        <f>3+13</f>
        <v>16</v>
      </c>
      <c r="Q25" s="799">
        <f t="shared" si="2"/>
        <v>45</v>
      </c>
      <c r="R25" s="847">
        <f t="shared" si="0"/>
        <v>-45</v>
      </c>
      <c r="S25" s="809">
        <f>vacaciones!L8+360</f>
        <v>44730</v>
      </c>
      <c r="T25" s="792">
        <v>30</v>
      </c>
      <c r="U25" s="849">
        <f t="shared" si="1"/>
        <v>-15</v>
      </c>
      <c r="X25" s="254"/>
      <c r="Y25" s="254"/>
    </row>
    <row r="26" spans="1:26" s="254" customFormat="1" ht="31.5" customHeight="1" x14ac:dyDescent="0.3">
      <c r="A26" s="297"/>
      <c r="B26" s="808" t="s">
        <v>492</v>
      </c>
      <c r="C26" s="806" t="s">
        <v>436</v>
      </c>
      <c r="D26" s="799"/>
      <c r="E26" s="78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786">
        <v>10</v>
      </c>
      <c r="Q26" s="799">
        <f t="shared" si="2"/>
        <v>10</v>
      </c>
      <c r="R26" s="847">
        <f t="shared" si="0"/>
        <v>-10</v>
      </c>
      <c r="S26" s="809">
        <v>44912</v>
      </c>
      <c r="T26" s="792">
        <v>30</v>
      </c>
      <c r="U26" s="849">
        <f t="shared" si="1"/>
        <v>20</v>
      </c>
      <c r="V26" s="253" t="s">
        <v>512</v>
      </c>
      <c r="W26" s="253"/>
      <c r="X26" s="253"/>
      <c r="Y26" s="253"/>
    </row>
    <row r="27" spans="1:26" s="254" customFormat="1" ht="31.5" customHeight="1" x14ac:dyDescent="0.3">
      <c r="A27" s="297"/>
      <c r="B27" s="808" t="s">
        <v>502</v>
      </c>
      <c r="C27" s="806" t="s">
        <v>436</v>
      </c>
      <c r="D27" s="799"/>
      <c r="E27" s="78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786">
        <v>18</v>
      </c>
      <c r="Q27" s="799"/>
      <c r="R27" s="847"/>
      <c r="S27" s="809">
        <v>45163</v>
      </c>
      <c r="T27" s="792"/>
      <c r="U27" s="849"/>
      <c r="V27" s="253" t="s">
        <v>513</v>
      </c>
      <c r="W27" s="253"/>
      <c r="X27" s="253"/>
      <c r="Y27" s="253"/>
    </row>
    <row r="28" spans="1:26" s="254" customFormat="1" ht="31.5" customHeight="1" x14ac:dyDescent="0.3">
      <c r="A28" s="297"/>
      <c r="B28" s="881" t="s">
        <v>445</v>
      </c>
      <c r="C28" s="882"/>
      <c r="D28" s="882"/>
      <c r="E28" s="882"/>
      <c r="F28" s="882"/>
      <c r="G28" s="882"/>
      <c r="H28" s="882"/>
      <c r="I28" s="882"/>
      <c r="J28" s="882"/>
      <c r="K28" s="882"/>
      <c r="L28" s="882"/>
      <c r="M28" s="882"/>
      <c r="N28" s="882"/>
      <c r="O28" s="882"/>
      <c r="P28" s="882"/>
      <c r="Q28" s="882"/>
      <c r="R28" s="882"/>
      <c r="S28" s="922"/>
      <c r="T28" s="882"/>
      <c r="U28" s="883"/>
    </row>
    <row r="29" spans="1:26" s="254" customFormat="1" ht="31.5" customHeight="1" x14ac:dyDescent="0.3">
      <c r="A29" s="297">
        <v>27</v>
      </c>
      <c r="B29" s="912" t="s">
        <v>18</v>
      </c>
      <c r="C29" s="850" t="s">
        <v>433</v>
      </c>
      <c r="D29" s="836">
        <f>'vacaciones 2021'!U39</f>
        <v>42</v>
      </c>
      <c r="E29" s="844"/>
      <c r="F29" s="845">
        <v>1</v>
      </c>
      <c r="G29" s="845"/>
      <c r="H29" s="845"/>
      <c r="I29" s="845"/>
      <c r="J29" s="845"/>
      <c r="K29" s="845">
        <v>1</v>
      </c>
      <c r="L29" s="845">
        <v>1</v>
      </c>
      <c r="M29" s="845"/>
      <c r="N29" s="845">
        <v>1</v>
      </c>
      <c r="O29" s="845"/>
      <c r="P29" s="846">
        <v>11</v>
      </c>
      <c r="Q29" s="836">
        <f>SUM(E29:P29)</f>
        <v>15</v>
      </c>
      <c r="R29" s="836">
        <f>+D29-Q29</f>
        <v>27</v>
      </c>
      <c r="S29" s="837">
        <f>vacaciones!L10+360</f>
        <v>44566</v>
      </c>
      <c r="T29" s="838">
        <v>30</v>
      </c>
      <c r="U29" s="838">
        <f>+R29+T29</f>
        <v>57</v>
      </c>
      <c r="V29" s="254" t="s">
        <v>517</v>
      </c>
    </row>
    <row r="30" spans="1:26" s="254" customFormat="1" ht="31.5" customHeight="1" x14ac:dyDescent="0.3">
      <c r="A30" s="297"/>
      <c r="B30" s="912" t="s">
        <v>493</v>
      </c>
      <c r="C30" s="852" t="s">
        <v>428</v>
      </c>
      <c r="D30" s="836"/>
      <c r="E30" s="844"/>
      <c r="F30" s="845"/>
      <c r="G30" s="845"/>
      <c r="H30" s="845"/>
      <c r="I30" s="845"/>
      <c r="J30" s="845"/>
      <c r="K30" s="845"/>
      <c r="L30" s="845"/>
      <c r="M30" s="845"/>
      <c r="N30" s="845"/>
      <c r="O30" s="845"/>
      <c r="P30" s="846">
        <v>11</v>
      </c>
      <c r="Q30" s="836">
        <f>SUM(E30:P30)</f>
        <v>11</v>
      </c>
      <c r="R30" s="836">
        <f>+D30-Q30</f>
        <v>-11</v>
      </c>
      <c r="S30" s="837">
        <v>45078</v>
      </c>
      <c r="T30" s="838"/>
      <c r="U30" s="838">
        <f>+R30+T30</f>
        <v>-11</v>
      </c>
    </row>
    <row r="31" spans="1:26" s="254" customFormat="1" ht="31.5" customHeight="1" x14ac:dyDescent="0.3">
      <c r="A31" s="297"/>
      <c r="B31" s="912" t="s">
        <v>494</v>
      </c>
      <c r="C31" s="852" t="s">
        <v>428</v>
      </c>
      <c r="D31" s="836"/>
      <c r="E31" s="844"/>
      <c r="F31" s="845"/>
      <c r="G31" s="845"/>
      <c r="H31" s="845"/>
      <c r="I31" s="845"/>
      <c r="J31" s="845"/>
      <c r="K31" s="845"/>
      <c r="L31" s="845"/>
      <c r="M31" s="845"/>
      <c r="N31" s="845"/>
      <c r="O31" s="845"/>
      <c r="P31" s="846">
        <v>11</v>
      </c>
      <c r="Q31" s="836">
        <f>SUM(E31:P31)</f>
        <v>11</v>
      </c>
      <c r="R31" s="836">
        <f>+D31-Q31</f>
        <v>-11</v>
      </c>
      <c r="S31" s="837">
        <v>45078</v>
      </c>
      <c r="T31" s="838"/>
      <c r="U31" s="838">
        <f>+R31+T31</f>
        <v>-11</v>
      </c>
    </row>
    <row r="32" spans="1:26" ht="31.5" customHeight="1" x14ac:dyDescent="0.3">
      <c r="A32" s="297">
        <v>29</v>
      </c>
      <c r="B32" s="808" t="s">
        <v>402</v>
      </c>
      <c r="C32" s="852" t="s">
        <v>428</v>
      </c>
      <c r="D32" s="836">
        <f>'vacaciones 2021'!U42</f>
        <v>-4</v>
      </c>
      <c r="E32" s="853"/>
      <c r="F32" s="854">
        <v>2</v>
      </c>
      <c r="G32" s="854">
        <v>1</v>
      </c>
      <c r="H32" s="854"/>
      <c r="I32" s="854"/>
      <c r="J32" s="854">
        <v>2</v>
      </c>
      <c r="K32" s="854">
        <v>1</v>
      </c>
      <c r="L32" s="854">
        <v>1</v>
      </c>
      <c r="M32" s="854"/>
      <c r="N32" s="854">
        <v>1</v>
      </c>
      <c r="O32" s="854"/>
      <c r="P32" s="855">
        <v>11</v>
      </c>
      <c r="Q32" s="799">
        <f>SUM(E32:P32)</f>
        <v>19</v>
      </c>
      <c r="R32" s="799">
        <f>+D32-Q32</f>
        <v>-23</v>
      </c>
      <c r="S32" s="809">
        <f>vacaciones!L26+360</f>
        <v>44857</v>
      </c>
      <c r="T32" s="792">
        <v>30</v>
      </c>
      <c r="U32" s="792">
        <f>+R32+T32</f>
        <v>7</v>
      </c>
    </row>
    <row r="33" spans="1:25" ht="31.5" customHeight="1" x14ac:dyDescent="0.3">
      <c r="A33" s="297"/>
      <c r="B33" s="881" t="s">
        <v>446</v>
      </c>
      <c r="C33" s="882"/>
      <c r="D33" s="882"/>
      <c r="E33" s="882"/>
      <c r="F33" s="882"/>
      <c r="G33" s="882"/>
      <c r="H33" s="882"/>
      <c r="I33" s="882"/>
      <c r="J33" s="882"/>
      <c r="K33" s="882"/>
      <c r="L33" s="882"/>
      <c r="M33" s="882"/>
      <c r="N33" s="882"/>
      <c r="O33" s="882"/>
      <c r="P33" s="882"/>
      <c r="Q33" s="882"/>
      <c r="R33" s="882"/>
      <c r="S33" s="922"/>
      <c r="T33" s="882"/>
      <c r="U33" s="883"/>
      <c r="V33" s="254"/>
    </row>
    <row r="34" spans="1:25" ht="31.5" customHeight="1" x14ac:dyDescent="0.3">
      <c r="A34" s="297">
        <v>30</v>
      </c>
      <c r="B34" s="807" t="s">
        <v>58</v>
      </c>
      <c r="C34" s="856" t="s">
        <v>444</v>
      </c>
      <c r="D34" s="799">
        <f>'vacaciones 2021'!U44</f>
        <v>149</v>
      </c>
      <c r="E34" s="857"/>
      <c r="F34" s="841"/>
      <c r="G34" s="841"/>
      <c r="H34" s="841"/>
      <c r="I34" s="841"/>
      <c r="J34" s="841"/>
      <c r="K34" s="841"/>
      <c r="L34" s="841"/>
      <c r="M34" s="841"/>
      <c r="N34" s="841"/>
      <c r="O34" s="841"/>
      <c r="P34" s="858"/>
      <c r="Q34" s="799">
        <f>SUM(E34:P34)</f>
        <v>0</v>
      </c>
      <c r="R34" s="799">
        <f>+D34-Q34</f>
        <v>149</v>
      </c>
      <c r="S34" s="809">
        <f>vacaciones!L22+360</f>
        <v>44635</v>
      </c>
      <c r="T34" s="792">
        <v>30</v>
      </c>
      <c r="U34" s="792">
        <f>+R34+T34</f>
        <v>179</v>
      </c>
    </row>
    <row r="35" spans="1:25" ht="31.5" customHeight="1" x14ac:dyDescent="0.3">
      <c r="A35" s="297">
        <v>31</v>
      </c>
      <c r="B35" s="807" t="s">
        <v>87</v>
      </c>
      <c r="C35" s="807" t="s">
        <v>429</v>
      </c>
      <c r="D35" s="799">
        <f>'vacaciones 2021'!U45</f>
        <v>5</v>
      </c>
      <c r="E35" s="909">
        <v>1</v>
      </c>
      <c r="F35" s="910">
        <f>1+1</f>
        <v>2</v>
      </c>
      <c r="G35" s="910"/>
      <c r="H35" s="910">
        <f>1+1</f>
        <v>2</v>
      </c>
      <c r="I35" s="910">
        <f>2+1</f>
        <v>3</v>
      </c>
      <c r="J35" s="910">
        <v>1</v>
      </c>
      <c r="K35" s="910"/>
      <c r="L35" s="910">
        <f>1+1</f>
        <v>2</v>
      </c>
      <c r="M35" s="910">
        <f>1+1</f>
        <v>2</v>
      </c>
      <c r="N35" s="910">
        <f>4</f>
        <v>4</v>
      </c>
      <c r="O35" s="910">
        <f>1+1</f>
        <v>2</v>
      </c>
      <c r="P35" s="911">
        <f>1+1</f>
        <v>2</v>
      </c>
      <c r="Q35" s="799">
        <f>SUM(E35:P35)</f>
        <v>21</v>
      </c>
      <c r="R35" s="799">
        <f>+D35-Q35</f>
        <v>-16</v>
      </c>
      <c r="S35" s="809">
        <f>vacaciones!L27+360</f>
        <v>44625</v>
      </c>
      <c r="T35" s="792">
        <v>30</v>
      </c>
      <c r="U35" s="792">
        <f>+R35+T35</f>
        <v>14</v>
      </c>
    </row>
    <row r="36" spans="1:25" ht="31.5" customHeight="1" x14ac:dyDescent="0.3">
      <c r="A36" s="297"/>
      <c r="B36" s="807" t="s">
        <v>468</v>
      </c>
      <c r="C36" s="806" t="s">
        <v>130</v>
      </c>
      <c r="D36" s="799">
        <f>'vacaciones 2021'!U46</f>
        <v>-2</v>
      </c>
      <c r="E36" s="781">
        <v>1</v>
      </c>
      <c r="F36" s="311"/>
      <c r="G36" s="311"/>
      <c r="H36" s="311"/>
      <c r="I36" s="311"/>
      <c r="J36" s="311"/>
      <c r="K36" s="311">
        <v>1</v>
      </c>
      <c r="L36" s="311">
        <v>2</v>
      </c>
      <c r="M36" s="311">
        <f>1+7</f>
        <v>8</v>
      </c>
      <c r="N36" s="311"/>
      <c r="O36" s="311">
        <f>7+1</f>
        <v>8</v>
      </c>
      <c r="P36" s="786">
        <v>11</v>
      </c>
      <c r="Q36" s="799">
        <f>SUM(E36:P36)</f>
        <v>31</v>
      </c>
      <c r="R36" s="799">
        <f>+D36-Q36</f>
        <v>-33</v>
      </c>
      <c r="S36" s="809">
        <v>44652</v>
      </c>
      <c r="T36" s="792">
        <v>30</v>
      </c>
      <c r="U36" s="792">
        <f>+R36+T36</f>
        <v>-3</v>
      </c>
    </row>
    <row r="37" spans="1:25" ht="31.5" customHeight="1" x14ac:dyDescent="0.3">
      <c r="A37" s="297">
        <v>17</v>
      </c>
      <c r="B37" s="908" t="s">
        <v>156</v>
      </c>
      <c r="C37" s="852" t="s">
        <v>429</v>
      </c>
      <c r="D37" s="799">
        <f>'vacaciones 2021'!U47</f>
        <v>0</v>
      </c>
      <c r="E37" s="853"/>
      <c r="F37" s="854"/>
      <c r="G37" s="854"/>
      <c r="H37" s="854"/>
      <c r="I37" s="854"/>
      <c r="J37" s="854"/>
      <c r="K37" s="854"/>
      <c r="L37" s="854"/>
      <c r="M37" s="854"/>
      <c r="N37" s="854"/>
      <c r="O37" s="854"/>
      <c r="P37" s="879"/>
      <c r="Q37" s="799">
        <f>SUM(E37:P37)</f>
        <v>0</v>
      </c>
      <c r="R37" s="799">
        <f>+D37-Q37</f>
        <v>0</v>
      </c>
      <c r="S37" s="809"/>
      <c r="T37" s="792"/>
      <c r="U37" s="792">
        <f>+R37+T37</f>
        <v>0</v>
      </c>
    </row>
    <row r="38" spans="1:25" ht="31.5" customHeight="1" x14ac:dyDescent="0.3">
      <c r="A38" s="297"/>
      <c r="B38" s="881" t="s">
        <v>447</v>
      </c>
      <c r="C38" s="882"/>
      <c r="D38" s="882"/>
      <c r="E38" s="882"/>
      <c r="F38" s="882"/>
      <c r="G38" s="882"/>
      <c r="H38" s="882"/>
      <c r="I38" s="882"/>
      <c r="J38" s="882"/>
      <c r="K38" s="882"/>
      <c r="L38" s="882"/>
      <c r="M38" s="882"/>
      <c r="N38" s="882"/>
      <c r="O38" s="882"/>
      <c r="P38" s="882"/>
      <c r="Q38" s="882"/>
      <c r="R38" s="882"/>
      <c r="S38" s="922"/>
      <c r="T38" s="882"/>
      <c r="U38" s="883"/>
      <c r="V38" s="254"/>
    </row>
    <row r="39" spans="1:25" ht="31.5" customHeight="1" x14ac:dyDescent="0.3">
      <c r="A39" s="297">
        <v>34</v>
      </c>
      <c r="B39" s="808" t="s">
        <v>50</v>
      </c>
      <c r="C39" s="856" t="s">
        <v>434</v>
      </c>
      <c r="D39" s="799">
        <f>'vacaciones 2021'!U49</f>
        <v>202</v>
      </c>
      <c r="E39" s="917"/>
      <c r="F39" s="918"/>
      <c r="G39" s="918"/>
      <c r="H39" s="918"/>
      <c r="I39" s="918"/>
      <c r="J39" s="918"/>
      <c r="K39" s="918"/>
      <c r="L39" s="918"/>
      <c r="M39" s="918"/>
      <c r="N39" s="918"/>
      <c r="O39" s="918"/>
      <c r="P39" s="920"/>
      <c r="Q39" s="799">
        <f>SUM(E39:P39)</f>
        <v>0</v>
      </c>
      <c r="R39" s="799">
        <f>+D39-Q39</f>
        <v>202</v>
      </c>
      <c r="S39" s="809">
        <f>vacaciones!L13+360</f>
        <v>44716</v>
      </c>
      <c r="T39" s="792">
        <v>30</v>
      </c>
      <c r="U39" s="792">
        <f>+R39+T39</f>
        <v>232</v>
      </c>
    </row>
    <row r="40" spans="1:25" ht="31.5" customHeight="1" x14ac:dyDescent="0.3">
      <c r="A40" s="297">
        <v>33</v>
      </c>
      <c r="B40" s="808" t="s">
        <v>20</v>
      </c>
      <c r="C40" s="806" t="s">
        <v>434</v>
      </c>
      <c r="D40" s="799">
        <f>'vacaciones 2021'!U50</f>
        <v>143</v>
      </c>
      <c r="E40" s="78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786"/>
      <c r="Q40" s="799">
        <f>SUM(E40:P40)</f>
        <v>0</v>
      </c>
      <c r="R40" s="799">
        <f>+D40-Q40</f>
        <v>143</v>
      </c>
      <c r="S40" s="809">
        <f>vacaciones!L12+360</f>
        <v>44747</v>
      </c>
      <c r="T40" s="792">
        <v>30</v>
      </c>
      <c r="U40" s="792">
        <f>+R40+T40</f>
        <v>173</v>
      </c>
      <c r="Y40" s="316"/>
    </row>
    <row r="41" spans="1:25" ht="31.5" customHeight="1" x14ac:dyDescent="0.3">
      <c r="A41" s="297">
        <v>35</v>
      </c>
      <c r="B41" s="808" t="s">
        <v>49</v>
      </c>
      <c r="C41" s="806" t="s">
        <v>143</v>
      </c>
      <c r="D41" s="799">
        <f>'vacaciones 2021'!U52</f>
        <v>7</v>
      </c>
      <c r="E41" s="781">
        <v>1</v>
      </c>
      <c r="F41" s="311"/>
      <c r="G41" s="311"/>
      <c r="H41" s="311"/>
      <c r="I41" s="309"/>
      <c r="J41" s="311"/>
      <c r="K41" s="311"/>
      <c r="L41" s="311"/>
      <c r="M41" s="311"/>
      <c r="N41" s="311">
        <v>14</v>
      </c>
      <c r="O41" s="311"/>
      <c r="P41" s="786">
        <v>5</v>
      </c>
      <c r="Q41" s="799">
        <f>SUM(E41:P41)</f>
        <v>20</v>
      </c>
      <c r="R41" s="799">
        <f>+D41-Q41</f>
        <v>-13</v>
      </c>
      <c r="S41" s="809">
        <f>vacaciones!L6+360</f>
        <v>44855</v>
      </c>
      <c r="T41" s="792">
        <v>30</v>
      </c>
      <c r="U41" s="792">
        <f>+R41+T41</f>
        <v>17</v>
      </c>
      <c r="X41" s="316">
        <v>44917</v>
      </c>
    </row>
    <row r="42" spans="1:25" ht="31.5" customHeight="1" x14ac:dyDescent="0.3">
      <c r="A42" s="297">
        <v>36</v>
      </c>
      <c r="B42" s="807" t="s">
        <v>53</v>
      </c>
      <c r="C42" s="852" t="s">
        <v>143</v>
      </c>
      <c r="D42" s="799">
        <f>'vacaciones 2021'!U51</f>
        <v>30</v>
      </c>
      <c r="E42" s="853"/>
      <c r="F42" s="854"/>
      <c r="G42" s="854"/>
      <c r="H42" s="854"/>
      <c r="I42" s="854"/>
      <c r="J42" s="854">
        <v>14</v>
      </c>
      <c r="K42" s="854"/>
      <c r="L42" s="854"/>
      <c r="M42" s="854"/>
      <c r="N42" s="854"/>
      <c r="O42" s="854"/>
      <c r="P42" s="855"/>
      <c r="Q42" s="799">
        <f>SUM(E42:P42)</f>
        <v>14</v>
      </c>
      <c r="R42" s="799">
        <f>+D42-Q42</f>
        <v>16</v>
      </c>
      <c r="S42" s="809">
        <f>vacaciones!L24+360</f>
        <v>44916</v>
      </c>
      <c r="T42" s="792">
        <v>30</v>
      </c>
      <c r="U42" s="792">
        <f>+R42+T42</f>
        <v>46</v>
      </c>
      <c r="X42" s="316">
        <v>44921</v>
      </c>
      <c r="Y42" s="316"/>
    </row>
    <row r="43" spans="1:25" ht="31.5" customHeight="1" x14ac:dyDescent="0.3">
      <c r="A43" s="297"/>
      <c r="B43" s="807" t="s">
        <v>472</v>
      </c>
      <c r="C43" s="806" t="s">
        <v>466</v>
      </c>
      <c r="D43" s="799">
        <f>'vacaciones 2021'!U53</f>
        <v>-7</v>
      </c>
      <c r="E43" s="915"/>
      <c r="F43" s="875"/>
      <c r="G43" s="875"/>
      <c r="H43" s="875"/>
      <c r="I43" s="875"/>
      <c r="J43" s="875"/>
      <c r="K43" s="875"/>
      <c r="L43" s="875"/>
      <c r="M43" s="875">
        <v>9</v>
      </c>
      <c r="N43" s="875"/>
      <c r="O43" s="875"/>
      <c r="P43" s="877"/>
      <c r="Q43" s="799">
        <f>SUM(E43:P43)</f>
        <v>9</v>
      </c>
      <c r="R43" s="799">
        <f>+D43-Q43</f>
        <v>-16</v>
      </c>
      <c r="S43" s="809">
        <v>44819</v>
      </c>
      <c r="T43" s="792">
        <v>30</v>
      </c>
      <c r="U43" s="792">
        <f>+R43+T43</f>
        <v>14</v>
      </c>
      <c r="X43" s="253">
        <f>X42-X41+1</f>
        <v>5</v>
      </c>
    </row>
    <row r="44" spans="1:25" ht="31.5" customHeight="1" x14ac:dyDescent="0.3">
      <c r="A44" s="297"/>
      <c r="B44" s="881" t="s">
        <v>448</v>
      </c>
      <c r="C44" s="882"/>
      <c r="D44" s="882"/>
      <c r="E44" s="882"/>
      <c r="F44" s="882"/>
      <c r="G44" s="882"/>
      <c r="H44" s="882"/>
      <c r="I44" s="882"/>
      <c r="J44" s="882"/>
      <c r="K44" s="882"/>
      <c r="L44" s="882"/>
      <c r="M44" s="882"/>
      <c r="N44" s="882"/>
      <c r="O44" s="882"/>
      <c r="P44" s="882"/>
      <c r="Q44" s="882"/>
      <c r="R44" s="882"/>
      <c r="S44" s="922"/>
      <c r="T44" s="882"/>
      <c r="U44" s="883"/>
      <c r="V44" s="254"/>
    </row>
    <row r="45" spans="1:25" ht="31.5" customHeight="1" x14ac:dyDescent="0.3">
      <c r="A45" s="297">
        <v>37</v>
      </c>
      <c r="B45" s="808" t="s">
        <v>56</v>
      </c>
      <c r="C45" s="860" t="s">
        <v>438</v>
      </c>
      <c r="D45" s="799">
        <f>'vacaciones 2021'!U55</f>
        <v>76</v>
      </c>
      <c r="E45" s="861"/>
      <c r="F45" s="862"/>
      <c r="G45" s="899"/>
      <c r="H45" s="862"/>
      <c r="I45" s="862"/>
      <c r="J45" s="862"/>
      <c r="K45" s="862"/>
      <c r="L45" s="862">
        <v>1</v>
      </c>
      <c r="M45" s="862"/>
      <c r="N45" s="862">
        <v>23</v>
      </c>
      <c r="O45" s="862">
        <v>6</v>
      </c>
      <c r="P45" s="863">
        <v>2</v>
      </c>
      <c r="Q45" s="799">
        <f>SUM(E45:P45)</f>
        <v>32</v>
      </c>
      <c r="R45" s="799">
        <f>+D45-Q45</f>
        <v>44</v>
      </c>
      <c r="S45" s="809">
        <f>vacaciones!L39+360</f>
        <v>44613</v>
      </c>
      <c r="T45" s="792">
        <v>30</v>
      </c>
      <c r="U45" s="792">
        <f>+R45+T45</f>
        <v>74</v>
      </c>
    </row>
    <row r="46" spans="1:25" ht="31.5" customHeight="1" x14ac:dyDescent="0.3">
      <c r="A46" s="297">
        <v>37</v>
      </c>
      <c r="B46" s="808" t="s">
        <v>495</v>
      </c>
      <c r="C46" s="860" t="s">
        <v>438</v>
      </c>
      <c r="D46" s="799">
        <f>'vacaciones 2021'!U56</f>
        <v>0</v>
      </c>
      <c r="E46" s="861"/>
      <c r="F46" s="862"/>
      <c r="G46" s="899"/>
      <c r="H46" s="862"/>
      <c r="I46" s="862"/>
      <c r="J46" s="862"/>
      <c r="K46" s="862"/>
      <c r="L46" s="862"/>
      <c r="M46" s="862"/>
      <c r="N46" s="862"/>
      <c r="O46" s="862"/>
      <c r="P46" s="863">
        <v>1</v>
      </c>
      <c r="Q46" s="799">
        <f>SUM(E46:P46)</f>
        <v>1</v>
      </c>
      <c r="R46" s="799">
        <f>+D46-Q46</f>
        <v>-1</v>
      </c>
      <c r="S46" s="809">
        <v>45083</v>
      </c>
      <c r="T46" s="792"/>
      <c r="U46" s="792">
        <f>+R46+T46</f>
        <v>-1</v>
      </c>
    </row>
    <row r="47" spans="1:25" ht="31.5" customHeight="1" x14ac:dyDescent="0.3">
      <c r="A47" s="297"/>
      <c r="B47" s="881" t="s">
        <v>452</v>
      </c>
      <c r="C47" s="882"/>
      <c r="D47" s="882"/>
      <c r="E47" s="882"/>
      <c r="F47" s="882"/>
      <c r="G47" s="882"/>
      <c r="H47" s="882"/>
      <c r="I47" s="882"/>
      <c r="J47" s="882"/>
      <c r="K47" s="882"/>
      <c r="L47" s="882"/>
      <c r="M47" s="882"/>
      <c r="N47" s="882"/>
      <c r="O47" s="882"/>
      <c r="P47" s="882"/>
      <c r="Q47" s="882"/>
      <c r="R47" s="882"/>
      <c r="S47" s="922"/>
      <c r="T47" s="882"/>
      <c r="U47" s="883"/>
      <c r="V47" s="254"/>
      <c r="X47" s="316"/>
    </row>
    <row r="48" spans="1:25" ht="31.5" customHeight="1" x14ac:dyDescent="0.3">
      <c r="A48" s="297">
        <v>40</v>
      </c>
      <c r="B48" s="808" t="s">
        <v>61</v>
      </c>
      <c r="C48" s="806" t="s">
        <v>437</v>
      </c>
      <c r="D48" s="799">
        <f>'vacaciones 2021'!U57</f>
        <v>60</v>
      </c>
      <c r="E48" s="78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786">
        <v>10</v>
      </c>
      <c r="Q48" s="799">
        <f>SUM(E48:P48)</f>
        <v>10</v>
      </c>
      <c r="R48" s="799">
        <f>+D48-Q48</f>
        <v>50</v>
      </c>
      <c r="S48" s="809">
        <f>vacaciones!L43+360</f>
        <v>44795</v>
      </c>
      <c r="T48" s="792">
        <v>30</v>
      </c>
      <c r="U48" s="792">
        <f>+R48+T48</f>
        <v>80</v>
      </c>
      <c r="X48" s="316"/>
      <c r="Y48" s="316"/>
    </row>
    <row r="49" spans="1:25" ht="31.5" customHeight="1" x14ac:dyDescent="0.3">
      <c r="A49" s="297">
        <v>38</v>
      </c>
      <c r="B49" s="808" t="s">
        <v>59</v>
      </c>
      <c r="C49" s="806" t="s">
        <v>440</v>
      </c>
      <c r="D49" s="799">
        <f>'vacaciones 2021'!U58</f>
        <v>42</v>
      </c>
      <c r="E49" s="781"/>
      <c r="F49" s="311"/>
      <c r="G49" s="311"/>
      <c r="H49" s="311"/>
      <c r="I49" s="311"/>
      <c r="J49" s="311">
        <v>1</v>
      </c>
      <c r="K49" s="930"/>
      <c r="L49" s="311"/>
      <c r="M49" s="311"/>
      <c r="N49" s="311">
        <f>3+1+3</f>
        <v>7</v>
      </c>
      <c r="O49" s="311"/>
      <c r="P49" s="786">
        <f>5+9</f>
        <v>14</v>
      </c>
      <c r="Q49" s="799">
        <f>SUM(E49:P49)</f>
        <v>22</v>
      </c>
      <c r="R49" s="799">
        <f>+D49-Q49</f>
        <v>20</v>
      </c>
      <c r="S49" s="809">
        <f>vacaciones!L33+360</f>
        <v>44885</v>
      </c>
      <c r="T49" s="792">
        <v>30</v>
      </c>
      <c r="U49" s="792">
        <f>+R49+T49</f>
        <v>50</v>
      </c>
      <c r="Y49" s="316"/>
    </row>
    <row r="50" spans="1:25" ht="31.5" customHeight="1" x14ac:dyDescent="0.3">
      <c r="A50" s="297">
        <v>39</v>
      </c>
      <c r="B50" s="808" t="s">
        <v>441</v>
      </c>
      <c r="C50" s="806" t="s">
        <v>437</v>
      </c>
      <c r="D50" s="799">
        <f>'vacaciones 2021'!U59</f>
        <v>-1</v>
      </c>
      <c r="E50" s="781"/>
      <c r="F50" s="311"/>
      <c r="G50" s="311">
        <f>4+4</f>
        <v>8</v>
      </c>
      <c r="H50" s="311"/>
      <c r="I50" s="311"/>
      <c r="J50" s="311"/>
      <c r="K50" s="819"/>
      <c r="L50" s="311">
        <f>2+1+1</f>
        <v>4</v>
      </c>
      <c r="M50" s="311"/>
      <c r="N50" s="311">
        <f>1+3</f>
        <v>4</v>
      </c>
      <c r="O50" s="311">
        <v>2</v>
      </c>
      <c r="P50" s="786">
        <v>5</v>
      </c>
      <c r="Q50" s="799">
        <f>SUM(E50:P50)</f>
        <v>23</v>
      </c>
      <c r="R50" s="799">
        <f>+D50-Q50</f>
        <v>-24</v>
      </c>
      <c r="S50" s="809">
        <v>44562</v>
      </c>
      <c r="T50" s="792">
        <v>30</v>
      </c>
      <c r="U50" s="792">
        <f>+R50+T50</f>
        <v>6</v>
      </c>
    </row>
    <row r="51" spans="1:25" ht="31.5" customHeight="1" x14ac:dyDescent="0.3">
      <c r="A51" s="297"/>
      <c r="B51" s="881" t="s">
        <v>453</v>
      </c>
      <c r="C51" s="882"/>
      <c r="D51" s="882"/>
      <c r="E51" s="882"/>
      <c r="F51" s="882"/>
      <c r="G51" s="882"/>
      <c r="H51" s="882"/>
      <c r="I51" s="882"/>
      <c r="J51" s="882"/>
      <c r="K51" s="882"/>
      <c r="L51" s="882"/>
      <c r="M51" s="882"/>
      <c r="N51" s="882"/>
      <c r="O51" s="882"/>
      <c r="P51" s="882"/>
      <c r="Q51" s="882"/>
      <c r="R51" s="882"/>
      <c r="S51" s="922"/>
      <c r="T51" s="882"/>
      <c r="U51" s="883"/>
      <c r="V51" s="254"/>
    </row>
    <row r="52" spans="1:25" ht="31.5" customHeight="1" x14ac:dyDescent="0.3">
      <c r="A52" s="297">
        <v>41</v>
      </c>
      <c r="B52" s="808" t="s">
        <v>97</v>
      </c>
      <c r="C52" s="806" t="s">
        <v>439</v>
      </c>
      <c r="D52" s="799">
        <f>'vacaciones 2021'!U61</f>
        <v>36</v>
      </c>
      <c r="E52" s="880">
        <v>8</v>
      </c>
      <c r="F52" s="862"/>
      <c r="G52" s="862"/>
      <c r="H52" s="862"/>
      <c r="I52" s="862">
        <v>15</v>
      </c>
      <c r="J52" s="862"/>
      <c r="K52" s="862"/>
      <c r="L52" s="862"/>
      <c r="M52" s="862"/>
      <c r="N52" s="862"/>
      <c r="O52" s="862"/>
      <c r="P52" s="863">
        <v>25</v>
      </c>
      <c r="Q52" s="799">
        <f>SUM(E52:P52)</f>
        <v>48</v>
      </c>
      <c r="R52" s="799">
        <f>+D52-Q52</f>
        <v>-12</v>
      </c>
      <c r="S52" s="809">
        <f>vacaciones!L34+360</f>
        <v>44748</v>
      </c>
      <c r="T52" s="792">
        <v>30</v>
      </c>
      <c r="U52" s="792">
        <f>+R52+T52</f>
        <v>18</v>
      </c>
    </row>
    <row r="53" spans="1:25" x14ac:dyDescent="0.3">
      <c r="A53" s="297"/>
      <c r="D53" s="793"/>
      <c r="Q53" s="796"/>
      <c r="R53" s="796"/>
      <c r="T53" s="793"/>
      <c r="U53" s="793"/>
    </row>
    <row r="54" spans="1:25" x14ac:dyDescent="0.3">
      <c r="A54" s="297"/>
    </row>
    <row r="55" spans="1:25" x14ac:dyDescent="0.3">
      <c r="A55" s="297"/>
    </row>
    <row r="56" spans="1:25" s="794" customFormat="1" x14ac:dyDescent="0.3">
      <c r="A56" s="297"/>
      <c r="B56" s="253"/>
      <c r="C56" s="253"/>
      <c r="E56" s="253"/>
      <c r="F56" s="253"/>
      <c r="G56" s="253"/>
      <c r="H56" s="253"/>
      <c r="I56" s="253"/>
      <c r="J56" s="253"/>
      <c r="K56" s="253"/>
      <c r="L56" s="253"/>
      <c r="M56" s="316"/>
      <c r="N56" s="253"/>
      <c r="O56" s="253"/>
      <c r="P56" s="253"/>
      <c r="Q56" s="797"/>
      <c r="R56" s="797"/>
      <c r="S56" s="793"/>
      <c r="V56" s="253"/>
      <c r="W56" s="253"/>
    </row>
    <row r="57" spans="1:25" s="794" customFormat="1" x14ac:dyDescent="0.3">
      <c r="A57" s="252"/>
      <c r="B57" s="253"/>
      <c r="C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797"/>
      <c r="R57" s="797"/>
      <c r="S57" s="815"/>
      <c r="V57" s="253"/>
      <c r="W57" s="253"/>
    </row>
    <row r="59" spans="1:25" s="794" customFormat="1" x14ac:dyDescent="0.3">
      <c r="A59" s="252"/>
      <c r="B59" s="253"/>
      <c r="C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797"/>
      <c r="R59" s="797"/>
      <c r="S59" s="815"/>
      <c r="V59" s="253"/>
      <c r="W59" s="253"/>
    </row>
  </sheetData>
  <sheetProtection selectLockedCells="1" selectUnlockedCells="1"/>
  <sortState ref="A47:Y51">
    <sortCondition descending="1" ref="U47:U51"/>
  </sortState>
  <mergeCells count="1">
    <mergeCell ref="B1:U1"/>
  </mergeCells>
  <printOptions horizontalCentered="1"/>
  <pageMargins left="0.19685039370078741" right="0.19685039370078741" top="0.59055118110236227" bottom="0.39370078740157483" header="0.31496062992125984" footer="0"/>
  <pageSetup paperSize="9" scale="50" firstPageNumber="0" orientation="portrait" verticalDpi="300" r:id="rId1"/>
  <headerFooter alignWithMargins="0"/>
  <rowBreaks count="1" manualBreakCount="1">
    <brk id="37" max="20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W68"/>
  <sheetViews>
    <sheetView showGridLines="0" showZeros="0" zoomScale="70" zoomScaleNormal="70" zoomScaleSheetLayoutView="71" workbookViewId="0">
      <pane xSplit="3" ySplit="2" topLeftCell="D3" activePane="bottomRight" state="frozen"/>
      <selection activeCell="S5" sqref="S5"/>
      <selection pane="topRight" activeCell="S5" sqref="S5"/>
      <selection pane="bottomLeft" activeCell="S5" sqref="S5"/>
      <selection pane="bottomRight" activeCell="S5" sqref="S5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3" width="57.7109375" style="253" customWidth="1"/>
    <col min="4" max="4" width="15.42578125" style="794" customWidth="1"/>
    <col min="5" max="16" width="7.42578125" style="253" customWidth="1" outlineLevel="1"/>
    <col min="17" max="17" width="10.85546875" style="797" customWidth="1"/>
    <col min="18" max="18" width="17" style="797" customWidth="1"/>
    <col min="19" max="19" width="20.42578125" style="793" customWidth="1"/>
    <col min="20" max="21" width="15.42578125" style="794" customWidth="1"/>
    <col min="22" max="22" width="8.85546875" style="253"/>
    <col min="23" max="23" width="14.85546875" style="253" bestFit="1" customWidth="1"/>
    <col min="24" max="16384" width="8.85546875" style="253"/>
  </cols>
  <sheetData>
    <row r="1" spans="1:22" s="254" customFormat="1" ht="66.75" customHeight="1" x14ac:dyDescent="0.3">
      <c r="A1" s="798"/>
      <c r="B1" s="924" t="s">
        <v>180</v>
      </c>
      <c r="C1" s="805"/>
      <c r="D1" s="805"/>
      <c r="E1" s="1188" t="s">
        <v>414</v>
      </c>
      <c r="F1" s="1188"/>
      <c r="G1" s="1188"/>
      <c r="H1" s="1188"/>
      <c r="I1" s="1188"/>
      <c r="J1" s="1188"/>
      <c r="K1" s="1188"/>
      <c r="L1" s="1188"/>
      <c r="M1" s="1188"/>
      <c r="N1" s="1188"/>
      <c r="O1" s="1188"/>
      <c r="P1" s="1188"/>
      <c r="Q1" s="1189"/>
      <c r="R1" s="805"/>
      <c r="S1" s="921"/>
      <c r="T1" s="805"/>
      <c r="U1" s="805"/>
    </row>
    <row r="2" spans="1:22" s="254" customFormat="1" ht="67.5" customHeight="1" x14ac:dyDescent="0.3">
      <c r="A2" s="851"/>
      <c r="B2" s="778" t="s">
        <v>68</v>
      </c>
      <c r="C2" s="778"/>
      <c r="D2" s="778" t="s">
        <v>413</v>
      </c>
      <c r="E2" s="800" t="s">
        <v>4</v>
      </c>
      <c r="F2" s="801" t="s">
        <v>5</v>
      </c>
      <c r="G2" s="801" t="s">
        <v>6</v>
      </c>
      <c r="H2" s="801" t="s">
        <v>7</v>
      </c>
      <c r="I2" s="801" t="s">
        <v>8</v>
      </c>
      <c r="J2" s="801" t="s">
        <v>9</v>
      </c>
      <c r="K2" s="801" t="s">
        <v>10</v>
      </c>
      <c r="L2" s="801" t="s">
        <v>11</v>
      </c>
      <c r="M2" s="801" t="s">
        <v>368</v>
      </c>
      <c r="N2" s="801" t="s">
        <v>13</v>
      </c>
      <c r="O2" s="801" t="s">
        <v>14</v>
      </c>
      <c r="P2" s="802" t="s">
        <v>15</v>
      </c>
      <c r="Q2" s="803" t="s">
        <v>3</v>
      </c>
      <c r="R2" s="803" t="s">
        <v>410</v>
      </c>
      <c r="S2" s="790" t="s">
        <v>411</v>
      </c>
      <c r="T2" s="790" t="s">
        <v>412</v>
      </c>
      <c r="U2" s="791" t="s">
        <v>401</v>
      </c>
    </row>
    <row r="3" spans="1:22" ht="31.5" customHeight="1" x14ac:dyDescent="0.3">
      <c r="A3" s="297"/>
      <c r="B3" s="881" t="s">
        <v>451</v>
      </c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922"/>
      <c r="T3" s="882"/>
      <c r="U3" s="883"/>
      <c r="V3" s="254"/>
    </row>
    <row r="4" spans="1:22" ht="31.5" customHeight="1" x14ac:dyDescent="0.3">
      <c r="A4" s="297">
        <v>1</v>
      </c>
      <c r="B4" s="872" t="s">
        <v>157</v>
      </c>
      <c r="C4" s="806" t="s">
        <v>442</v>
      </c>
      <c r="D4" s="847">
        <f>'vacaciones 2020'!T25</f>
        <v>0</v>
      </c>
      <c r="E4" s="780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785"/>
      <c r="Q4" s="847">
        <f>SUM(E4:P4)</f>
        <v>0</v>
      </c>
      <c r="R4" s="847">
        <f>+D4-Q4</f>
        <v>0</v>
      </c>
      <c r="S4" s="848">
        <f>vacaciones!I26</f>
        <v>0</v>
      </c>
      <c r="T4" s="849"/>
      <c r="U4" s="849">
        <f>+R4+T4</f>
        <v>0</v>
      </c>
    </row>
    <row r="5" spans="1:22" ht="31.5" customHeight="1" x14ac:dyDescent="0.3">
      <c r="A5" s="297">
        <v>2</v>
      </c>
      <c r="B5" s="808" t="s">
        <v>57</v>
      </c>
      <c r="C5" s="806" t="s">
        <v>432</v>
      </c>
      <c r="D5" s="799">
        <f>'vacaciones 2020'!T8</f>
        <v>70</v>
      </c>
      <c r="E5" s="781">
        <v>9</v>
      </c>
      <c r="F5" s="311"/>
      <c r="G5" s="311"/>
      <c r="H5" s="311"/>
      <c r="I5" s="311">
        <v>1</v>
      </c>
      <c r="J5" s="311"/>
      <c r="K5" s="311">
        <v>12</v>
      </c>
      <c r="L5" s="311">
        <v>18</v>
      </c>
      <c r="M5" s="311"/>
      <c r="N5" s="311"/>
      <c r="O5" s="311"/>
      <c r="P5" s="786"/>
      <c r="Q5" s="799">
        <f>SUM(E5:P5)</f>
        <v>40</v>
      </c>
      <c r="R5" s="799">
        <f>+D5-Q5</f>
        <v>30</v>
      </c>
      <c r="S5" s="809">
        <f>vacaciones!L9</f>
        <v>44286</v>
      </c>
      <c r="T5" s="792">
        <v>30</v>
      </c>
      <c r="U5" s="792">
        <f>+R5+T5</f>
        <v>60</v>
      </c>
    </row>
    <row r="6" spans="1:22" ht="31.5" customHeight="1" x14ac:dyDescent="0.3">
      <c r="A6" s="297">
        <v>3</v>
      </c>
      <c r="B6" s="808" t="s">
        <v>108</v>
      </c>
      <c r="C6" s="852" t="s">
        <v>443</v>
      </c>
      <c r="D6" s="799">
        <f>'vacaciones 2020'!T26</f>
        <v>10</v>
      </c>
      <c r="E6" s="853">
        <v>1</v>
      </c>
      <c r="F6" s="854">
        <v>2</v>
      </c>
      <c r="G6" s="854">
        <v>1</v>
      </c>
      <c r="H6" s="854"/>
      <c r="I6" s="854"/>
      <c r="J6" s="854"/>
      <c r="K6" s="854">
        <v>1</v>
      </c>
      <c r="L6" s="854"/>
      <c r="M6" s="854">
        <v>1</v>
      </c>
      <c r="N6" s="854"/>
      <c r="O6" s="854">
        <v>1</v>
      </c>
      <c r="P6" s="855"/>
      <c r="Q6" s="799">
        <f>SUM(E6:P6)</f>
        <v>7</v>
      </c>
      <c r="R6" s="799">
        <f>+D6-Q6</f>
        <v>3</v>
      </c>
      <c r="S6" s="809">
        <f>vacaciones!L25</f>
        <v>44501</v>
      </c>
      <c r="T6" s="792">
        <v>30</v>
      </c>
      <c r="U6" s="792">
        <f>+R6+T6</f>
        <v>33</v>
      </c>
    </row>
    <row r="7" spans="1:22" ht="31.5" customHeight="1" x14ac:dyDescent="0.3">
      <c r="A7" s="297"/>
      <c r="B7" s="881" t="s">
        <v>450</v>
      </c>
      <c r="C7" s="882"/>
      <c r="D7" s="882"/>
      <c r="E7" s="882"/>
      <c r="F7" s="882"/>
      <c r="G7" s="882"/>
      <c r="H7" s="882"/>
      <c r="I7" s="882"/>
      <c r="J7" s="882"/>
      <c r="K7" s="882"/>
      <c r="L7" s="882"/>
      <c r="M7" s="882"/>
      <c r="N7" s="882"/>
      <c r="O7" s="882"/>
      <c r="P7" s="882"/>
      <c r="Q7" s="882"/>
      <c r="R7" s="882"/>
      <c r="S7" s="922"/>
      <c r="T7" s="882"/>
      <c r="U7" s="883"/>
      <c r="V7" s="254"/>
    </row>
    <row r="8" spans="1:22" ht="31.5" customHeight="1" x14ac:dyDescent="0.3">
      <c r="A8" s="297">
        <v>6</v>
      </c>
      <c r="B8" s="878" t="s">
        <v>346</v>
      </c>
      <c r="C8" s="839" t="s">
        <v>435</v>
      </c>
      <c r="D8" s="799">
        <f>'vacaciones 2020'!T32</f>
        <v>-2</v>
      </c>
      <c r="E8" s="840"/>
      <c r="F8" s="841"/>
      <c r="G8" s="841"/>
      <c r="H8" s="841"/>
      <c r="I8" s="841"/>
      <c r="J8" s="841"/>
      <c r="K8" s="841"/>
      <c r="L8" s="841"/>
      <c r="M8" s="841"/>
      <c r="N8" s="841">
        <v>7</v>
      </c>
      <c r="O8" s="841"/>
      <c r="P8" s="842"/>
      <c r="Q8" s="799">
        <f>SUM(E8:P8)</f>
        <v>7</v>
      </c>
      <c r="R8" s="799">
        <f>+D8-Q8</f>
        <v>-9</v>
      </c>
      <c r="S8" s="809">
        <f>vacaciones!L31</f>
        <v>44404</v>
      </c>
      <c r="T8" s="792">
        <v>30</v>
      </c>
      <c r="U8" s="792">
        <f>+R8+T8</f>
        <v>21</v>
      </c>
    </row>
    <row r="9" spans="1:22" s="254" customFormat="1" ht="31.5" customHeight="1" x14ac:dyDescent="0.3">
      <c r="A9" s="297">
        <v>7</v>
      </c>
      <c r="B9" s="808" t="s">
        <v>109</v>
      </c>
      <c r="C9" s="806" t="s">
        <v>436</v>
      </c>
      <c r="D9" s="799">
        <f>'vacaciones 2020'!T43</f>
        <v>4</v>
      </c>
      <c r="E9" s="78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786"/>
      <c r="Q9" s="799">
        <f>SUM(E9:P9)</f>
        <v>0</v>
      </c>
      <c r="R9" s="799">
        <f>+D9-Q9</f>
        <v>4</v>
      </c>
      <c r="S9" s="809">
        <f>vacaciones!L42</f>
        <v>44497</v>
      </c>
      <c r="T9" s="792">
        <v>30</v>
      </c>
      <c r="U9" s="792">
        <f>+R9+T9</f>
        <v>34</v>
      </c>
    </row>
    <row r="10" spans="1:22" ht="31.5" customHeight="1" x14ac:dyDescent="0.3">
      <c r="A10" s="297">
        <v>9</v>
      </c>
      <c r="B10" s="873" t="s">
        <v>153</v>
      </c>
      <c r="C10" s="806" t="s">
        <v>435</v>
      </c>
      <c r="D10" s="836">
        <f>'vacaciones 2020'!T41</f>
        <v>0</v>
      </c>
      <c r="E10" s="874"/>
      <c r="F10" s="875"/>
      <c r="G10" s="876"/>
      <c r="H10" s="875"/>
      <c r="I10" s="875"/>
      <c r="J10" s="875"/>
      <c r="K10" s="875"/>
      <c r="L10" s="875"/>
      <c r="M10" s="875"/>
      <c r="N10" s="875">
        <v>7</v>
      </c>
      <c r="O10" s="875">
        <v>1</v>
      </c>
      <c r="P10" s="877"/>
      <c r="Q10" s="836">
        <f>SUM(E10:P10)</f>
        <v>8</v>
      </c>
      <c r="R10" s="836">
        <f>+D10-Q10</f>
        <v>-8</v>
      </c>
      <c r="S10" s="837">
        <v>44593</v>
      </c>
      <c r="T10" s="838"/>
      <c r="U10" s="838">
        <f>+R10+T10</f>
        <v>-8</v>
      </c>
    </row>
    <row r="11" spans="1:22" ht="31.5" customHeight="1" x14ac:dyDescent="0.3">
      <c r="A11" s="297">
        <v>8</v>
      </c>
      <c r="B11" s="914" t="s">
        <v>419</v>
      </c>
      <c r="C11" s="806" t="s">
        <v>435</v>
      </c>
      <c r="D11" s="836"/>
      <c r="E11" s="915"/>
      <c r="F11" s="875"/>
      <c r="G11" s="875"/>
      <c r="H11" s="875"/>
      <c r="I11" s="875"/>
      <c r="J11" s="875"/>
      <c r="K11" s="875"/>
      <c r="L11" s="875"/>
      <c r="M11" s="875"/>
      <c r="N11" s="875">
        <v>1</v>
      </c>
      <c r="O11" s="875"/>
      <c r="P11" s="877"/>
      <c r="Q11" s="836"/>
      <c r="R11" s="836"/>
      <c r="S11" s="837">
        <v>44562</v>
      </c>
      <c r="T11" s="838"/>
      <c r="U11" s="838"/>
    </row>
    <row r="12" spans="1:22" ht="31.5" customHeight="1" x14ac:dyDescent="0.3">
      <c r="A12" s="297"/>
      <c r="B12" s="808" t="s">
        <v>463</v>
      </c>
      <c r="C12" s="806" t="s">
        <v>435</v>
      </c>
      <c r="D12" s="799"/>
      <c r="E12" s="783"/>
      <c r="F12" s="311"/>
      <c r="G12" s="309"/>
      <c r="H12" s="311"/>
      <c r="I12" s="311"/>
      <c r="J12" s="311"/>
      <c r="K12" s="311"/>
      <c r="L12" s="311"/>
      <c r="M12" s="311"/>
      <c r="N12" s="311"/>
      <c r="O12" s="311"/>
      <c r="P12" s="786"/>
      <c r="Q12" s="799">
        <f>SUM(E12:P12)</f>
        <v>0</v>
      </c>
      <c r="R12" s="799">
        <f>+D12-Q12</f>
        <v>0</v>
      </c>
      <c r="S12" s="809">
        <v>44806</v>
      </c>
      <c r="T12" s="792"/>
      <c r="U12" s="792">
        <f>+R12+T12</f>
        <v>0</v>
      </c>
    </row>
    <row r="13" spans="1:22" ht="31.5" customHeight="1" x14ac:dyDescent="0.3">
      <c r="A13" s="297"/>
      <c r="B13" s="881" t="s">
        <v>449</v>
      </c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882"/>
      <c r="O13" s="882"/>
      <c r="P13" s="882"/>
      <c r="Q13" s="882"/>
      <c r="R13" s="882"/>
      <c r="S13" s="922"/>
      <c r="T13" s="882"/>
      <c r="U13" s="883"/>
      <c r="V13" s="254"/>
    </row>
    <row r="14" spans="1:22" ht="31.5" customHeight="1" x14ac:dyDescent="0.3">
      <c r="A14" s="297">
        <v>4</v>
      </c>
      <c r="B14" s="808" t="s">
        <v>150</v>
      </c>
      <c r="C14" s="839" t="s">
        <v>435</v>
      </c>
      <c r="D14" s="799">
        <f>'vacaciones 2020'!T21</f>
        <v>28</v>
      </c>
      <c r="E14" s="840"/>
      <c r="F14" s="841"/>
      <c r="G14" s="841"/>
      <c r="H14" s="841"/>
      <c r="I14" s="841"/>
      <c r="J14" s="841">
        <v>1</v>
      </c>
      <c r="K14" s="841"/>
      <c r="L14" s="841"/>
      <c r="M14" s="841"/>
      <c r="N14" s="841"/>
      <c r="O14" s="841"/>
      <c r="P14" s="842"/>
      <c r="Q14" s="799">
        <f t="shared" ref="Q14:Q26" si="0">SUM(E14:P14)</f>
        <v>1</v>
      </c>
      <c r="R14" s="799">
        <f t="shared" ref="R14:R37" si="1">+D14-Q14</f>
        <v>27</v>
      </c>
      <c r="S14" s="809">
        <f>vacaciones!L21</f>
        <v>44320</v>
      </c>
      <c r="T14" s="792">
        <v>30</v>
      </c>
      <c r="U14" s="792">
        <f t="shared" ref="U14:U37" si="2">+R14+T14</f>
        <v>57</v>
      </c>
    </row>
    <row r="15" spans="1:22" ht="31.5" customHeight="1" x14ac:dyDescent="0.3">
      <c r="A15" s="297">
        <v>5</v>
      </c>
      <c r="B15" s="866" t="s">
        <v>54</v>
      </c>
      <c r="C15" s="867" t="s">
        <v>435</v>
      </c>
      <c r="D15" s="799">
        <f>'vacaciones 2020'!T36</f>
        <v>150</v>
      </c>
      <c r="E15" s="868"/>
      <c r="F15" s="854"/>
      <c r="G15" s="869"/>
      <c r="H15" s="869"/>
      <c r="I15" s="869"/>
      <c r="J15" s="869">
        <v>1</v>
      </c>
      <c r="K15" s="869"/>
      <c r="L15" s="869"/>
      <c r="M15" s="869"/>
      <c r="N15" s="869"/>
      <c r="O15" s="869"/>
      <c r="P15" s="870">
        <v>13</v>
      </c>
      <c r="Q15" s="799">
        <f>SUM(E15:O15)</f>
        <v>1</v>
      </c>
      <c r="R15" s="799">
        <f t="shared" si="1"/>
        <v>149</v>
      </c>
      <c r="S15" s="809">
        <f>vacaciones!L35</f>
        <v>44384</v>
      </c>
      <c r="T15" s="792">
        <v>30</v>
      </c>
      <c r="U15" s="792">
        <f t="shared" si="2"/>
        <v>179</v>
      </c>
    </row>
    <row r="16" spans="1:22" ht="31.5" customHeight="1" x14ac:dyDescent="0.3">
      <c r="A16" s="297">
        <v>19</v>
      </c>
      <c r="B16" s="843" t="s">
        <v>51</v>
      </c>
      <c r="C16" s="864" t="s">
        <v>431</v>
      </c>
      <c r="D16" s="847">
        <f>'vacaciones 2020'!T20</f>
        <v>61</v>
      </c>
      <c r="E16" s="865"/>
      <c r="F16" s="303"/>
      <c r="G16" s="303"/>
      <c r="H16" s="303"/>
      <c r="I16" s="303"/>
      <c r="J16" s="913"/>
      <c r="K16" s="303">
        <v>19</v>
      </c>
      <c r="L16" s="303">
        <v>9</v>
      </c>
      <c r="M16" s="303"/>
      <c r="N16" s="303"/>
      <c r="O16" s="303"/>
      <c r="P16" s="785"/>
      <c r="Q16" s="847">
        <f t="shared" si="0"/>
        <v>28</v>
      </c>
      <c r="R16" s="847">
        <f t="shared" si="1"/>
        <v>33</v>
      </c>
      <c r="S16" s="848">
        <f>vacaciones!L20</f>
        <v>44418</v>
      </c>
      <c r="T16" s="849">
        <v>30</v>
      </c>
      <c r="U16" s="849">
        <f t="shared" si="2"/>
        <v>63</v>
      </c>
    </row>
    <row r="17" spans="1:23" ht="31.5" customHeight="1" x14ac:dyDescent="0.3">
      <c r="A17" s="297">
        <v>23</v>
      </c>
      <c r="B17" s="843" t="s">
        <v>151</v>
      </c>
      <c r="C17" s="864" t="s">
        <v>435</v>
      </c>
      <c r="D17" s="847">
        <f>'vacaciones 2020'!T31</f>
        <v>30</v>
      </c>
      <c r="E17" s="780"/>
      <c r="F17" s="303"/>
      <c r="G17" s="303"/>
      <c r="H17" s="303"/>
      <c r="I17" s="303"/>
      <c r="J17" s="303">
        <v>1</v>
      </c>
      <c r="K17" s="303">
        <v>6</v>
      </c>
      <c r="L17" s="303"/>
      <c r="M17" s="303"/>
      <c r="N17" s="303"/>
      <c r="O17" s="303"/>
      <c r="P17" s="785">
        <f>15+8</f>
        <v>23</v>
      </c>
      <c r="Q17" s="847">
        <f t="shared" si="0"/>
        <v>30</v>
      </c>
      <c r="R17" s="847">
        <f t="shared" si="1"/>
        <v>0</v>
      </c>
      <c r="S17" s="848">
        <f>vacaciones!L30</f>
        <v>44442</v>
      </c>
      <c r="T17" s="849">
        <v>30</v>
      </c>
      <c r="U17" s="849">
        <f t="shared" si="2"/>
        <v>30</v>
      </c>
    </row>
    <row r="18" spans="1:23" ht="31.5" customHeight="1" x14ac:dyDescent="0.3">
      <c r="A18" s="297">
        <v>24</v>
      </c>
      <c r="B18" s="808" t="s">
        <v>152</v>
      </c>
      <c r="C18" s="806" t="s">
        <v>435</v>
      </c>
      <c r="D18" s="799">
        <f>'vacaciones 2020'!T33</f>
        <v>25</v>
      </c>
      <c r="E18" s="781"/>
      <c r="F18" s="311"/>
      <c r="G18" s="311"/>
      <c r="H18" s="311"/>
      <c r="I18" s="311"/>
      <c r="J18" s="311"/>
      <c r="K18" s="311">
        <v>20</v>
      </c>
      <c r="L18" s="311"/>
      <c r="M18" s="311"/>
      <c r="N18" s="311"/>
      <c r="O18" s="311"/>
      <c r="P18" s="786"/>
      <c r="Q18" s="799">
        <f t="shared" si="0"/>
        <v>20</v>
      </c>
      <c r="R18" s="847">
        <f t="shared" si="1"/>
        <v>5</v>
      </c>
      <c r="S18" s="809">
        <f>vacaciones!L32</f>
        <v>44524.5</v>
      </c>
      <c r="T18" s="792">
        <v>30</v>
      </c>
      <c r="U18" s="849">
        <f t="shared" si="2"/>
        <v>35</v>
      </c>
    </row>
    <row r="19" spans="1:23" ht="31.5" customHeight="1" x14ac:dyDescent="0.3">
      <c r="A19" s="297">
        <v>20</v>
      </c>
      <c r="B19" s="807" t="s">
        <v>52</v>
      </c>
      <c r="C19" s="806" t="s">
        <v>431</v>
      </c>
      <c r="D19" s="799">
        <f>'vacaciones 2020'!T23</f>
        <v>81</v>
      </c>
      <c r="E19" s="781">
        <v>31</v>
      </c>
      <c r="F19" s="311">
        <v>28</v>
      </c>
      <c r="G19" s="309">
        <v>22</v>
      </c>
      <c r="H19" s="309"/>
      <c r="I19" s="309"/>
      <c r="J19" s="309"/>
      <c r="K19" s="309"/>
      <c r="L19" s="309"/>
      <c r="M19" s="309"/>
      <c r="N19" s="314"/>
      <c r="O19" s="309"/>
      <c r="P19" s="787"/>
      <c r="Q19" s="799">
        <f t="shared" si="0"/>
        <v>81</v>
      </c>
      <c r="R19" s="847">
        <f t="shared" si="1"/>
        <v>0</v>
      </c>
      <c r="S19" s="809">
        <f>vacaciones!L23</f>
        <v>44381</v>
      </c>
      <c r="T19" s="792">
        <v>30</v>
      </c>
      <c r="U19" s="849">
        <f t="shared" si="2"/>
        <v>30</v>
      </c>
    </row>
    <row r="20" spans="1:23" ht="31.5" customHeight="1" x14ac:dyDescent="0.3">
      <c r="A20" s="297">
        <v>10</v>
      </c>
      <c r="B20" s="808" t="s">
        <v>107</v>
      </c>
      <c r="C20" s="806" t="s">
        <v>430</v>
      </c>
      <c r="D20" s="799">
        <f>'vacaciones 2020'!T6</f>
        <v>44</v>
      </c>
      <c r="E20" s="781">
        <v>30</v>
      </c>
      <c r="F20" s="309">
        <v>14</v>
      </c>
      <c r="G20" s="309"/>
      <c r="H20" s="309"/>
      <c r="I20" s="309"/>
      <c r="J20" s="309">
        <v>1</v>
      </c>
      <c r="K20" s="309"/>
      <c r="L20" s="309"/>
      <c r="M20" s="311"/>
      <c r="N20" s="311"/>
      <c r="O20" s="311"/>
      <c r="P20" s="786"/>
      <c r="Q20" s="799">
        <f t="shared" si="0"/>
        <v>45</v>
      </c>
      <c r="R20" s="847">
        <f t="shared" si="1"/>
        <v>-1</v>
      </c>
      <c r="S20" s="809">
        <f>vacaciones!L7</f>
        <v>44455</v>
      </c>
      <c r="T20" s="792">
        <v>30</v>
      </c>
      <c r="U20" s="849">
        <f t="shared" si="2"/>
        <v>29</v>
      </c>
    </row>
    <row r="21" spans="1:23" ht="31.5" customHeight="1" x14ac:dyDescent="0.3">
      <c r="A21" s="297">
        <v>21</v>
      </c>
      <c r="B21" s="808" t="s">
        <v>127</v>
      </c>
      <c r="C21" s="806" t="s">
        <v>431</v>
      </c>
      <c r="D21" s="799">
        <f>'vacaciones 2020'!T29</f>
        <v>20</v>
      </c>
      <c r="E21" s="781"/>
      <c r="F21" s="311"/>
      <c r="G21" s="311"/>
      <c r="H21" s="311"/>
      <c r="I21" s="311"/>
      <c r="J21" s="311"/>
      <c r="K21" s="311">
        <v>21</v>
      </c>
      <c r="L21" s="311"/>
      <c r="M21" s="311"/>
      <c r="N21" s="311"/>
      <c r="O21" s="311"/>
      <c r="P21" s="786"/>
      <c r="Q21" s="799">
        <f t="shared" si="0"/>
        <v>21</v>
      </c>
      <c r="R21" s="847">
        <f t="shared" si="1"/>
        <v>-1</v>
      </c>
      <c r="S21" s="809">
        <f>vacaciones!L28</f>
        <v>44358</v>
      </c>
      <c r="T21" s="792">
        <v>30</v>
      </c>
      <c r="U21" s="849">
        <f t="shared" si="2"/>
        <v>29</v>
      </c>
      <c r="V21" s="254"/>
      <c r="W21" s="254"/>
    </row>
    <row r="22" spans="1:23" ht="31.5" customHeight="1" x14ac:dyDescent="0.3">
      <c r="A22" s="297">
        <v>12</v>
      </c>
      <c r="B22" s="808" t="s">
        <v>404</v>
      </c>
      <c r="C22" s="806" t="s">
        <v>435</v>
      </c>
      <c r="D22" s="799">
        <f>'vacaciones 2020'!T13</f>
        <v>-2</v>
      </c>
      <c r="E22" s="783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787"/>
      <c r="Q22" s="799">
        <f t="shared" si="0"/>
        <v>0</v>
      </c>
      <c r="R22" s="847">
        <f t="shared" si="1"/>
        <v>-2</v>
      </c>
      <c r="S22" s="809">
        <f>vacaciones!L14</f>
        <v>44497</v>
      </c>
      <c r="T22" s="792">
        <v>30</v>
      </c>
      <c r="U22" s="849">
        <f t="shared" si="2"/>
        <v>28</v>
      </c>
    </row>
    <row r="23" spans="1:23" ht="31.5" customHeight="1" x14ac:dyDescent="0.3">
      <c r="A23" s="297">
        <v>16</v>
      </c>
      <c r="B23" s="808" t="s">
        <v>126</v>
      </c>
      <c r="C23" s="806" t="s">
        <v>431</v>
      </c>
      <c r="D23" s="799">
        <f>'vacaciones 2020'!T17</f>
        <v>-12</v>
      </c>
      <c r="E23" s="781"/>
      <c r="F23" s="311"/>
      <c r="G23" s="311"/>
      <c r="H23" s="311"/>
      <c r="I23" s="311"/>
      <c r="J23" s="311"/>
      <c r="K23" s="311">
        <f>1+1</f>
        <v>2</v>
      </c>
      <c r="L23" s="311"/>
      <c r="M23" s="311"/>
      <c r="N23" s="311"/>
      <c r="O23" s="311"/>
      <c r="P23" s="786"/>
      <c r="Q23" s="799">
        <f t="shared" si="0"/>
        <v>2</v>
      </c>
      <c r="R23" s="847">
        <f t="shared" si="1"/>
        <v>-14</v>
      </c>
      <c r="S23" s="809">
        <f>vacaciones!L18</f>
        <v>44370</v>
      </c>
      <c r="T23" s="792">
        <v>30</v>
      </c>
      <c r="U23" s="849">
        <f t="shared" si="2"/>
        <v>16</v>
      </c>
      <c r="V23" s="254"/>
      <c r="W23" s="254"/>
    </row>
    <row r="24" spans="1:23" ht="31.5" customHeight="1" x14ac:dyDescent="0.3">
      <c r="A24" s="297">
        <v>11</v>
      </c>
      <c r="B24" s="808" t="s">
        <v>16</v>
      </c>
      <c r="C24" s="806" t="s">
        <v>431</v>
      </c>
      <c r="D24" s="799">
        <f>'vacaciones 2020'!T7</f>
        <v>-10</v>
      </c>
      <c r="E24" s="781"/>
      <c r="F24" s="311"/>
      <c r="G24" s="311"/>
      <c r="H24" s="311"/>
      <c r="I24" s="311"/>
      <c r="J24" s="311">
        <f>8+1</f>
        <v>9</v>
      </c>
      <c r="K24" s="311"/>
      <c r="L24" s="311"/>
      <c r="M24" s="311"/>
      <c r="N24" s="311"/>
      <c r="O24" s="311"/>
      <c r="P24" s="786">
        <v>11</v>
      </c>
      <c r="Q24" s="799">
        <f t="shared" si="0"/>
        <v>20</v>
      </c>
      <c r="R24" s="847">
        <f t="shared" si="1"/>
        <v>-30</v>
      </c>
      <c r="S24" s="809">
        <f>vacaciones!L8</f>
        <v>44370</v>
      </c>
      <c r="T24" s="792">
        <v>30</v>
      </c>
      <c r="U24" s="849">
        <f t="shared" si="2"/>
        <v>0</v>
      </c>
    </row>
    <row r="25" spans="1:23" ht="31.5" customHeight="1" x14ac:dyDescent="0.3">
      <c r="A25" s="297">
        <v>15</v>
      </c>
      <c r="B25" s="808" t="s">
        <v>21</v>
      </c>
      <c r="C25" s="864" t="s">
        <v>431</v>
      </c>
      <c r="D25" s="799"/>
      <c r="E25" s="781"/>
      <c r="F25" s="311"/>
      <c r="G25" s="311"/>
      <c r="H25" s="311"/>
      <c r="I25" s="311"/>
      <c r="J25" s="311"/>
      <c r="K25" s="311"/>
      <c r="L25" s="311"/>
      <c r="M25" s="311"/>
      <c r="N25" s="311"/>
      <c r="O25" s="311">
        <f>7+15</f>
        <v>22</v>
      </c>
      <c r="P25" s="786">
        <v>13</v>
      </c>
      <c r="Q25" s="799">
        <f t="shared" si="0"/>
        <v>35</v>
      </c>
      <c r="R25" s="847">
        <f t="shared" si="1"/>
        <v>-35</v>
      </c>
      <c r="S25" s="809">
        <f>vacaciones!L17</f>
        <v>44359</v>
      </c>
      <c r="T25" s="792">
        <v>30</v>
      </c>
      <c r="U25" s="849">
        <f t="shared" si="2"/>
        <v>-5</v>
      </c>
    </row>
    <row r="26" spans="1:23" s="254" customFormat="1" ht="31.5" customHeight="1" x14ac:dyDescent="0.3">
      <c r="A26" s="297">
        <v>13</v>
      </c>
      <c r="B26" s="808" t="s">
        <v>74</v>
      </c>
      <c r="C26" s="806" t="s">
        <v>436</v>
      </c>
      <c r="D26" s="799"/>
      <c r="E26" s="783"/>
      <c r="F26" s="311"/>
      <c r="G26" s="311"/>
      <c r="H26" s="311"/>
      <c r="I26" s="311"/>
      <c r="J26" s="311"/>
      <c r="K26" s="311">
        <v>4</v>
      </c>
      <c r="L26" s="311"/>
      <c r="M26" s="311"/>
      <c r="N26" s="311"/>
      <c r="O26" s="311">
        <f>7+15</f>
        <v>22</v>
      </c>
      <c r="P26" s="786">
        <v>13</v>
      </c>
      <c r="Q26" s="799">
        <f t="shared" si="0"/>
        <v>39</v>
      </c>
      <c r="R26" s="847">
        <f t="shared" si="1"/>
        <v>-39</v>
      </c>
      <c r="S26" s="809">
        <f>vacaciones!L15</f>
        <v>44359</v>
      </c>
      <c r="T26" s="792">
        <v>30</v>
      </c>
      <c r="U26" s="849">
        <f t="shared" si="2"/>
        <v>-9</v>
      </c>
      <c r="V26" s="253"/>
      <c r="W26" s="253"/>
    </row>
    <row r="27" spans="1:23" ht="31.5" customHeight="1" x14ac:dyDescent="0.3">
      <c r="A27" s="297"/>
      <c r="B27" s="808" t="s">
        <v>460</v>
      </c>
      <c r="C27" s="806" t="s">
        <v>465</v>
      </c>
      <c r="D27" s="799"/>
      <c r="E27" s="781"/>
      <c r="F27" s="309"/>
      <c r="G27" s="309"/>
      <c r="H27" s="309"/>
      <c r="I27" s="309"/>
      <c r="J27" s="309"/>
      <c r="K27" s="309"/>
      <c r="L27" s="309"/>
      <c r="M27" s="311"/>
      <c r="N27" s="311"/>
      <c r="O27" s="311"/>
      <c r="P27" s="786"/>
      <c r="Q27" s="799"/>
      <c r="R27" s="847">
        <f t="shared" si="1"/>
        <v>0</v>
      </c>
      <c r="S27" s="809">
        <v>44682</v>
      </c>
      <c r="T27" s="792"/>
      <c r="U27" s="849">
        <f t="shared" si="2"/>
        <v>0</v>
      </c>
    </row>
    <row r="28" spans="1:23" ht="31.5" customHeight="1" x14ac:dyDescent="0.3">
      <c r="A28" s="297"/>
      <c r="B28" s="808" t="s">
        <v>461</v>
      </c>
      <c r="C28" s="806" t="s">
        <v>435</v>
      </c>
      <c r="D28" s="799"/>
      <c r="E28" s="78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786"/>
      <c r="Q28" s="799"/>
      <c r="R28" s="847">
        <f t="shared" si="1"/>
        <v>0</v>
      </c>
      <c r="S28" s="809">
        <v>44810</v>
      </c>
      <c r="T28" s="792"/>
      <c r="U28" s="849">
        <f t="shared" si="2"/>
        <v>0</v>
      </c>
    </row>
    <row r="29" spans="1:23" ht="31.5" customHeight="1" x14ac:dyDescent="0.3">
      <c r="A29" s="297"/>
      <c r="B29" s="808" t="s">
        <v>462</v>
      </c>
      <c r="C29" s="806" t="s">
        <v>435</v>
      </c>
      <c r="D29" s="799"/>
      <c r="E29" s="783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787"/>
      <c r="Q29" s="799"/>
      <c r="R29" s="847">
        <f t="shared" si="1"/>
        <v>0</v>
      </c>
      <c r="S29" s="809">
        <v>44810</v>
      </c>
      <c r="T29" s="792"/>
      <c r="U29" s="849">
        <f t="shared" si="2"/>
        <v>0</v>
      </c>
    </row>
    <row r="30" spans="1:23" ht="31.5" customHeight="1" x14ac:dyDescent="0.3">
      <c r="A30" s="297">
        <v>14</v>
      </c>
      <c r="B30" s="808" t="s">
        <v>22</v>
      </c>
      <c r="C30" s="806" t="s">
        <v>435</v>
      </c>
      <c r="D30" s="813">
        <f>'vacaciones 2020'!T15</f>
        <v>0</v>
      </c>
      <c r="E30" s="812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786"/>
      <c r="Q30" s="799">
        <f>SUM(E30:P30)</f>
        <v>0</v>
      </c>
      <c r="R30" s="847">
        <f t="shared" si="1"/>
        <v>0</v>
      </c>
      <c r="S30" s="809">
        <v>44562</v>
      </c>
      <c r="T30" s="792"/>
      <c r="U30" s="849">
        <f t="shared" si="2"/>
        <v>0</v>
      </c>
      <c r="W30" s="316"/>
    </row>
    <row r="31" spans="1:23" ht="31.5" customHeight="1" x14ac:dyDescent="0.3">
      <c r="A31" s="297"/>
      <c r="B31" s="808" t="s">
        <v>464</v>
      </c>
      <c r="C31" s="806" t="s">
        <v>465</v>
      </c>
      <c r="D31" s="799"/>
      <c r="E31" s="78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786"/>
      <c r="Q31" s="799"/>
      <c r="R31" s="847">
        <f t="shared" si="1"/>
        <v>0</v>
      </c>
      <c r="S31" s="809">
        <v>44806</v>
      </c>
      <c r="T31" s="792"/>
      <c r="U31" s="849">
        <f t="shared" si="2"/>
        <v>0</v>
      </c>
    </row>
    <row r="32" spans="1:23" s="254" customFormat="1" ht="31.5" customHeight="1" x14ac:dyDescent="0.3">
      <c r="A32" s="297"/>
      <c r="B32" s="808" t="s">
        <v>467</v>
      </c>
      <c r="C32" s="806" t="s">
        <v>435</v>
      </c>
      <c r="D32" s="799"/>
      <c r="E32" s="781"/>
      <c r="F32" s="311"/>
      <c r="G32" s="311"/>
      <c r="H32" s="311"/>
      <c r="I32" s="311"/>
      <c r="J32" s="810"/>
      <c r="K32" s="311"/>
      <c r="L32" s="311"/>
      <c r="M32" s="311"/>
      <c r="N32" s="311"/>
      <c r="O32" s="311"/>
      <c r="P32" s="786"/>
      <c r="Q32" s="799"/>
      <c r="R32" s="847">
        <f t="shared" si="1"/>
        <v>0</v>
      </c>
      <c r="S32" s="809">
        <v>44813</v>
      </c>
      <c r="T32" s="792"/>
      <c r="U32" s="849">
        <f t="shared" si="2"/>
        <v>0</v>
      </c>
      <c r="V32" s="253"/>
      <c r="W32" s="253"/>
    </row>
    <row r="33" spans="1:23" s="254" customFormat="1" ht="31.5" customHeight="1" x14ac:dyDescent="0.3">
      <c r="A33" s="297"/>
      <c r="B33" s="807" t="s">
        <v>469</v>
      </c>
      <c r="C33" s="806" t="s">
        <v>435</v>
      </c>
      <c r="D33" s="813"/>
      <c r="E33" s="812"/>
      <c r="F33" s="810"/>
      <c r="G33" s="831"/>
      <c r="H33" s="831"/>
      <c r="I33" s="831"/>
      <c r="J33" s="831"/>
      <c r="K33" s="831"/>
      <c r="L33" s="831"/>
      <c r="M33" s="831"/>
      <c r="N33" s="832"/>
      <c r="O33" s="831"/>
      <c r="P33" s="833"/>
      <c r="Q33" s="813"/>
      <c r="R33" s="847">
        <f t="shared" si="1"/>
        <v>0</v>
      </c>
      <c r="S33" s="923">
        <v>44797</v>
      </c>
      <c r="T33" s="834"/>
      <c r="U33" s="849">
        <f t="shared" si="2"/>
        <v>0</v>
      </c>
      <c r="V33" s="253"/>
      <c r="W33" s="253"/>
    </row>
    <row r="34" spans="1:23" ht="31.5" customHeight="1" x14ac:dyDescent="0.3">
      <c r="A34" s="297"/>
      <c r="B34" s="807" t="s">
        <v>470</v>
      </c>
      <c r="C34" s="806" t="s">
        <v>435</v>
      </c>
      <c r="D34" s="813"/>
      <c r="E34" s="812"/>
      <c r="F34" s="810"/>
      <c r="G34" s="831"/>
      <c r="H34" s="831"/>
      <c r="I34" s="831"/>
      <c r="J34" s="831"/>
      <c r="K34" s="831"/>
      <c r="L34" s="831"/>
      <c r="M34" s="831"/>
      <c r="N34" s="832"/>
      <c r="O34" s="831"/>
      <c r="P34" s="833"/>
      <c r="Q34" s="813"/>
      <c r="R34" s="847">
        <f t="shared" si="1"/>
        <v>0</v>
      </c>
      <c r="S34" s="923">
        <v>44805</v>
      </c>
      <c r="T34" s="834"/>
      <c r="U34" s="849">
        <f t="shared" si="2"/>
        <v>0</v>
      </c>
    </row>
    <row r="35" spans="1:23" ht="31.5" customHeight="1" x14ac:dyDescent="0.3">
      <c r="A35" s="297"/>
      <c r="B35" s="807" t="s">
        <v>471</v>
      </c>
      <c r="C35" s="806" t="s">
        <v>431</v>
      </c>
      <c r="D35" s="799"/>
      <c r="E35" s="78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786"/>
      <c r="Q35" s="799"/>
      <c r="R35" s="847">
        <f t="shared" si="1"/>
        <v>0</v>
      </c>
      <c r="S35" s="809">
        <v>44810</v>
      </c>
      <c r="T35" s="792"/>
      <c r="U35" s="849">
        <f t="shared" si="2"/>
        <v>0</v>
      </c>
      <c r="V35" s="254"/>
      <c r="W35" s="254"/>
    </row>
    <row r="36" spans="1:23" ht="31.5" customHeight="1" x14ac:dyDescent="0.3">
      <c r="A36" s="297"/>
      <c r="B36" s="807" t="s">
        <v>473</v>
      </c>
      <c r="C36" s="806" t="s">
        <v>436</v>
      </c>
      <c r="D36" s="799"/>
      <c r="E36" s="78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786"/>
      <c r="Q36" s="799"/>
      <c r="R36" s="847">
        <f t="shared" si="1"/>
        <v>0</v>
      </c>
      <c r="S36" s="809">
        <v>44824</v>
      </c>
      <c r="T36" s="792"/>
      <c r="U36" s="849">
        <f t="shared" si="2"/>
        <v>0</v>
      </c>
    </row>
    <row r="37" spans="1:23" s="254" customFormat="1" ht="31.5" customHeight="1" x14ac:dyDescent="0.3">
      <c r="A37" s="297"/>
      <c r="B37" s="808" t="s">
        <v>474</v>
      </c>
      <c r="C37" s="806" t="s">
        <v>435</v>
      </c>
      <c r="D37" s="799"/>
      <c r="E37" s="783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786"/>
      <c r="Q37" s="799"/>
      <c r="R37" s="847">
        <f t="shared" si="1"/>
        <v>0</v>
      </c>
      <c r="S37" s="809">
        <v>44797</v>
      </c>
      <c r="T37" s="792"/>
      <c r="U37" s="849">
        <f t="shared" si="2"/>
        <v>0</v>
      </c>
    </row>
    <row r="38" spans="1:23" s="254" customFormat="1" ht="31.5" customHeight="1" x14ac:dyDescent="0.3">
      <c r="A38" s="297"/>
      <c r="B38" s="881" t="s">
        <v>445</v>
      </c>
      <c r="C38" s="882"/>
      <c r="D38" s="882"/>
      <c r="E38" s="882"/>
      <c r="F38" s="882"/>
      <c r="G38" s="882"/>
      <c r="H38" s="882"/>
      <c r="I38" s="882"/>
      <c r="J38" s="882"/>
      <c r="K38" s="882"/>
      <c r="L38" s="882"/>
      <c r="M38" s="882"/>
      <c r="N38" s="882"/>
      <c r="O38" s="882"/>
      <c r="P38" s="882"/>
      <c r="Q38" s="882"/>
      <c r="R38" s="882"/>
      <c r="S38" s="922"/>
      <c r="T38" s="882"/>
      <c r="U38" s="883"/>
    </row>
    <row r="39" spans="1:23" s="254" customFormat="1" ht="31.5" customHeight="1" x14ac:dyDescent="0.3">
      <c r="A39" s="297">
        <v>27</v>
      </c>
      <c r="B39" s="912" t="s">
        <v>18</v>
      </c>
      <c r="C39" s="850" t="s">
        <v>433</v>
      </c>
      <c r="D39" s="836">
        <f>'vacaciones 2020'!T9</f>
        <v>50</v>
      </c>
      <c r="E39" s="844"/>
      <c r="F39" s="845"/>
      <c r="G39" s="845">
        <v>3</v>
      </c>
      <c r="H39" s="845">
        <v>11</v>
      </c>
      <c r="I39" s="845">
        <v>1</v>
      </c>
      <c r="J39" s="845">
        <v>6</v>
      </c>
      <c r="K39" s="845">
        <f>2+6</f>
        <v>8</v>
      </c>
      <c r="L39" s="845">
        <v>8</v>
      </c>
      <c r="M39" s="845"/>
      <c r="N39" s="845"/>
      <c r="O39" s="845">
        <v>1</v>
      </c>
      <c r="P39" s="846"/>
      <c r="Q39" s="836">
        <f>SUM(E39:P39)</f>
        <v>38</v>
      </c>
      <c r="R39" s="836">
        <f>+D39-Q39</f>
        <v>12</v>
      </c>
      <c r="S39" s="837">
        <f>vacaciones!L10</f>
        <v>44206</v>
      </c>
      <c r="T39" s="838">
        <v>30</v>
      </c>
      <c r="U39" s="838">
        <f>+R39+T39</f>
        <v>42</v>
      </c>
    </row>
    <row r="40" spans="1:23" s="254" customFormat="1" ht="31.5" customHeight="1" x14ac:dyDescent="0.3">
      <c r="A40" s="297">
        <v>32</v>
      </c>
      <c r="B40" s="807" t="s">
        <v>86</v>
      </c>
      <c r="C40" s="872" t="s">
        <v>455</v>
      </c>
      <c r="D40" s="799">
        <f>'vacaciones 2020'!T4</f>
        <v>55</v>
      </c>
      <c r="E40" s="781"/>
      <c r="F40" s="311"/>
      <c r="G40" s="311">
        <v>1</v>
      </c>
      <c r="H40" s="311">
        <v>5</v>
      </c>
      <c r="I40" s="311">
        <f>2+1+2</f>
        <v>5</v>
      </c>
      <c r="J40" s="311">
        <v>14</v>
      </c>
      <c r="K40" s="311">
        <v>6</v>
      </c>
      <c r="L40" s="311">
        <f>8+1</f>
        <v>9</v>
      </c>
      <c r="M40" s="311"/>
      <c r="N40" s="311">
        <v>1</v>
      </c>
      <c r="O40" s="311"/>
      <c r="P40" s="786"/>
      <c r="Q40" s="799">
        <f>SUM(E40:P40)</f>
        <v>41</v>
      </c>
      <c r="R40" s="799">
        <f>+D40-Q40</f>
        <v>14</v>
      </c>
      <c r="S40" s="809">
        <f>vacaciones!L5</f>
        <v>44511</v>
      </c>
      <c r="T40" s="792">
        <v>30</v>
      </c>
      <c r="U40" s="792">
        <f>+R40+T40</f>
        <v>44</v>
      </c>
      <c r="V40" s="253"/>
      <c r="W40" s="253"/>
    </row>
    <row r="41" spans="1:23" ht="31.5" customHeight="1" x14ac:dyDescent="0.3">
      <c r="A41" s="297">
        <v>28</v>
      </c>
      <c r="B41" s="872" t="s">
        <v>85</v>
      </c>
      <c r="C41" s="916" t="s">
        <v>428</v>
      </c>
      <c r="D41" s="847">
        <f>'vacaciones 2020'!T3</f>
        <v>48</v>
      </c>
      <c r="E41" s="781"/>
      <c r="F41" s="311"/>
      <c r="G41" s="311"/>
      <c r="H41" s="311">
        <v>5</v>
      </c>
      <c r="I41" s="311">
        <f>2+7</f>
        <v>9</v>
      </c>
      <c r="J41" s="311">
        <f>10</f>
        <v>10</v>
      </c>
      <c r="K41" s="311">
        <f>4+14</f>
        <v>18</v>
      </c>
      <c r="L41" s="311">
        <f>1+1</f>
        <v>2</v>
      </c>
      <c r="M41" s="311"/>
      <c r="N41" s="311"/>
      <c r="O41" s="311"/>
      <c r="P41" s="786"/>
      <c r="Q41" s="847">
        <f>SUM(E41:P41)</f>
        <v>44</v>
      </c>
      <c r="R41" s="847">
        <f>+D41-Q41</f>
        <v>4</v>
      </c>
      <c r="S41" s="848">
        <f>vacaciones!L4</f>
        <v>44232</v>
      </c>
      <c r="T41" s="849">
        <v>30</v>
      </c>
      <c r="U41" s="849">
        <f>+R41+T41</f>
        <v>34</v>
      </c>
      <c r="V41" s="254"/>
      <c r="W41" s="254"/>
    </row>
    <row r="42" spans="1:23" ht="31.5" customHeight="1" x14ac:dyDescent="0.3">
      <c r="A42" s="297">
        <v>29</v>
      </c>
      <c r="B42" s="808" t="s">
        <v>402</v>
      </c>
      <c r="C42" s="852" t="s">
        <v>428</v>
      </c>
      <c r="D42" s="799">
        <f>'vacaciones 2020'!T27</f>
        <v>-15</v>
      </c>
      <c r="E42" s="853"/>
      <c r="F42" s="854"/>
      <c r="G42" s="854"/>
      <c r="H42" s="854"/>
      <c r="I42" s="854"/>
      <c r="J42" s="854"/>
      <c r="K42" s="854">
        <v>1</v>
      </c>
      <c r="L42" s="854">
        <v>1</v>
      </c>
      <c r="M42" s="854"/>
      <c r="N42" s="854"/>
      <c r="O42" s="854">
        <f>1+15</f>
        <v>16</v>
      </c>
      <c r="P42" s="855">
        <v>1</v>
      </c>
      <c r="Q42" s="799">
        <f>SUM(E42:P42)</f>
        <v>19</v>
      </c>
      <c r="R42" s="799">
        <f>+D42-Q42</f>
        <v>-34</v>
      </c>
      <c r="S42" s="809">
        <f>vacaciones!L26</f>
        <v>44497</v>
      </c>
      <c r="T42" s="792">
        <v>30</v>
      </c>
      <c r="U42" s="792">
        <f>+R42+T42</f>
        <v>-4</v>
      </c>
    </row>
    <row r="43" spans="1:23" ht="31.5" customHeight="1" x14ac:dyDescent="0.3">
      <c r="A43" s="297"/>
      <c r="B43" s="881" t="s">
        <v>446</v>
      </c>
      <c r="C43" s="882"/>
      <c r="D43" s="882"/>
      <c r="E43" s="882"/>
      <c r="F43" s="882"/>
      <c r="G43" s="882"/>
      <c r="H43" s="882"/>
      <c r="I43" s="882"/>
      <c r="J43" s="882"/>
      <c r="K43" s="882"/>
      <c r="L43" s="882"/>
      <c r="M43" s="882"/>
      <c r="N43" s="882"/>
      <c r="O43" s="882"/>
      <c r="P43" s="882"/>
      <c r="Q43" s="882"/>
      <c r="R43" s="882"/>
      <c r="S43" s="922"/>
      <c r="T43" s="882"/>
      <c r="U43" s="883"/>
      <c r="V43" s="254"/>
    </row>
    <row r="44" spans="1:23" ht="31.5" customHeight="1" x14ac:dyDescent="0.3">
      <c r="A44" s="297">
        <v>30</v>
      </c>
      <c r="B44" s="807" t="s">
        <v>58</v>
      </c>
      <c r="C44" s="856" t="s">
        <v>444</v>
      </c>
      <c r="D44" s="799">
        <f>'vacaciones 2020'!T22</f>
        <v>175</v>
      </c>
      <c r="E44" s="857"/>
      <c r="F44" s="841">
        <v>28</v>
      </c>
      <c r="G44" s="841">
        <v>28</v>
      </c>
      <c r="H44" s="841"/>
      <c r="I44" s="841"/>
      <c r="J44" s="841"/>
      <c r="K44" s="841"/>
      <c r="L44" s="841"/>
      <c r="M44" s="841"/>
      <c r="N44" s="841"/>
      <c r="O44" s="841"/>
      <c r="P44" s="858"/>
      <c r="Q44" s="799">
        <f>SUM(E44:P44)</f>
        <v>56</v>
      </c>
      <c r="R44" s="799">
        <f>+D44-Q44</f>
        <v>119</v>
      </c>
      <c r="S44" s="809">
        <f>vacaciones!L22</f>
        <v>44275</v>
      </c>
      <c r="T44" s="792">
        <v>30</v>
      </c>
      <c r="U44" s="792">
        <f>+R44+T44</f>
        <v>149</v>
      </c>
    </row>
    <row r="45" spans="1:23" ht="31.5" customHeight="1" x14ac:dyDescent="0.3">
      <c r="A45" s="297">
        <v>31</v>
      </c>
      <c r="B45" s="807" t="s">
        <v>87</v>
      </c>
      <c r="C45" s="807" t="s">
        <v>429</v>
      </c>
      <c r="D45" s="799">
        <f>'vacaciones 2020'!T28</f>
        <v>-9</v>
      </c>
      <c r="E45" s="909">
        <v>1</v>
      </c>
      <c r="F45" s="910">
        <v>1</v>
      </c>
      <c r="G45" s="910"/>
      <c r="H45" s="910"/>
      <c r="I45" s="910">
        <v>1</v>
      </c>
      <c r="J45" s="910">
        <f>1+1</f>
        <v>2</v>
      </c>
      <c r="K45" s="910">
        <v>1</v>
      </c>
      <c r="L45" s="910">
        <f>1+1+1+1</f>
        <v>4</v>
      </c>
      <c r="M45" s="910">
        <v>1</v>
      </c>
      <c r="N45" s="910">
        <f>1+1</f>
        <v>2</v>
      </c>
      <c r="O45" s="910">
        <v>2</v>
      </c>
      <c r="P45" s="911">
        <v>1</v>
      </c>
      <c r="Q45" s="799">
        <f>SUM(E45:P45)</f>
        <v>16</v>
      </c>
      <c r="R45" s="799">
        <f>+D45-Q45</f>
        <v>-25</v>
      </c>
      <c r="S45" s="809">
        <f>vacaciones!L27</f>
        <v>44265</v>
      </c>
      <c r="T45" s="792">
        <v>30</v>
      </c>
      <c r="U45" s="792">
        <f>+R45+T45</f>
        <v>5</v>
      </c>
    </row>
    <row r="46" spans="1:23" ht="31.5" customHeight="1" x14ac:dyDescent="0.3">
      <c r="A46" s="297"/>
      <c r="B46" s="807" t="s">
        <v>468</v>
      </c>
      <c r="C46" s="806" t="s">
        <v>130</v>
      </c>
      <c r="D46" s="799"/>
      <c r="E46" s="781"/>
      <c r="F46" s="311"/>
      <c r="G46" s="311"/>
      <c r="H46" s="311"/>
      <c r="I46" s="311"/>
      <c r="J46" s="311"/>
      <c r="K46" s="311"/>
      <c r="L46" s="311"/>
      <c r="M46" s="311"/>
      <c r="N46" s="311">
        <v>1</v>
      </c>
      <c r="O46" s="311"/>
      <c r="P46" s="786">
        <v>1</v>
      </c>
      <c r="Q46" s="799">
        <f>SUM(E46:P46)</f>
        <v>2</v>
      </c>
      <c r="R46" s="799">
        <f>+D46-Q46</f>
        <v>-2</v>
      </c>
      <c r="S46" s="809">
        <v>44652</v>
      </c>
      <c r="T46" s="792"/>
      <c r="U46" s="792">
        <f>+R46+T46</f>
        <v>-2</v>
      </c>
    </row>
    <row r="47" spans="1:23" ht="31.5" customHeight="1" x14ac:dyDescent="0.3">
      <c r="A47" s="297">
        <v>17</v>
      </c>
      <c r="B47" s="908" t="s">
        <v>156</v>
      </c>
      <c r="C47" s="852" t="s">
        <v>429</v>
      </c>
      <c r="D47" s="799">
        <f>'vacaciones 2020'!T18</f>
        <v>0</v>
      </c>
      <c r="E47" s="853"/>
      <c r="F47" s="854"/>
      <c r="G47" s="854"/>
      <c r="H47" s="854"/>
      <c r="I47" s="854"/>
      <c r="J47" s="854"/>
      <c r="K47" s="854"/>
      <c r="L47" s="854"/>
      <c r="M47" s="854"/>
      <c r="N47" s="854"/>
      <c r="O47" s="854"/>
      <c r="P47" s="879"/>
      <c r="Q47" s="799"/>
      <c r="R47" s="799">
        <f>+D47-Q47</f>
        <v>0</v>
      </c>
      <c r="S47" s="809"/>
      <c r="T47" s="792"/>
      <c r="U47" s="792">
        <f>+R47+T47</f>
        <v>0</v>
      </c>
    </row>
    <row r="48" spans="1:23" ht="31.5" customHeight="1" x14ac:dyDescent="0.3">
      <c r="A48" s="297"/>
      <c r="B48" s="881" t="s">
        <v>447</v>
      </c>
      <c r="C48" s="882"/>
      <c r="D48" s="882"/>
      <c r="E48" s="882"/>
      <c r="F48" s="882"/>
      <c r="G48" s="882"/>
      <c r="H48" s="882"/>
      <c r="I48" s="882"/>
      <c r="J48" s="882"/>
      <c r="K48" s="882"/>
      <c r="L48" s="882"/>
      <c r="M48" s="882"/>
      <c r="N48" s="882"/>
      <c r="O48" s="882"/>
      <c r="P48" s="882"/>
      <c r="Q48" s="882"/>
      <c r="R48" s="882"/>
      <c r="S48" s="922"/>
      <c r="T48" s="882"/>
      <c r="U48" s="883"/>
      <c r="V48" s="254"/>
    </row>
    <row r="49" spans="1:22" ht="31.5" customHeight="1" x14ac:dyDescent="0.3">
      <c r="A49" s="297">
        <v>34</v>
      </c>
      <c r="B49" s="808" t="s">
        <v>50</v>
      </c>
      <c r="C49" s="856" t="s">
        <v>434</v>
      </c>
      <c r="D49" s="799">
        <f>'vacaciones 2020'!T12</f>
        <v>262</v>
      </c>
      <c r="E49" s="917"/>
      <c r="F49" s="918"/>
      <c r="G49" s="918">
        <v>30</v>
      </c>
      <c r="H49" s="918"/>
      <c r="I49" s="918"/>
      <c r="J49" s="918"/>
      <c r="K49" s="918"/>
      <c r="L49" s="918">
        <v>15</v>
      </c>
      <c r="M49" s="918">
        <v>30</v>
      </c>
      <c r="N49" s="918">
        <v>15</v>
      </c>
      <c r="O49" s="918"/>
      <c r="P49" s="920"/>
      <c r="Q49" s="799">
        <f>SUM(E49:P49)</f>
        <v>90</v>
      </c>
      <c r="R49" s="799">
        <f>+D49-Q49</f>
        <v>172</v>
      </c>
      <c r="S49" s="809">
        <f>vacaciones!L13</f>
        <v>44356</v>
      </c>
      <c r="T49" s="792">
        <v>30</v>
      </c>
      <c r="U49" s="792">
        <f>+R49+T49</f>
        <v>202</v>
      </c>
    </row>
    <row r="50" spans="1:22" ht="31.5" customHeight="1" x14ac:dyDescent="0.3">
      <c r="A50" s="297">
        <v>33</v>
      </c>
      <c r="B50" s="808" t="s">
        <v>20</v>
      </c>
      <c r="C50" s="806" t="s">
        <v>434</v>
      </c>
      <c r="D50" s="799">
        <f>'vacaciones 2020'!T11</f>
        <v>203</v>
      </c>
      <c r="E50" s="781"/>
      <c r="F50" s="311"/>
      <c r="G50" s="311"/>
      <c r="H50" s="311"/>
      <c r="I50" s="311"/>
      <c r="J50" s="311"/>
      <c r="K50" s="311">
        <v>20</v>
      </c>
      <c r="L50" s="311">
        <v>10</v>
      </c>
      <c r="M50" s="311">
        <v>30</v>
      </c>
      <c r="N50" s="311">
        <v>30</v>
      </c>
      <c r="O50" s="311"/>
      <c r="P50" s="786"/>
      <c r="Q50" s="799">
        <f>SUM(E50:P50)</f>
        <v>90</v>
      </c>
      <c r="R50" s="799">
        <f>+D50-Q50</f>
        <v>113</v>
      </c>
      <c r="S50" s="809">
        <f>vacaciones!L12</f>
        <v>44387</v>
      </c>
      <c r="T50" s="792">
        <v>30</v>
      </c>
      <c r="U50" s="792">
        <f>+R50+T50</f>
        <v>143</v>
      </c>
    </row>
    <row r="51" spans="1:22" ht="31.5" customHeight="1" x14ac:dyDescent="0.3">
      <c r="A51" s="297">
        <v>36</v>
      </c>
      <c r="B51" s="807" t="s">
        <v>53</v>
      </c>
      <c r="C51" s="806" t="s">
        <v>143</v>
      </c>
      <c r="D51" s="799">
        <f>'vacaciones 2020'!T24</f>
        <v>60</v>
      </c>
      <c r="E51" s="781">
        <v>31</v>
      </c>
      <c r="F51" s="311">
        <v>28</v>
      </c>
      <c r="G51" s="311">
        <v>1</v>
      </c>
      <c r="H51" s="311"/>
      <c r="I51" s="311"/>
      <c r="J51" s="311"/>
      <c r="K51" s="311"/>
      <c r="L51" s="311"/>
      <c r="M51" s="311"/>
      <c r="N51" s="311"/>
      <c r="O51" s="311"/>
      <c r="P51" s="786"/>
      <c r="Q51" s="799">
        <f>SUM(E51:P51)</f>
        <v>60</v>
      </c>
      <c r="R51" s="799">
        <f>+D51-Q51</f>
        <v>0</v>
      </c>
      <c r="S51" s="809">
        <f>vacaciones!L24</f>
        <v>44556</v>
      </c>
      <c r="T51" s="792">
        <v>30</v>
      </c>
      <c r="U51" s="792">
        <f>+R51+T51</f>
        <v>30</v>
      </c>
    </row>
    <row r="52" spans="1:22" ht="31.5" customHeight="1" x14ac:dyDescent="0.3">
      <c r="A52" s="297">
        <v>35</v>
      </c>
      <c r="B52" s="808" t="s">
        <v>49</v>
      </c>
      <c r="C52" s="852" t="s">
        <v>143</v>
      </c>
      <c r="D52" s="799">
        <f>'vacaciones 2020'!T5</f>
        <v>0</v>
      </c>
      <c r="E52" s="853"/>
      <c r="F52" s="854"/>
      <c r="G52" s="854"/>
      <c r="H52" s="854">
        <v>1</v>
      </c>
      <c r="I52" s="919"/>
      <c r="J52" s="854" t="s">
        <v>458</v>
      </c>
      <c r="K52" s="854"/>
      <c r="L52" s="854"/>
      <c r="M52" s="854"/>
      <c r="N52" s="854"/>
      <c r="O52" s="854"/>
      <c r="P52" s="855">
        <v>22</v>
      </c>
      <c r="Q52" s="799">
        <f>SUM(E52:P52)</f>
        <v>23</v>
      </c>
      <c r="R52" s="799">
        <f>+D52-Q52</f>
        <v>-23</v>
      </c>
      <c r="S52" s="809">
        <f>vacaciones!L6</f>
        <v>44495</v>
      </c>
      <c r="T52" s="792">
        <v>30</v>
      </c>
      <c r="U52" s="792">
        <f>+R52+T52</f>
        <v>7</v>
      </c>
    </row>
    <row r="53" spans="1:22" ht="31.5" customHeight="1" x14ac:dyDescent="0.3">
      <c r="A53" s="297"/>
      <c r="B53" s="807" t="s">
        <v>472</v>
      </c>
      <c r="C53" s="806" t="s">
        <v>466</v>
      </c>
      <c r="D53" s="799"/>
      <c r="E53" s="915"/>
      <c r="F53" s="875"/>
      <c r="G53" s="875"/>
      <c r="H53" s="875"/>
      <c r="I53" s="875"/>
      <c r="J53" s="875"/>
      <c r="K53" s="875"/>
      <c r="L53" s="875"/>
      <c r="M53" s="875"/>
      <c r="N53" s="875">
        <v>7</v>
      </c>
      <c r="O53" s="875"/>
      <c r="P53" s="877"/>
      <c r="Q53" s="799">
        <f>SUM(E53:P53)</f>
        <v>7</v>
      </c>
      <c r="R53" s="799">
        <f>+D53-Q53</f>
        <v>-7</v>
      </c>
      <c r="S53" s="809">
        <v>44819</v>
      </c>
      <c r="T53" s="792"/>
      <c r="U53" s="792">
        <f>+R53+T53</f>
        <v>-7</v>
      </c>
    </row>
    <row r="54" spans="1:22" ht="31.5" customHeight="1" x14ac:dyDescent="0.3">
      <c r="A54" s="297"/>
      <c r="B54" s="881" t="s">
        <v>448</v>
      </c>
      <c r="C54" s="882"/>
      <c r="D54" s="882"/>
      <c r="E54" s="882"/>
      <c r="F54" s="882"/>
      <c r="G54" s="882"/>
      <c r="H54" s="882"/>
      <c r="I54" s="882"/>
      <c r="J54" s="882"/>
      <c r="K54" s="882"/>
      <c r="L54" s="882"/>
      <c r="M54" s="882"/>
      <c r="N54" s="882"/>
      <c r="O54" s="882"/>
      <c r="P54" s="882"/>
      <c r="Q54" s="882"/>
      <c r="R54" s="882"/>
      <c r="S54" s="922"/>
      <c r="T54" s="882"/>
      <c r="U54" s="883"/>
      <c r="V54" s="254"/>
    </row>
    <row r="55" spans="1:22" ht="31.5" customHeight="1" x14ac:dyDescent="0.3">
      <c r="A55" s="297">
        <v>37</v>
      </c>
      <c r="B55" s="808" t="s">
        <v>56</v>
      </c>
      <c r="C55" s="860" t="s">
        <v>438</v>
      </c>
      <c r="D55" s="799">
        <f>'vacaciones 2020'!T40</f>
        <v>121</v>
      </c>
      <c r="E55" s="861"/>
      <c r="F55" s="862"/>
      <c r="G55" s="899"/>
      <c r="H55" s="862">
        <v>1</v>
      </c>
      <c r="I55" s="862"/>
      <c r="J55" s="862">
        <f>1+14</f>
        <v>15</v>
      </c>
      <c r="K55" s="862">
        <v>14</v>
      </c>
      <c r="L55" s="862"/>
      <c r="M55" s="862">
        <v>1</v>
      </c>
      <c r="N55" s="862">
        <v>14</v>
      </c>
      <c r="O55" s="862">
        <f>7+23</f>
        <v>30</v>
      </c>
      <c r="P55" s="863"/>
      <c r="Q55" s="799">
        <f>SUM(E55:P55)</f>
        <v>75</v>
      </c>
      <c r="R55" s="799">
        <f>+D55-Q55</f>
        <v>46</v>
      </c>
      <c r="S55" s="809">
        <f>vacaciones!L39</f>
        <v>44253</v>
      </c>
      <c r="T55" s="792">
        <v>30</v>
      </c>
      <c r="U55" s="792">
        <f>+R55+T55</f>
        <v>76</v>
      </c>
    </row>
    <row r="56" spans="1:22" ht="31.5" customHeight="1" x14ac:dyDescent="0.3">
      <c r="A56" s="297"/>
      <c r="B56" s="881" t="s">
        <v>452</v>
      </c>
      <c r="C56" s="882"/>
      <c r="D56" s="882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2"/>
      <c r="S56" s="922"/>
      <c r="T56" s="882"/>
      <c r="U56" s="883"/>
      <c r="V56" s="254"/>
    </row>
    <row r="57" spans="1:22" ht="31.5" customHeight="1" x14ac:dyDescent="0.3">
      <c r="A57" s="297">
        <v>40</v>
      </c>
      <c r="B57" s="808" t="s">
        <v>61</v>
      </c>
      <c r="C57" s="806" t="s">
        <v>437</v>
      </c>
      <c r="D57" s="799">
        <f>'vacaciones 2020'!T44</f>
        <v>81</v>
      </c>
      <c r="E57" s="781"/>
      <c r="F57" s="311"/>
      <c r="G57" s="311">
        <v>22</v>
      </c>
      <c r="H57" s="311">
        <v>15</v>
      </c>
      <c r="I57" s="311"/>
      <c r="J57" s="311"/>
      <c r="K57" s="311">
        <v>14</v>
      </c>
      <c r="L57" s="311"/>
      <c r="M57" s="311"/>
      <c r="N57" s="311"/>
      <c r="O57" s="311"/>
      <c r="P57" s="786"/>
      <c r="Q57" s="799">
        <f>SUM(E57:P57)</f>
        <v>51</v>
      </c>
      <c r="R57" s="799">
        <f>+D57-Q57</f>
        <v>30</v>
      </c>
      <c r="S57" s="809">
        <f>vacaciones!L43</f>
        <v>44435</v>
      </c>
      <c r="T57" s="792">
        <v>30</v>
      </c>
      <c r="U57" s="792">
        <f>+R57+T57</f>
        <v>60</v>
      </c>
    </row>
    <row r="58" spans="1:22" ht="31.5" customHeight="1" x14ac:dyDescent="0.3">
      <c r="A58" s="297">
        <v>38</v>
      </c>
      <c r="B58" s="808" t="s">
        <v>59</v>
      </c>
      <c r="C58" s="806" t="s">
        <v>440</v>
      </c>
      <c r="D58" s="799">
        <f>'vacaciones 2020'!T34</f>
        <v>86</v>
      </c>
      <c r="E58" s="781"/>
      <c r="F58" s="311"/>
      <c r="G58" s="311"/>
      <c r="H58" s="311"/>
      <c r="I58" s="311"/>
      <c r="J58" s="311">
        <v>10</v>
      </c>
      <c r="K58" s="311">
        <f>20+11</f>
        <v>31</v>
      </c>
      <c r="L58" s="311">
        <v>31</v>
      </c>
      <c r="M58" s="311">
        <v>2</v>
      </c>
      <c r="N58" s="311"/>
      <c r="O58" s="311"/>
      <c r="P58" s="786"/>
      <c r="Q58" s="799">
        <f>SUM(E58:P58)</f>
        <v>74</v>
      </c>
      <c r="R58" s="799">
        <f>+D58-Q58</f>
        <v>12</v>
      </c>
      <c r="S58" s="809">
        <f>vacaciones!L33</f>
        <v>44525</v>
      </c>
      <c r="T58" s="792">
        <v>30</v>
      </c>
      <c r="U58" s="792">
        <f>+R58+T58</f>
        <v>42</v>
      </c>
    </row>
    <row r="59" spans="1:22" ht="31.5" customHeight="1" x14ac:dyDescent="0.3">
      <c r="A59" s="297">
        <v>39</v>
      </c>
      <c r="B59" s="808" t="s">
        <v>441</v>
      </c>
      <c r="C59" s="806" t="s">
        <v>437</v>
      </c>
      <c r="D59" s="799"/>
      <c r="E59" s="781"/>
      <c r="F59" s="311"/>
      <c r="G59" s="311"/>
      <c r="H59" s="311"/>
      <c r="I59" s="311"/>
      <c r="J59" s="311"/>
      <c r="K59" s="311"/>
      <c r="L59" s="311"/>
      <c r="M59" s="311">
        <v>1</v>
      </c>
      <c r="N59" s="311"/>
      <c r="O59" s="311"/>
      <c r="P59" s="786"/>
      <c r="Q59" s="799">
        <f>SUM(E59:P59)</f>
        <v>1</v>
      </c>
      <c r="R59" s="799">
        <f>+D59-Q59</f>
        <v>-1</v>
      </c>
      <c r="S59" s="809">
        <v>44562</v>
      </c>
      <c r="T59" s="792"/>
      <c r="U59" s="792">
        <f>+R59+T59</f>
        <v>-1</v>
      </c>
    </row>
    <row r="60" spans="1:22" ht="31.5" customHeight="1" x14ac:dyDescent="0.3">
      <c r="A60" s="297"/>
      <c r="B60" s="881" t="s">
        <v>453</v>
      </c>
      <c r="C60" s="882"/>
      <c r="D60" s="882"/>
      <c r="E60" s="882"/>
      <c r="F60" s="882"/>
      <c r="G60" s="882"/>
      <c r="H60" s="882"/>
      <c r="I60" s="882"/>
      <c r="J60" s="882"/>
      <c r="K60" s="882"/>
      <c r="L60" s="882"/>
      <c r="M60" s="882"/>
      <c r="N60" s="882"/>
      <c r="O60" s="882"/>
      <c r="P60" s="882"/>
      <c r="Q60" s="882"/>
      <c r="R60" s="882"/>
      <c r="S60" s="922"/>
      <c r="T60" s="882"/>
      <c r="U60" s="883"/>
      <c r="V60" s="254"/>
    </row>
    <row r="61" spans="1:22" ht="31.5" customHeight="1" x14ac:dyDescent="0.3">
      <c r="A61" s="297">
        <v>41</v>
      </c>
      <c r="B61" s="808" t="s">
        <v>97</v>
      </c>
      <c r="C61" s="806" t="s">
        <v>439</v>
      </c>
      <c r="D61" s="799">
        <f>'vacaciones 2020'!T35</f>
        <v>72</v>
      </c>
      <c r="E61" s="880">
        <v>14</v>
      </c>
      <c r="F61" s="862"/>
      <c r="G61" s="862"/>
      <c r="H61" s="862"/>
      <c r="I61" s="862">
        <v>1</v>
      </c>
      <c r="J61" s="862">
        <v>14</v>
      </c>
      <c r="K61" s="862">
        <v>24</v>
      </c>
      <c r="L61" s="862">
        <v>6</v>
      </c>
      <c r="M61" s="862"/>
      <c r="N61" s="862">
        <v>7</v>
      </c>
      <c r="O61" s="862"/>
      <c r="P61" s="863"/>
      <c r="Q61" s="799">
        <f>SUM(E61:P61)</f>
        <v>66</v>
      </c>
      <c r="R61" s="799">
        <f>+D61-Q61</f>
        <v>6</v>
      </c>
      <c r="S61" s="809">
        <f>vacaciones!L34</f>
        <v>44388</v>
      </c>
      <c r="T61" s="792">
        <v>30</v>
      </c>
      <c r="U61" s="792">
        <f>+R61+T61</f>
        <v>36</v>
      </c>
    </row>
    <row r="62" spans="1:22" x14ac:dyDescent="0.3">
      <c r="A62" s="297"/>
      <c r="D62" s="793"/>
      <c r="Q62" s="796"/>
      <c r="R62" s="796"/>
      <c r="T62" s="793"/>
      <c r="U62" s="793"/>
    </row>
    <row r="63" spans="1:22" x14ac:dyDescent="0.3">
      <c r="A63" s="297"/>
    </row>
    <row r="64" spans="1:22" x14ac:dyDescent="0.3">
      <c r="A64" s="297"/>
    </row>
    <row r="65" spans="1:19" x14ac:dyDescent="0.3">
      <c r="A65" s="297"/>
      <c r="M65" s="316"/>
    </row>
    <row r="66" spans="1:19" x14ac:dyDescent="0.3">
      <c r="S66" s="815"/>
    </row>
    <row r="68" spans="1:19" x14ac:dyDescent="0.3">
      <c r="S68" s="815"/>
    </row>
  </sheetData>
  <sheetProtection selectLockedCells="1" selectUnlockedCells="1"/>
  <sortState ref="A16:W26">
    <sortCondition descending="1" ref="U16:U26"/>
  </sortState>
  <mergeCells count="1">
    <mergeCell ref="E1:Q1"/>
  </mergeCells>
  <printOptions horizontalCentered="1"/>
  <pageMargins left="0.19685039370078741" right="0.19685039370078741" top="0.59055118110236227" bottom="0.39370078740157483" header="0.31496062992125984" footer="0"/>
  <pageSetup paperSize="9" scale="55" firstPageNumber="0" orientation="landscape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I50"/>
  <sheetViews>
    <sheetView showGridLines="0" showZeros="0" view="pageBreakPreview" zoomScale="60" zoomScaleNormal="85" workbookViewId="0">
      <selection activeCell="U35" sqref="U35"/>
    </sheetView>
  </sheetViews>
  <sheetFormatPr baseColWidth="10" defaultColWidth="11.42578125" defaultRowHeight="18" x14ac:dyDescent="0.25"/>
  <cols>
    <col min="1" max="1" width="6.7109375" style="342" customWidth="1"/>
    <col min="2" max="2" width="47.5703125" style="321" customWidth="1"/>
    <col min="3" max="3" width="20.140625" style="338" customWidth="1"/>
    <col min="4" max="4" width="2.7109375" style="321" customWidth="1"/>
    <col min="5" max="5" width="14.28515625" style="321" customWidth="1"/>
    <col min="6" max="6" width="18.28515625" style="321" customWidth="1"/>
    <col min="7" max="7" width="2.28515625" style="321" customWidth="1"/>
    <col min="8" max="9" width="20.42578125" style="822" customWidth="1"/>
    <col min="10" max="10" width="12.42578125" style="321" customWidth="1"/>
    <col min="11" max="16384" width="11.42578125" style="321"/>
  </cols>
  <sheetData>
    <row r="1" spans="1:9" ht="6" customHeight="1" x14ac:dyDescent="0.3">
      <c r="A1" s="339"/>
      <c r="B1" s="317"/>
      <c r="C1" s="318"/>
      <c r="D1" s="319"/>
      <c r="E1" s="319"/>
      <c r="F1" s="319"/>
      <c r="G1" s="320"/>
    </row>
    <row r="2" spans="1:9" ht="1.5" customHeight="1" x14ac:dyDescent="0.3">
      <c r="A2" s="339"/>
      <c r="B2" s="317"/>
      <c r="C2" s="318"/>
      <c r="D2" s="319"/>
      <c r="E2" s="319"/>
      <c r="F2" s="319"/>
      <c r="G2" s="320"/>
    </row>
    <row r="3" spans="1:9" ht="11.25" hidden="1" customHeight="1" x14ac:dyDescent="0.3">
      <c r="A3" s="339"/>
      <c r="B3" s="317"/>
      <c r="C3" s="318"/>
      <c r="D3" s="319"/>
      <c r="E3" s="319"/>
      <c r="F3" s="319"/>
      <c r="G3" s="320"/>
    </row>
    <row r="4" spans="1:9" ht="18.75" hidden="1" x14ac:dyDescent="0.3">
      <c r="A4" s="339"/>
      <c r="B4" s="317"/>
      <c r="C4" s="318"/>
      <c r="D4" s="319"/>
      <c r="E4" s="319"/>
      <c r="F4" s="319"/>
      <c r="G4" s="320"/>
    </row>
    <row r="5" spans="1:9" ht="18.75" x14ac:dyDescent="0.25">
      <c r="A5" s="1190" t="s">
        <v>168</v>
      </c>
      <c r="B5" s="1190"/>
      <c r="C5" s="1190"/>
      <c r="D5" s="1190"/>
      <c r="E5" s="1190"/>
      <c r="F5" s="1190"/>
      <c r="G5" s="318"/>
    </row>
    <row r="6" spans="1:9" ht="18.75" x14ac:dyDescent="0.25">
      <c r="A6" s="1190">
        <v>2021</v>
      </c>
      <c r="B6" s="1190"/>
      <c r="C6" s="1190"/>
      <c r="D6" s="1190"/>
      <c r="E6" s="1190"/>
      <c r="F6" s="1190"/>
      <c r="G6" s="318"/>
    </row>
    <row r="7" spans="1:9" ht="18.75" x14ac:dyDescent="0.3">
      <c r="A7" s="339"/>
      <c r="B7" s="317"/>
      <c r="C7" s="318"/>
      <c r="D7" s="319"/>
      <c r="E7" s="319"/>
      <c r="F7" s="319"/>
      <c r="G7" s="320"/>
    </row>
    <row r="8" spans="1:9" ht="18.75" hidden="1" x14ac:dyDescent="0.3">
      <c r="A8" s="339"/>
      <c r="B8" s="317"/>
      <c r="C8" s="318"/>
      <c r="D8" s="319"/>
      <c r="E8" s="319"/>
      <c r="F8" s="319"/>
      <c r="G8" s="322"/>
    </row>
    <row r="9" spans="1:9" ht="51" customHeight="1" x14ac:dyDescent="0.3">
      <c r="A9" s="340" t="s">
        <v>155</v>
      </c>
      <c r="B9" s="323" t="s">
        <v>68</v>
      </c>
      <c r="C9" s="324" t="s">
        <v>159</v>
      </c>
      <c r="D9" s="319"/>
      <c r="E9" s="325" t="s">
        <v>160</v>
      </c>
      <c r="F9" s="326" t="s">
        <v>169</v>
      </c>
      <c r="G9" s="823"/>
      <c r="H9" s="327" t="s">
        <v>418</v>
      </c>
      <c r="I9" s="326" t="s">
        <v>170</v>
      </c>
    </row>
    <row r="10" spans="1:9" s="330" customFormat="1" ht="21" customHeight="1" x14ac:dyDescent="0.3">
      <c r="A10" s="341">
        <v>1</v>
      </c>
      <c r="B10" s="331" t="s">
        <v>49</v>
      </c>
      <c r="C10" s="328">
        <f>'vacaciones 2023 '!U46</f>
        <v>21</v>
      </c>
      <c r="D10" s="319"/>
      <c r="E10" s="329">
        <v>5500</v>
      </c>
      <c r="F10" s="329">
        <f t="shared" ref="F10:F43" si="0">E10/30*C10</f>
        <v>3850</v>
      </c>
      <c r="G10" s="824"/>
      <c r="H10" s="332"/>
      <c r="I10" s="332">
        <f t="shared" ref="I10:I49" si="1">F10-H10</f>
        <v>3850</v>
      </c>
    </row>
    <row r="11" spans="1:9" s="330" customFormat="1" ht="21" customHeight="1" x14ac:dyDescent="0.3">
      <c r="A11" s="341">
        <v>3</v>
      </c>
      <c r="B11" s="331" t="s">
        <v>460</v>
      </c>
      <c r="C11" s="328" t="e">
        <f>'vacaciones 2023 '!#REF!</f>
        <v>#REF!</v>
      </c>
      <c r="D11" s="319"/>
      <c r="E11" s="329">
        <v>4102.5</v>
      </c>
      <c r="F11" s="329" t="e">
        <f t="shared" si="0"/>
        <v>#REF!</v>
      </c>
      <c r="G11" s="823"/>
      <c r="H11" s="332"/>
      <c r="I11" s="332" t="e">
        <f t="shared" si="1"/>
        <v>#REF!</v>
      </c>
    </row>
    <row r="12" spans="1:9" s="330" customFormat="1" ht="21" customHeight="1" x14ac:dyDescent="0.3">
      <c r="A12" s="341">
        <v>4</v>
      </c>
      <c r="B12" s="331" t="s">
        <v>475</v>
      </c>
      <c r="C12" s="328">
        <f>'vacaciones 2023 '!U21</f>
        <v>-6</v>
      </c>
      <c r="D12" s="319"/>
      <c r="E12" s="329">
        <v>7200</v>
      </c>
      <c r="F12" s="329">
        <f t="shared" si="0"/>
        <v>-1440</v>
      </c>
      <c r="G12" s="823"/>
      <c r="H12" s="332"/>
      <c r="I12" s="332">
        <f t="shared" si="1"/>
        <v>-1440</v>
      </c>
    </row>
    <row r="13" spans="1:9" s="330" customFormat="1" ht="21" customHeight="1" x14ac:dyDescent="0.3">
      <c r="A13" s="341">
        <v>5</v>
      </c>
      <c r="B13" s="331" t="s">
        <v>495</v>
      </c>
      <c r="C13" s="328">
        <f>'vacaciones 2023 '!U53</f>
        <v>29</v>
      </c>
      <c r="D13" s="319"/>
      <c r="E13" s="329">
        <v>2500</v>
      </c>
      <c r="F13" s="329">
        <f t="shared" si="0"/>
        <v>2416.6666666666665</v>
      </c>
      <c r="G13" s="823"/>
      <c r="H13" s="332"/>
      <c r="I13" s="332">
        <f t="shared" si="1"/>
        <v>2416.6666666666665</v>
      </c>
    </row>
    <row r="14" spans="1:9" s="330" customFormat="1" ht="21" customHeight="1" x14ac:dyDescent="0.3">
      <c r="A14" s="341">
        <v>6</v>
      </c>
      <c r="B14" s="331" t="s">
        <v>461</v>
      </c>
      <c r="C14" s="328">
        <f>'vacaciones 2023 '!U33</f>
        <v>0</v>
      </c>
      <c r="D14" s="319"/>
      <c r="E14" s="329">
        <v>5102.5</v>
      </c>
      <c r="F14" s="329">
        <f t="shared" si="0"/>
        <v>0</v>
      </c>
      <c r="G14" s="823"/>
      <c r="H14" s="332"/>
      <c r="I14" s="332">
        <f t="shared" si="1"/>
        <v>0</v>
      </c>
    </row>
    <row r="15" spans="1:9" s="330" customFormat="1" ht="21" customHeight="1" x14ac:dyDescent="0.3">
      <c r="A15" s="341">
        <v>7</v>
      </c>
      <c r="B15" s="331" t="s">
        <v>476</v>
      </c>
      <c r="C15" s="328">
        <f>'vacaciones 2023 '!U4</f>
        <v>77</v>
      </c>
      <c r="D15" s="319"/>
      <c r="E15" s="329">
        <v>7102.5</v>
      </c>
      <c r="F15" s="329">
        <f t="shared" si="0"/>
        <v>18229.75</v>
      </c>
      <c r="G15" s="823"/>
      <c r="H15" s="332"/>
      <c r="I15" s="332">
        <f t="shared" si="1"/>
        <v>18229.75</v>
      </c>
    </row>
    <row r="16" spans="1:9" s="330" customFormat="1" ht="21" customHeight="1" x14ac:dyDescent="0.3">
      <c r="A16" s="341">
        <v>8</v>
      </c>
      <c r="B16" s="331" t="s">
        <v>477</v>
      </c>
      <c r="C16" s="328">
        <f>'vacaciones 2023 '!U35</f>
        <v>64</v>
      </c>
      <c r="D16" s="319"/>
      <c r="E16" s="329">
        <v>7602.5</v>
      </c>
      <c r="F16" s="329">
        <f t="shared" si="0"/>
        <v>16218.666666666666</v>
      </c>
      <c r="G16" s="823"/>
      <c r="H16" s="332"/>
      <c r="I16" s="332">
        <f t="shared" si="1"/>
        <v>16218.666666666666</v>
      </c>
    </row>
    <row r="17" spans="1:9" s="330" customFormat="1" ht="21" customHeight="1" x14ac:dyDescent="0.3">
      <c r="A17" s="341">
        <v>9</v>
      </c>
      <c r="B17" s="331" t="s">
        <v>37</v>
      </c>
      <c r="C17" s="328">
        <f>'vacaciones 2023 '!U45</f>
        <v>170</v>
      </c>
      <c r="D17" s="319"/>
      <c r="E17" s="329">
        <v>5902.5</v>
      </c>
      <c r="F17" s="329">
        <f t="shared" si="0"/>
        <v>33447.5</v>
      </c>
      <c r="G17" s="823"/>
      <c r="H17" s="332"/>
      <c r="I17" s="332">
        <f t="shared" si="1"/>
        <v>33447.5</v>
      </c>
    </row>
    <row r="18" spans="1:9" s="330" customFormat="1" ht="21" customHeight="1" x14ac:dyDescent="0.3">
      <c r="A18" s="341">
        <v>10</v>
      </c>
      <c r="B18" s="331" t="s">
        <v>38</v>
      </c>
      <c r="C18" s="328">
        <f>'vacaciones 2023 '!U44</f>
        <v>250</v>
      </c>
      <c r="D18" s="319"/>
      <c r="E18" s="329">
        <v>8000</v>
      </c>
      <c r="F18" s="329">
        <f t="shared" si="0"/>
        <v>66666.666666666672</v>
      </c>
      <c r="G18" s="823"/>
      <c r="H18" s="332"/>
      <c r="I18" s="332">
        <f t="shared" si="1"/>
        <v>66666.666666666672</v>
      </c>
    </row>
    <row r="19" spans="1:9" s="330" customFormat="1" ht="21" customHeight="1" x14ac:dyDescent="0.3">
      <c r="A19" s="341">
        <v>11</v>
      </c>
      <c r="B19" s="331" t="s">
        <v>404</v>
      </c>
      <c r="C19" s="328">
        <f>'vacaciones 2023 '!U16</f>
        <v>88</v>
      </c>
      <c r="D19" s="319"/>
      <c r="E19" s="329">
        <v>3500</v>
      </c>
      <c r="F19" s="329">
        <f t="shared" si="0"/>
        <v>10266.666666666668</v>
      </c>
      <c r="G19" s="823"/>
      <c r="H19" s="332"/>
      <c r="I19" s="332">
        <f t="shared" si="1"/>
        <v>10266.666666666668</v>
      </c>
    </row>
    <row r="20" spans="1:9" s="330" customFormat="1" ht="21" customHeight="1" x14ac:dyDescent="0.3">
      <c r="A20" s="341">
        <v>12</v>
      </c>
      <c r="B20" s="331" t="s">
        <v>74</v>
      </c>
      <c r="C20" s="328">
        <f>'vacaciones 2023 '!U20</f>
        <v>10</v>
      </c>
      <c r="D20" s="319"/>
      <c r="E20" s="329">
        <v>7302.5</v>
      </c>
      <c r="F20" s="329">
        <f t="shared" si="0"/>
        <v>2434.1666666666665</v>
      </c>
      <c r="G20" s="824"/>
      <c r="H20" s="332"/>
      <c r="I20" s="332">
        <f t="shared" si="1"/>
        <v>2434.1666666666665</v>
      </c>
    </row>
    <row r="21" spans="1:9" s="330" customFormat="1" ht="21" customHeight="1" x14ac:dyDescent="0.3">
      <c r="A21" s="341">
        <v>13</v>
      </c>
      <c r="B21" s="331" t="s">
        <v>496</v>
      </c>
      <c r="C21" s="328">
        <f>'vacaciones 2023 '!U22</f>
        <v>28</v>
      </c>
      <c r="D21" s="319"/>
      <c r="E21" s="329">
        <v>4500</v>
      </c>
      <c r="F21" s="329">
        <f t="shared" si="0"/>
        <v>4200</v>
      </c>
      <c r="G21" s="823"/>
      <c r="H21" s="332"/>
      <c r="I21" s="332">
        <f t="shared" si="1"/>
        <v>4200</v>
      </c>
    </row>
    <row r="22" spans="1:9" s="330" customFormat="1" ht="21" customHeight="1" x14ac:dyDescent="0.3">
      <c r="A22" s="341">
        <v>14</v>
      </c>
      <c r="B22" s="331" t="s">
        <v>478</v>
      </c>
      <c r="C22" s="328">
        <f>'vacaciones 2023 '!U18</f>
        <v>-15</v>
      </c>
      <c r="D22" s="319"/>
      <c r="E22" s="329">
        <v>7000</v>
      </c>
      <c r="F22" s="329">
        <f t="shared" si="0"/>
        <v>-3500</v>
      </c>
      <c r="G22" s="823"/>
      <c r="H22" s="332"/>
      <c r="I22" s="332">
        <f t="shared" si="1"/>
        <v>-3500</v>
      </c>
    </row>
    <row r="23" spans="1:9" s="330" customFormat="1" ht="21" customHeight="1" x14ac:dyDescent="0.3">
      <c r="A23" s="341">
        <v>15</v>
      </c>
      <c r="B23" s="331" t="s">
        <v>479</v>
      </c>
      <c r="C23" s="328">
        <f>'vacaciones 2023 '!U17</f>
        <v>35</v>
      </c>
      <c r="D23" s="319"/>
      <c r="E23" s="329">
        <v>5300</v>
      </c>
      <c r="F23" s="329">
        <f t="shared" si="0"/>
        <v>6183.333333333333</v>
      </c>
      <c r="G23" s="823"/>
      <c r="H23" s="332"/>
      <c r="I23" s="332">
        <f t="shared" si="1"/>
        <v>6183.333333333333</v>
      </c>
    </row>
    <row r="24" spans="1:9" s="330" customFormat="1" ht="21" customHeight="1" x14ac:dyDescent="0.3">
      <c r="A24" s="341">
        <v>16</v>
      </c>
      <c r="B24" s="331" t="s">
        <v>156</v>
      </c>
      <c r="C24" s="328">
        <f>'vacaciones 2023 '!U42</f>
        <v>0</v>
      </c>
      <c r="D24" s="319"/>
      <c r="E24" s="329">
        <v>2402.5</v>
      </c>
      <c r="F24" s="329">
        <f t="shared" si="0"/>
        <v>0</v>
      </c>
      <c r="G24" s="823"/>
      <c r="H24" s="332"/>
      <c r="I24" s="332">
        <f t="shared" si="1"/>
        <v>0</v>
      </c>
    </row>
    <row r="25" spans="1:9" s="330" customFormat="1" ht="21" customHeight="1" x14ac:dyDescent="0.3">
      <c r="A25" s="341">
        <v>17</v>
      </c>
      <c r="B25" s="331" t="s">
        <v>480</v>
      </c>
      <c r="C25" s="328">
        <f>'vacaciones 2023 '!U13</f>
        <v>54</v>
      </c>
      <c r="D25" s="319"/>
      <c r="E25" s="329">
        <v>6102.5</v>
      </c>
      <c r="F25" s="329">
        <f t="shared" si="0"/>
        <v>10984.5</v>
      </c>
      <c r="G25" s="823"/>
      <c r="H25" s="332"/>
      <c r="I25" s="332">
        <f t="shared" si="1"/>
        <v>10984.5</v>
      </c>
    </row>
    <row r="26" spans="1:9" s="330" customFormat="1" ht="21" customHeight="1" x14ac:dyDescent="0.3">
      <c r="A26" s="341">
        <v>18</v>
      </c>
      <c r="B26" s="331" t="s">
        <v>150</v>
      </c>
      <c r="C26" s="328">
        <f>'vacaciones 2023 '!U12</f>
        <v>93</v>
      </c>
      <c r="D26" s="319"/>
      <c r="E26" s="329">
        <v>12702.5</v>
      </c>
      <c r="F26" s="329">
        <f t="shared" si="0"/>
        <v>39377.75</v>
      </c>
      <c r="G26" s="823"/>
      <c r="H26" s="332"/>
      <c r="I26" s="332">
        <f t="shared" si="1"/>
        <v>39377.75</v>
      </c>
    </row>
    <row r="27" spans="1:9" s="330" customFormat="1" ht="21" customHeight="1" x14ac:dyDescent="0.3">
      <c r="A27" s="341">
        <v>19</v>
      </c>
      <c r="B27" s="331" t="s">
        <v>40</v>
      </c>
      <c r="C27" s="328">
        <f>'vacaciones 2023 '!U40</f>
        <v>209</v>
      </c>
      <c r="D27" s="319"/>
      <c r="E27" s="329">
        <v>8102.5</v>
      </c>
      <c r="F27" s="329">
        <f t="shared" si="0"/>
        <v>56447.416666666664</v>
      </c>
      <c r="G27" s="823"/>
      <c r="H27" s="332"/>
      <c r="I27" s="332">
        <f t="shared" si="1"/>
        <v>56447.416666666664</v>
      </c>
    </row>
    <row r="28" spans="1:9" s="330" customFormat="1" ht="21" customHeight="1" x14ac:dyDescent="0.3">
      <c r="A28" s="341">
        <v>20</v>
      </c>
      <c r="B28" s="331" t="s">
        <v>41</v>
      </c>
      <c r="C28" s="328">
        <f>'vacaciones 2023 '!U15</f>
        <v>29</v>
      </c>
      <c r="D28" s="319"/>
      <c r="E28" s="329">
        <v>7302.5</v>
      </c>
      <c r="F28" s="329">
        <f t="shared" si="0"/>
        <v>7059.083333333333</v>
      </c>
      <c r="G28" s="823"/>
      <c r="H28" s="332"/>
      <c r="I28" s="332">
        <f t="shared" si="1"/>
        <v>7059.083333333333</v>
      </c>
    </row>
    <row r="29" spans="1:9" s="330" customFormat="1" ht="21" customHeight="1" x14ac:dyDescent="0.3">
      <c r="A29" s="341">
        <v>21</v>
      </c>
      <c r="B29" s="331" t="s">
        <v>42</v>
      </c>
      <c r="C29" s="328">
        <f>'vacaciones 2023 '!U47</f>
        <v>53</v>
      </c>
      <c r="D29" s="319"/>
      <c r="E29" s="329">
        <v>5900</v>
      </c>
      <c r="F29" s="329">
        <f t="shared" si="0"/>
        <v>10423.333333333332</v>
      </c>
      <c r="G29" s="823"/>
      <c r="H29" s="332"/>
      <c r="I29" s="332">
        <f t="shared" si="1"/>
        <v>10423.333333333332</v>
      </c>
    </row>
    <row r="30" spans="1:9" s="330" customFormat="1" ht="21" customHeight="1" x14ac:dyDescent="0.3">
      <c r="A30" s="341">
        <v>22</v>
      </c>
      <c r="B30" s="331" t="s">
        <v>43</v>
      </c>
      <c r="C30" s="328">
        <f>'vacaciones 2023 '!U6</f>
        <v>0</v>
      </c>
      <c r="D30" s="319"/>
      <c r="E30" s="329">
        <v>12702.5</v>
      </c>
      <c r="F30" s="329">
        <f t="shared" si="0"/>
        <v>0</v>
      </c>
      <c r="G30" s="823"/>
      <c r="H30" s="332"/>
      <c r="I30" s="332">
        <f t="shared" si="1"/>
        <v>0</v>
      </c>
    </row>
    <row r="31" spans="1:9" s="330" customFormat="1" ht="21" customHeight="1" x14ac:dyDescent="0.3">
      <c r="A31" s="341">
        <v>23</v>
      </c>
      <c r="B31" s="331" t="s">
        <v>481</v>
      </c>
      <c r="C31" s="328">
        <f>'vacaciones 2023 '!U5</f>
        <v>75</v>
      </c>
      <c r="D31" s="319"/>
      <c r="E31" s="329">
        <v>5600</v>
      </c>
      <c r="F31" s="329">
        <f t="shared" si="0"/>
        <v>14000</v>
      </c>
      <c r="G31" s="823"/>
      <c r="H31" s="332"/>
      <c r="I31" s="332">
        <f t="shared" si="1"/>
        <v>14000</v>
      </c>
    </row>
    <row r="32" spans="1:9" s="330" customFormat="1" ht="21" customHeight="1" x14ac:dyDescent="0.3">
      <c r="A32" s="341">
        <v>24</v>
      </c>
      <c r="B32" s="331" t="s">
        <v>497</v>
      </c>
      <c r="C32" s="328">
        <f>'vacaciones 2023 '!U38</f>
        <v>27</v>
      </c>
      <c r="D32" s="319"/>
      <c r="E32" s="329">
        <v>3500</v>
      </c>
      <c r="F32" s="329">
        <f t="shared" si="0"/>
        <v>3150</v>
      </c>
      <c r="G32" s="823"/>
      <c r="H32" s="332"/>
      <c r="I32" s="332">
        <f t="shared" si="1"/>
        <v>3150</v>
      </c>
    </row>
    <row r="33" spans="1:9" s="330" customFormat="1" ht="21" customHeight="1" x14ac:dyDescent="0.3">
      <c r="A33" s="341">
        <v>25</v>
      </c>
      <c r="B33" s="331" t="s">
        <v>502</v>
      </c>
      <c r="C33" s="328">
        <f>'vacaciones 2023 '!U23</f>
        <v>30</v>
      </c>
      <c r="D33" s="319"/>
      <c r="E33" s="329">
        <v>1500</v>
      </c>
      <c r="F33" s="329">
        <f t="shared" ref="F33" si="2">E33/30*C33</f>
        <v>1500</v>
      </c>
      <c r="G33" s="823"/>
      <c r="H33" s="332"/>
      <c r="I33" s="332">
        <f t="shared" si="1"/>
        <v>1500</v>
      </c>
    </row>
    <row r="34" spans="1:9" s="330" customFormat="1" ht="21" customHeight="1" x14ac:dyDescent="0.3">
      <c r="A34" s="341">
        <v>26</v>
      </c>
      <c r="B34" s="331" t="s">
        <v>87</v>
      </c>
      <c r="C34" s="328">
        <f>'vacaciones 2023 '!U41</f>
        <v>26</v>
      </c>
      <c r="D34" s="319"/>
      <c r="E34" s="329">
        <v>4052.5</v>
      </c>
      <c r="F34" s="329">
        <f t="shared" si="0"/>
        <v>3512.166666666667</v>
      </c>
      <c r="G34" s="823"/>
      <c r="H34" s="332"/>
      <c r="I34" s="332">
        <f t="shared" si="1"/>
        <v>3512.166666666667</v>
      </c>
    </row>
    <row r="35" spans="1:9" s="330" customFormat="1" ht="21" customHeight="1" x14ac:dyDescent="0.3">
      <c r="A35" s="341">
        <v>27</v>
      </c>
      <c r="B35" s="331" t="s">
        <v>498</v>
      </c>
      <c r="C35" s="328" t="e">
        <f>'vacaciones 2023 '!#REF!</f>
        <v>#REF!</v>
      </c>
      <c r="D35" s="319"/>
      <c r="E35" s="329">
        <v>2000</v>
      </c>
      <c r="F35" s="329" t="e">
        <f t="shared" si="0"/>
        <v>#REF!</v>
      </c>
      <c r="G35" s="823"/>
      <c r="H35" s="332"/>
      <c r="I35" s="332" t="e">
        <f t="shared" si="1"/>
        <v>#REF!</v>
      </c>
    </row>
    <row r="36" spans="1:9" s="330" customFormat="1" ht="21" customHeight="1" x14ac:dyDescent="0.3">
      <c r="A36" s="341">
        <v>28</v>
      </c>
      <c r="B36" s="331" t="s">
        <v>482</v>
      </c>
      <c r="C36" s="328">
        <f>'vacaciones 2023 '!U19</f>
        <v>23</v>
      </c>
      <c r="D36" s="319"/>
      <c r="E36" s="329">
        <v>5367</v>
      </c>
      <c r="F36" s="329">
        <f t="shared" si="0"/>
        <v>4114.7</v>
      </c>
      <c r="G36" s="823"/>
      <c r="H36" s="332"/>
      <c r="I36" s="332">
        <f t="shared" si="1"/>
        <v>4114.7</v>
      </c>
    </row>
    <row r="37" spans="1:9" s="330" customFormat="1" ht="21" customHeight="1" x14ac:dyDescent="0.3">
      <c r="A37" s="341">
        <v>29</v>
      </c>
      <c r="B37" s="331" t="s">
        <v>499</v>
      </c>
      <c r="C37" s="328">
        <f>'vacaciones 2023 '!U9</f>
        <v>10</v>
      </c>
      <c r="D37" s="319"/>
      <c r="E37" s="329">
        <v>4200</v>
      </c>
      <c r="F37" s="329">
        <f t="shared" si="0"/>
        <v>1400</v>
      </c>
      <c r="G37" s="823"/>
      <c r="H37" s="332"/>
      <c r="I37" s="332">
        <f t="shared" si="1"/>
        <v>1400</v>
      </c>
    </row>
    <row r="38" spans="1:9" s="330" customFormat="1" ht="21" customHeight="1" x14ac:dyDescent="0.3">
      <c r="A38" s="341">
        <v>30</v>
      </c>
      <c r="B38" s="331" t="s">
        <v>483</v>
      </c>
      <c r="C38" s="328" t="e">
        <f>'vacaciones 2023 '!#REF!</f>
        <v>#REF!</v>
      </c>
      <c r="D38" s="319"/>
      <c r="E38" s="329">
        <v>9602.5</v>
      </c>
      <c r="F38" s="329" t="e">
        <f t="shared" si="0"/>
        <v>#REF!</v>
      </c>
      <c r="G38" s="824"/>
      <c r="H38" s="332"/>
      <c r="I38" s="332" t="e">
        <f t="shared" si="1"/>
        <v>#REF!</v>
      </c>
    </row>
    <row r="39" spans="1:9" s="330" customFormat="1" ht="21" customHeight="1" x14ac:dyDescent="0.3">
      <c r="A39" s="341">
        <v>31</v>
      </c>
      <c r="B39" s="331" t="s">
        <v>152</v>
      </c>
      <c r="C39" s="328">
        <f>'vacaciones 2023 '!U14</f>
        <v>71</v>
      </c>
      <c r="D39" s="319"/>
      <c r="E39" s="329">
        <v>6602.5</v>
      </c>
      <c r="F39" s="329">
        <f t="shared" si="0"/>
        <v>15625.916666666668</v>
      </c>
      <c r="G39" s="823"/>
      <c r="H39" s="332"/>
      <c r="I39" s="332">
        <f t="shared" si="1"/>
        <v>15625.916666666668</v>
      </c>
    </row>
    <row r="40" spans="1:9" s="330" customFormat="1" ht="21" customHeight="1" x14ac:dyDescent="0.3">
      <c r="A40" s="341">
        <v>32</v>
      </c>
      <c r="B40" s="331" t="s">
        <v>441</v>
      </c>
      <c r="C40" s="328">
        <f>'vacaciones 2023 '!U58</f>
        <v>29</v>
      </c>
      <c r="D40" s="319"/>
      <c r="E40" s="329">
        <v>2000</v>
      </c>
      <c r="F40" s="329">
        <f t="shared" si="0"/>
        <v>1933.3333333333335</v>
      </c>
      <c r="G40" s="823"/>
      <c r="H40" s="332"/>
      <c r="I40" s="332">
        <f t="shared" si="1"/>
        <v>1933.3333333333335</v>
      </c>
    </row>
    <row r="41" spans="1:9" s="330" customFormat="1" ht="21" customHeight="1" x14ac:dyDescent="0.3">
      <c r="A41" s="341">
        <v>33</v>
      </c>
      <c r="B41" s="331" t="s">
        <v>484</v>
      </c>
      <c r="C41" s="328">
        <f>'vacaciones 2023 '!U56</f>
        <v>57</v>
      </c>
      <c r="D41" s="319"/>
      <c r="E41" s="329">
        <v>5202.5</v>
      </c>
      <c r="F41" s="329">
        <f t="shared" si="0"/>
        <v>9884.75</v>
      </c>
      <c r="G41" s="823"/>
      <c r="H41" s="332"/>
      <c r="I41" s="332">
        <f t="shared" si="1"/>
        <v>9884.75</v>
      </c>
    </row>
    <row r="42" spans="1:9" s="330" customFormat="1" ht="21" customHeight="1" x14ac:dyDescent="0.3">
      <c r="A42" s="341">
        <v>34</v>
      </c>
      <c r="B42" s="331" t="s">
        <v>94</v>
      </c>
      <c r="C42" s="328">
        <f>'vacaciones 2023 '!U60</f>
        <v>40</v>
      </c>
      <c r="D42" s="319"/>
      <c r="E42" s="329">
        <v>4102.5</v>
      </c>
      <c r="F42" s="329">
        <f t="shared" si="0"/>
        <v>5470</v>
      </c>
      <c r="G42" s="823"/>
      <c r="H42" s="332"/>
      <c r="I42" s="332">
        <f t="shared" si="1"/>
        <v>5470</v>
      </c>
    </row>
    <row r="43" spans="1:9" s="330" customFormat="1" ht="21" customHeight="1" x14ac:dyDescent="0.3">
      <c r="A43" s="341">
        <v>35</v>
      </c>
      <c r="B43" s="331" t="s">
        <v>472</v>
      </c>
      <c r="C43" s="328">
        <f>'vacaciones 2023 '!U50</f>
        <v>44</v>
      </c>
      <c r="D43" s="319"/>
      <c r="E43" s="329">
        <v>1802.5</v>
      </c>
      <c r="F43" s="329">
        <f t="shared" si="0"/>
        <v>2643.666666666667</v>
      </c>
      <c r="G43" s="823"/>
      <c r="H43" s="332"/>
      <c r="I43" s="332">
        <f t="shared" si="1"/>
        <v>2643.666666666667</v>
      </c>
    </row>
    <row r="44" spans="1:9" s="330" customFormat="1" ht="21" customHeight="1" x14ac:dyDescent="0.3">
      <c r="A44" s="341">
        <v>36</v>
      </c>
      <c r="B44" s="331" t="s">
        <v>46</v>
      </c>
      <c r="C44" s="328">
        <f>'vacaciones 2023 '!U11</f>
        <v>225</v>
      </c>
      <c r="D44" s="319"/>
      <c r="E44" s="329">
        <v>9302.5</v>
      </c>
      <c r="F44" s="329">
        <f>E44/30*C44</f>
        <v>69768.75</v>
      </c>
      <c r="G44" s="823"/>
      <c r="H44" s="332"/>
      <c r="I44" s="332">
        <f t="shared" si="1"/>
        <v>69768.75</v>
      </c>
    </row>
    <row r="45" spans="1:9" s="330" customFormat="1" ht="21" customHeight="1" x14ac:dyDescent="0.3">
      <c r="A45" s="341">
        <v>37</v>
      </c>
      <c r="B45" s="331" t="s">
        <v>500</v>
      </c>
      <c r="C45" s="328">
        <f>'vacaciones 2023 '!U36</f>
        <v>5</v>
      </c>
      <c r="D45" s="319"/>
      <c r="E45" s="329">
        <v>2500</v>
      </c>
      <c r="F45" s="329">
        <f t="shared" ref="F45:F49" si="3">E45/30*C45</f>
        <v>416.66666666666663</v>
      </c>
      <c r="G45" s="823"/>
      <c r="H45" s="332"/>
      <c r="I45" s="332">
        <f t="shared" si="1"/>
        <v>416.66666666666663</v>
      </c>
    </row>
    <row r="46" spans="1:9" s="330" customFormat="1" ht="21" customHeight="1" x14ac:dyDescent="0.3">
      <c r="A46" s="341">
        <v>38</v>
      </c>
      <c r="B46" s="331" t="s">
        <v>485</v>
      </c>
      <c r="C46" s="328">
        <f>'vacaciones 2023 '!U52</f>
        <v>93</v>
      </c>
      <c r="D46" s="319"/>
      <c r="E46" s="329">
        <v>3500</v>
      </c>
      <c r="F46" s="329">
        <f t="shared" si="3"/>
        <v>10850</v>
      </c>
      <c r="G46" s="823"/>
      <c r="H46" s="332"/>
      <c r="I46" s="332">
        <f t="shared" si="1"/>
        <v>10850</v>
      </c>
    </row>
    <row r="47" spans="1:9" s="330" customFormat="1" ht="21" customHeight="1" x14ac:dyDescent="0.3">
      <c r="A47" s="341">
        <v>39</v>
      </c>
      <c r="B47" s="331" t="s">
        <v>520</v>
      </c>
      <c r="C47" s="328">
        <f>'vacaciones 2023 '!U37</f>
        <v>4</v>
      </c>
      <c r="D47" s="319"/>
      <c r="E47" s="329">
        <v>2200</v>
      </c>
      <c r="F47" s="329">
        <f t="shared" si="3"/>
        <v>293.33333333333331</v>
      </c>
      <c r="G47" s="823"/>
      <c r="H47" s="332"/>
      <c r="I47" s="332">
        <f t="shared" si="1"/>
        <v>293.33333333333331</v>
      </c>
    </row>
    <row r="48" spans="1:9" s="330" customFormat="1" ht="21" customHeight="1" x14ac:dyDescent="0.3">
      <c r="A48" s="341">
        <v>40</v>
      </c>
      <c r="B48" s="331" t="s">
        <v>486</v>
      </c>
      <c r="C48" s="328">
        <f>'vacaciones 2023 '!U8</f>
        <v>83</v>
      </c>
      <c r="D48" s="319"/>
      <c r="E48" s="329">
        <v>4602.5</v>
      </c>
      <c r="F48" s="329">
        <f t="shared" si="3"/>
        <v>12733.583333333332</v>
      </c>
      <c r="G48" s="823"/>
      <c r="H48" s="332"/>
      <c r="I48" s="332">
        <f t="shared" si="1"/>
        <v>12733.583333333332</v>
      </c>
    </row>
    <row r="49" spans="1:9" s="330" customFormat="1" ht="21" customHeight="1" x14ac:dyDescent="0.3">
      <c r="A49" s="341">
        <v>41</v>
      </c>
      <c r="B49" s="331" t="s">
        <v>487</v>
      </c>
      <c r="C49" s="328">
        <f>'vacaciones 2023 '!U55</f>
        <v>59</v>
      </c>
      <c r="D49" s="319"/>
      <c r="E49" s="329">
        <v>5000</v>
      </c>
      <c r="F49" s="329">
        <f t="shared" si="3"/>
        <v>9833.3333333333321</v>
      </c>
      <c r="G49" s="823"/>
      <c r="H49" s="332"/>
      <c r="I49" s="332">
        <f t="shared" si="1"/>
        <v>9833.3333333333321</v>
      </c>
    </row>
    <row r="50" spans="1:9" s="330" customFormat="1" ht="25.5" customHeight="1" x14ac:dyDescent="0.3">
      <c r="A50" s="340"/>
      <c r="B50" s="333"/>
      <c r="C50" s="334" t="e">
        <f>SUM(C10:C49)</f>
        <v>#REF!</v>
      </c>
      <c r="D50" s="319"/>
      <c r="E50" s="335"/>
      <c r="F50" s="336"/>
      <c r="G50" s="823"/>
      <c r="H50" s="337"/>
      <c r="I50" s="337" t="e">
        <f>SUM(I10:I49)</f>
        <v>#REF!</v>
      </c>
    </row>
  </sheetData>
  <autoFilter ref="A9:C44"/>
  <mergeCells count="2">
    <mergeCell ref="A5:F5"/>
    <mergeCell ref="A6:F6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43" orientation="portrait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57"/>
  <sheetViews>
    <sheetView showZeros="0" zoomScale="60" zoomScaleNormal="60" workbookViewId="0">
      <pane xSplit="3" ySplit="2" topLeftCell="D3" activePane="bottomRight" state="frozen"/>
      <selection activeCell="B1" sqref="B1"/>
      <selection pane="topRight" activeCell="E1" sqref="E1"/>
      <selection pane="bottomLeft" activeCell="B3" sqref="B3"/>
      <selection pane="bottomRight" activeCell="A8" sqref="A8:IV8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3" width="57.7109375" style="253" customWidth="1"/>
    <col min="4" max="8" width="9.5703125" style="253" customWidth="1"/>
    <col min="9" max="9" width="9.42578125" style="253" hidden="1" customWidth="1" outlineLevel="1"/>
    <col min="10" max="13" width="9.5703125" style="253" hidden="1" customWidth="1" outlineLevel="1"/>
    <col min="14" max="14" width="12.140625" style="253" hidden="1" customWidth="1" outlineLevel="1"/>
    <col min="15" max="20" width="9.5703125" style="253" hidden="1" customWidth="1" outlineLevel="1"/>
    <col min="21" max="21" width="11.7109375" style="253" hidden="1" customWidth="1" outlineLevel="1"/>
    <col min="22" max="27" width="9.5703125" style="253" hidden="1" customWidth="1" outlineLevel="1"/>
    <col min="28" max="28" width="11.42578125" style="253" hidden="1" customWidth="1" outlineLevel="1"/>
    <col min="29" max="34" width="9.5703125" style="253" hidden="1" customWidth="1" outlineLevel="1"/>
    <col min="35" max="35" width="12.7109375" style="253" hidden="1" customWidth="1" outlineLevel="1"/>
    <col min="36" max="38" width="9.5703125" style="253" hidden="1" customWidth="1" outlineLevel="1"/>
    <col min="39" max="39" width="9.5703125" style="796" customWidth="1" collapsed="1"/>
    <col min="40" max="70" width="10.28515625" style="796" customWidth="1" outlineLevel="1"/>
    <col min="71" max="71" width="9.5703125" style="253" customWidth="1"/>
    <col min="72" max="102" width="10.28515625" style="796" customWidth="1" outlineLevel="1"/>
    <col min="103" max="103" width="9.5703125" style="253" customWidth="1"/>
    <col min="104" max="133" width="10.28515625" style="796" customWidth="1" outlineLevel="1"/>
    <col min="134" max="134" width="9.5703125" style="253" customWidth="1"/>
    <col min="135" max="165" width="10.28515625" style="796" customWidth="1" outlineLevel="1"/>
    <col min="166" max="166" width="9.5703125" style="253" customWidth="1"/>
    <col min="167" max="196" width="10.28515625" style="796" hidden="1" customWidth="1" outlineLevel="1"/>
    <col min="197" max="197" width="9.5703125" style="253" customWidth="1" collapsed="1"/>
    <col min="198" max="228" width="10.28515625" style="796" hidden="1" customWidth="1" outlineLevel="1"/>
    <col min="229" max="229" width="9.5703125" style="253" customWidth="1" collapsed="1"/>
    <col min="230" max="230" width="15.42578125" style="794" customWidth="1"/>
    <col min="231" max="247" width="9.5703125" style="253" customWidth="1"/>
    <col min="248" max="16384" width="8.85546875" style="253"/>
  </cols>
  <sheetData>
    <row r="1" spans="1:230" s="254" customFormat="1" ht="66.75" customHeight="1" x14ac:dyDescent="0.3">
      <c r="A1" s="798"/>
      <c r="B1" s="804" t="s">
        <v>180</v>
      </c>
      <c r="C1" s="805"/>
      <c r="AM1" s="893"/>
      <c r="AN1" s="893"/>
      <c r="AO1" s="893"/>
      <c r="AP1" s="893"/>
      <c r="AQ1" s="893"/>
      <c r="AR1" s="893"/>
      <c r="AS1" s="893"/>
      <c r="AT1" s="893"/>
      <c r="AU1" s="893"/>
      <c r="AV1" s="893"/>
      <c r="AW1" s="893"/>
      <c r="AX1" s="893"/>
      <c r="AY1" s="893"/>
      <c r="AZ1" s="893"/>
      <c r="BA1" s="893"/>
      <c r="BB1" s="893"/>
      <c r="BC1" s="893"/>
      <c r="BD1" s="893"/>
      <c r="BE1" s="893"/>
      <c r="BF1" s="893"/>
      <c r="BG1" s="893"/>
      <c r="BH1" s="893"/>
      <c r="BI1" s="893"/>
      <c r="BJ1" s="893"/>
      <c r="BK1" s="893"/>
      <c r="BL1" s="893"/>
      <c r="BM1" s="893"/>
      <c r="BN1" s="893"/>
      <c r="BO1" s="893"/>
      <c r="BP1" s="893"/>
      <c r="BQ1" s="893"/>
      <c r="BR1" s="893"/>
      <c r="BT1" s="893"/>
      <c r="BU1" s="893"/>
      <c r="BV1" s="893"/>
      <c r="BW1" s="893"/>
      <c r="BX1" s="893"/>
      <c r="BY1" s="893"/>
      <c r="BZ1" s="893"/>
      <c r="CA1" s="893"/>
      <c r="CB1" s="893"/>
      <c r="CC1" s="893"/>
      <c r="CD1" s="893"/>
      <c r="CE1" s="893"/>
      <c r="CF1" s="893"/>
      <c r="CG1" s="893"/>
      <c r="CH1" s="893"/>
      <c r="CI1" s="893"/>
      <c r="CJ1" s="893"/>
      <c r="CK1" s="893"/>
      <c r="CL1" s="893"/>
      <c r="CM1" s="893"/>
      <c r="CN1" s="893"/>
      <c r="CO1" s="893"/>
      <c r="CP1" s="893"/>
      <c r="CQ1" s="893"/>
      <c r="CR1" s="893"/>
      <c r="CS1" s="893"/>
      <c r="CT1" s="893"/>
      <c r="CU1" s="893"/>
      <c r="CV1" s="893"/>
      <c r="CW1" s="893"/>
      <c r="CX1" s="893"/>
      <c r="CZ1" s="893"/>
      <c r="DA1" s="893"/>
      <c r="DB1" s="893"/>
      <c r="DC1" s="893"/>
      <c r="DD1" s="893"/>
      <c r="DE1" s="893"/>
      <c r="DF1" s="893"/>
      <c r="DG1" s="893"/>
      <c r="DH1" s="893"/>
      <c r="DI1" s="893"/>
      <c r="DJ1" s="893"/>
      <c r="DK1" s="893"/>
      <c r="DL1" s="893"/>
      <c r="DM1" s="893"/>
      <c r="DN1" s="893"/>
      <c r="DO1" s="893"/>
      <c r="DP1" s="893"/>
      <c r="DQ1" s="893"/>
      <c r="DR1" s="893"/>
      <c r="DS1" s="893"/>
      <c r="DT1" s="893"/>
      <c r="DU1" s="893"/>
      <c r="DV1" s="893"/>
      <c r="DW1" s="893"/>
      <c r="DX1" s="893"/>
      <c r="DY1" s="893"/>
      <c r="DZ1" s="893"/>
      <c r="EA1" s="893"/>
      <c r="EB1" s="893"/>
      <c r="EC1" s="893"/>
      <c r="EE1" s="893"/>
      <c r="EF1" s="893"/>
      <c r="EG1" s="893"/>
      <c r="EH1" s="893"/>
      <c r="EI1" s="893"/>
      <c r="EJ1" s="893"/>
      <c r="EK1" s="893"/>
      <c r="EL1" s="893"/>
      <c r="EM1" s="893"/>
      <c r="EN1" s="893"/>
      <c r="EO1" s="893"/>
      <c r="EP1" s="893"/>
      <c r="EQ1" s="893"/>
      <c r="ER1" s="893"/>
      <c r="ES1" s="893"/>
      <c r="ET1" s="893"/>
      <c r="EU1" s="893"/>
      <c r="EV1" s="893"/>
      <c r="EW1" s="893"/>
      <c r="EX1" s="893"/>
      <c r="EY1" s="893"/>
      <c r="EZ1" s="893"/>
      <c r="FA1" s="893"/>
      <c r="FB1" s="893"/>
      <c r="FC1" s="893"/>
      <c r="FD1" s="893"/>
      <c r="FE1" s="893"/>
      <c r="FF1" s="893"/>
      <c r="FG1" s="893"/>
      <c r="FH1" s="893"/>
      <c r="FI1" s="893"/>
      <c r="FK1" s="893"/>
      <c r="FL1" s="893"/>
      <c r="FM1" s="893"/>
      <c r="FN1" s="893"/>
      <c r="FO1" s="893"/>
      <c r="FP1" s="893"/>
      <c r="FQ1" s="893"/>
      <c r="FR1" s="893"/>
      <c r="FS1" s="893"/>
      <c r="FT1" s="893"/>
      <c r="FU1" s="893"/>
      <c r="FV1" s="893"/>
      <c r="FW1" s="893"/>
      <c r="FX1" s="893"/>
      <c r="FY1" s="893"/>
      <c r="FZ1" s="893"/>
      <c r="GA1" s="893"/>
      <c r="GB1" s="893"/>
      <c r="GC1" s="893"/>
      <c r="GD1" s="893"/>
      <c r="GE1" s="893"/>
      <c r="GF1" s="893"/>
      <c r="GG1" s="893"/>
      <c r="GH1" s="893"/>
      <c r="GI1" s="893"/>
      <c r="GJ1" s="893"/>
      <c r="GK1" s="893"/>
      <c r="GL1" s="893"/>
      <c r="GM1" s="893"/>
      <c r="GN1" s="893"/>
      <c r="GP1" s="893"/>
      <c r="GQ1" s="893"/>
      <c r="GR1" s="893"/>
      <c r="GS1" s="893"/>
      <c r="GT1" s="893"/>
      <c r="GU1" s="893"/>
      <c r="GV1" s="893"/>
      <c r="GW1" s="893"/>
      <c r="GX1" s="893"/>
      <c r="GY1" s="893"/>
      <c r="GZ1" s="893"/>
      <c r="HA1" s="893"/>
      <c r="HB1" s="893"/>
      <c r="HC1" s="893"/>
      <c r="HD1" s="893"/>
      <c r="HE1" s="893"/>
      <c r="HF1" s="893"/>
      <c r="HG1" s="893"/>
      <c r="HH1" s="893"/>
      <c r="HI1" s="893"/>
      <c r="HJ1" s="893"/>
      <c r="HK1" s="893"/>
      <c r="HL1" s="893"/>
      <c r="HM1" s="893"/>
      <c r="HN1" s="893"/>
      <c r="HO1" s="893"/>
      <c r="HP1" s="893"/>
      <c r="HQ1" s="893"/>
      <c r="HR1" s="893"/>
      <c r="HS1" s="893"/>
      <c r="HT1" s="893"/>
      <c r="HV1" s="805"/>
    </row>
    <row r="2" spans="1:230" s="254" customFormat="1" ht="67.5" customHeight="1" x14ac:dyDescent="0.3">
      <c r="A2" s="851"/>
      <c r="B2" s="778" t="s">
        <v>68</v>
      </c>
      <c r="C2" s="778"/>
      <c r="D2" s="890">
        <v>44197</v>
      </c>
      <c r="E2" s="890">
        <v>44228</v>
      </c>
      <c r="F2" s="890">
        <v>44256</v>
      </c>
      <c r="G2" s="890">
        <v>44287</v>
      </c>
      <c r="H2" s="890">
        <v>44317</v>
      </c>
      <c r="I2" s="892">
        <v>44348</v>
      </c>
      <c r="J2" s="892">
        <v>44349</v>
      </c>
      <c r="K2" s="892">
        <v>44350</v>
      </c>
      <c r="L2" s="892">
        <v>44351</v>
      </c>
      <c r="M2" s="892">
        <v>44352</v>
      </c>
      <c r="N2" s="892">
        <v>44353</v>
      </c>
      <c r="O2" s="892">
        <v>44354</v>
      </c>
      <c r="P2" s="892">
        <v>44355</v>
      </c>
      <c r="Q2" s="892">
        <v>44356</v>
      </c>
      <c r="R2" s="892">
        <v>44357</v>
      </c>
      <c r="S2" s="892">
        <v>44358</v>
      </c>
      <c r="T2" s="892">
        <v>44359</v>
      </c>
      <c r="U2" s="892">
        <v>44360</v>
      </c>
      <c r="V2" s="892">
        <v>44361</v>
      </c>
      <c r="W2" s="892">
        <v>44362</v>
      </c>
      <c r="X2" s="892">
        <v>44363</v>
      </c>
      <c r="Y2" s="892">
        <v>44364</v>
      </c>
      <c r="Z2" s="892">
        <v>44365</v>
      </c>
      <c r="AA2" s="892">
        <v>44366</v>
      </c>
      <c r="AB2" s="892">
        <v>44367</v>
      </c>
      <c r="AC2" s="892">
        <v>44368</v>
      </c>
      <c r="AD2" s="892">
        <v>44369</v>
      </c>
      <c r="AE2" s="892">
        <v>44370</v>
      </c>
      <c r="AF2" s="892">
        <v>44371</v>
      </c>
      <c r="AG2" s="892">
        <v>44372</v>
      </c>
      <c r="AH2" s="892">
        <v>44373</v>
      </c>
      <c r="AI2" s="892">
        <v>44374</v>
      </c>
      <c r="AJ2" s="892">
        <v>44375</v>
      </c>
      <c r="AK2" s="892">
        <v>44376</v>
      </c>
      <c r="AL2" s="892">
        <v>44377</v>
      </c>
      <c r="AM2" s="894">
        <v>44348</v>
      </c>
      <c r="AN2" s="892">
        <v>44378</v>
      </c>
      <c r="AO2" s="892">
        <v>44379</v>
      </c>
      <c r="AP2" s="892">
        <v>44380</v>
      </c>
      <c r="AQ2" s="892">
        <v>44381</v>
      </c>
      <c r="AR2" s="892">
        <v>44382</v>
      </c>
      <c r="AS2" s="892">
        <v>44383</v>
      </c>
      <c r="AT2" s="892">
        <v>44384</v>
      </c>
      <c r="AU2" s="892">
        <v>44385</v>
      </c>
      <c r="AV2" s="892">
        <v>44386</v>
      </c>
      <c r="AW2" s="892">
        <v>44387</v>
      </c>
      <c r="AX2" s="892">
        <v>44388</v>
      </c>
      <c r="AY2" s="892">
        <v>44389</v>
      </c>
      <c r="AZ2" s="892">
        <v>44390</v>
      </c>
      <c r="BA2" s="892">
        <v>44391</v>
      </c>
      <c r="BB2" s="892">
        <v>44392</v>
      </c>
      <c r="BC2" s="892">
        <v>44393</v>
      </c>
      <c r="BD2" s="892">
        <v>44394</v>
      </c>
      <c r="BE2" s="892">
        <v>44395</v>
      </c>
      <c r="BF2" s="892">
        <v>44396</v>
      </c>
      <c r="BG2" s="892">
        <v>44397</v>
      </c>
      <c r="BH2" s="892">
        <v>44398</v>
      </c>
      <c r="BI2" s="892">
        <v>44399</v>
      </c>
      <c r="BJ2" s="892">
        <v>44400</v>
      </c>
      <c r="BK2" s="892">
        <v>44401</v>
      </c>
      <c r="BL2" s="892">
        <v>44402</v>
      </c>
      <c r="BM2" s="892">
        <v>44403</v>
      </c>
      <c r="BN2" s="892">
        <v>44404</v>
      </c>
      <c r="BO2" s="892">
        <v>44405</v>
      </c>
      <c r="BP2" s="892">
        <v>44406</v>
      </c>
      <c r="BQ2" s="892">
        <v>44407</v>
      </c>
      <c r="BR2" s="892">
        <v>44408</v>
      </c>
      <c r="BS2" s="890">
        <v>44378</v>
      </c>
      <c r="BT2" s="892">
        <v>44409</v>
      </c>
      <c r="BU2" s="892">
        <v>44410</v>
      </c>
      <c r="BV2" s="892">
        <v>44411</v>
      </c>
      <c r="BW2" s="892">
        <v>44412</v>
      </c>
      <c r="BX2" s="892">
        <v>44413</v>
      </c>
      <c r="BY2" s="892">
        <v>44414</v>
      </c>
      <c r="BZ2" s="892">
        <v>44415</v>
      </c>
      <c r="CA2" s="892">
        <v>44416</v>
      </c>
      <c r="CB2" s="892">
        <v>44417</v>
      </c>
      <c r="CC2" s="892">
        <v>44418</v>
      </c>
      <c r="CD2" s="892">
        <v>44419</v>
      </c>
      <c r="CE2" s="892">
        <v>44420</v>
      </c>
      <c r="CF2" s="892">
        <v>44421</v>
      </c>
      <c r="CG2" s="892">
        <v>44422</v>
      </c>
      <c r="CH2" s="892">
        <v>44423</v>
      </c>
      <c r="CI2" s="892">
        <v>44424</v>
      </c>
      <c r="CJ2" s="892">
        <v>44425</v>
      </c>
      <c r="CK2" s="892">
        <v>44426</v>
      </c>
      <c r="CL2" s="892">
        <v>44427</v>
      </c>
      <c r="CM2" s="892">
        <v>44428</v>
      </c>
      <c r="CN2" s="892">
        <v>44429</v>
      </c>
      <c r="CO2" s="892">
        <v>44430</v>
      </c>
      <c r="CP2" s="892">
        <v>44431</v>
      </c>
      <c r="CQ2" s="892">
        <v>44432</v>
      </c>
      <c r="CR2" s="892">
        <v>44433</v>
      </c>
      <c r="CS2" s="892">
        <v>44434</v>
      </c>
      <c r="CT2" s="892">
        <v>44435</v>
      </c>
      <c r="CU2" s="892">
        <v>44436</v>
      </c>
      <c r="CV2" s="892">
        <v>44437</v>
      </c>
      <c r="CW2" s="892">
        <v>44438</v>
      </c>
      <c r="CX2" s="892">
        <v>44439</v>
      </c>
      <c r="CY2" s="890">
        <v>44409</v>
      </c>
      <c r="CZ2" s="892">
        <v>44440</v>
      </c>
      <c r="DA2" s="892">
        <v>44441</v>
      </c>
      <c r="DB2" s="892">
        <v>44442</v>
      </c>
      <c r="DC2" s="892">
        <v>44443</v>
      </c>
      <c r="DD2" s="892">
        <v>44444</v>
      </c>
      <c r="DE2" s="892">
        <v>44445</v>
      </c>
      <c r="DF2" s="892">
        <v>44446</v>
      </c>
      <c r="DG2" s="892">
        <v>44447</v>
      </c>
      <c r="DH2" s="892">
        <v>44448</v>
      </c>
      <c r="DI2" s="892">
        <v>44449</v>
      </c>
      <c r="DJ2" s="892">
        <v>44450</v>
      </c>
      <c r="DK2" s="892">
        <v>44451</v>
      </c>
      <c r="DL2" s="892">
        <v>44452</v>
      </c>
      <c r="DM2" s="892">
        <v>44453</v>
      </c>
      <c r="DN2" s="892">
        <v>44454</v>
      </c>
      <c r="DO2" s="892">
        <v>44455</v>
      </c>
      <c r="DP2" s="892">
        <v>44456</v>
      </c>
      <c r="DQ2" s="892">
        <v>44457</v>
      </c>
      <c r="DR2" s="892">
        <v>44458</v>
      </c>
      <c r="DS2" s="892">
        <v>44459</v>
      </c>
      <c r="DT2" s="892">
        <v>44460</v>
      </c>
      <c r="DU2" s="892">
        <v>44461</v>
      </c>
      <c r="DV2" s="892">
        <v>44462</v>
      </c>
      <c r="DW2" s="892">
        <v>44463</v>
      </c>
      <c r="DX2" s="892">
        <v>44464</v>
      </c>
      <c r="DY2" s="892">
        <v>44465</v>
      </c>
      <c r="DZ2" s="892">
        <v>44466</v>
      </c>
      <c r="EA2" s="892">
        <v>44467</v>
      </c>
      <c r="EB2" s="892">
        <v>44468</v>
      </c>
      <c r="EC2" s="892">
        <v>44469</v>
      </c>
      <c r="ED2" s="890">
        <v>44440</v>
      </c>
      <c r="EE2" s="892">
        <v>44470</v>
      </c>
      <c r="EF2" s="892">
        <v>44471</v>
      </c>
      <c r="EG2" s="892">
        <v>44472</v>
      </c>
      <c r="EH2" s="892">
        <v>44473</v>
      </c>
      <c r="EI2" s="892">
        <v>44474</v>
      </c>
      <c r="EJ2" s="892">
        <v>44475</v>
      </c>
      <c r="EK2" s="892">
        <v>44476</v>
      </c>
      <c r="EL2" s="892">
        <v>44477</v>
      </c>
      <c r="EM2" s="892">
        <v>44478</v>
      </c>
      <c r="EN2" s="892">
        <v>44479</v>
      </c>
      <c r="EO2" s="892">
        <v>44480</v>
      </c>
      <c r="EP2" s="892">
        <v>44481</v>
      </c>
      <c r="EQ2" s="892">
        <v>44482</v>
      </c>
      <c r="ER2" s="892">
        <v>44483</v>
      </c>
      <c r="ES2" s="892">
        <v>44484</v>
      </c>
      <c r="ET2" s="892">
        <v>44485</v>
      </c>
      <c r="EU2" s="892">
        <v>44486</v>
      </c>
      <c r="EV2" s="892">
        <v>44487</v>
      </c>
      <c r="EW2" s="892">
        <v>44488</v>
      </c>
      <c r="EX2" s="892">
        <v>44489</v>
      </c>
      <c r="EY2" s="892">
        <v>44490</v>
      </c>
      <c r="EZ2" s="892">
        <v>44491</v>
      </c>
      <c r="FA2" s="892">
        <v>44492</v>
      </c>
      <c r="FB2" s="892">
        <v>44493</v>
      </c>
      <c r="FC2" s="892">
        <v>44494</v>
      </c>
      <c r="FD2" s="892">
        <v>44495</v>
      </c>
      <c r="FE2" s="892">
        <v>44496</v>
      </c>
      <c r="FF2" s="892">
        <v>44497</v>
      </c>
      <c r="FG2" s="892">
        <v>44498</v>
      </c>
      <c r="FH2" s="892">
        <v>44499</v>
      </c>
      <c r="FI2" s="892">
        <v>44500</v>
      </c>
      <c r="FJ2" s="890">
        <v>44470</v>
      </c>
      <c r="FK2" s="892">
        <v>44501</v>
      </c>
      <c r="FL2" s="892">
        <v>44502</v>
      </c>
      <c r="FM2" s="892">
        <v>44503</v>
      </c>
      <c r="FN2" s="892">
        <v>44504</v>
      </c>
      <c r="FO2" s="892">
        <v>44505</v>
      </c>
      <c r="FP2" s="892">
        <v>44506</v>
      </c>
      <c r="FQ2" s="892">
        <v>44507</v>
      </c>
      <c r="FR2" s="892">
        <v>44508</v>
      </c>
      <c r="FS2" s="892">
        <v>44509</v>
      </c>
      <c r="FT2" s="892">
        <v>44510</v>
      </c>
      <c r="FU2" s="892">
        <v>44511</v>
      </c>
      <c r="FV2" s="892">
        <v>44512</v>
      </c>
      <c r="FW2" s="892">
        <v>44513</v>
      </c>
      <c r="FX2" s="892">
        <v>44514</v>
      </c>
      <c r="FY2" s="892">
        <v>44515</v>
      </c>
      <c r="FZ2" s="892">
        <v>44516</v>
      </c>
      <c r="GA2" s="892">
        <v>44517</v>
      </c>
      <c r="GB2" s="892">
        <v>44518</v>
      </c>
      <c r="GC2" s="892">
        <v>44519</v>
      </c>
      <c r="GD2" s="892">
        <v>44520</v>
      </c>
      <c r="GE2" s="892">
        <v>44521</v>
      </c>
      <c r="GF2" s="892">
        <v>44522</v>
      </c>
      <c r="GG2" s="892">
        <v>44523</v>
      </c>
      <c r="GH2" s="892">
        <v>44524</v>
      </c>
      <c r="GI2" s="892">
        <v>44525</v>
      </c>
      <c r="GJ2" s="892">
        <v>44526</v>
      </c>
      <c r="GK2" s="892">
        <v>44527</v>
      </c>
      <c r="GL2" s="892">
        <v>44528</v>
      </c>
      <c r="GM2" s="892">
        <v>44529</v>
      </c>
      <c r="GN2" s="892">
        <v>44530</v>
      </c>
      <c r="GO2" s="890">
        <v>44501</v>
      </c>
      <c r="GP2" s="892">
        <v>44531</v>
      </c>
      <c r="GQ2" s="892">
        <v>44532</v>
      </c>
      <c r="GR2" s="892">
        <v>44533</v>
      </c>
      <c r="GS2" s="892">
        <v>44534</v>
      </c>
      <c r="GT2" s="892">
        <v>44535</v>
      </c>
      <c r="GU2" s="892">
        <v>44536</v>
      </c>
      <c r="GV2" s="892">
        <v>44537</v>
      </c>
      <c r="GW2" s="892">
        <v>44538</v>
      </c>
      <c r="GX2" s="892">
        <v>44539</v>
      </c>
      <c r="GY2" s="892">
        <v>44540</v>
      </c>
      <c r="GZ2" s="892">
        <v>44541</v>
      </c>
      <c r="HA2" s="892">
        <v>44542</v>
      </c>
      <c r="HB2" s="892">
        <v>44543</v>
      </c>
      <c r="HC2" s="892">
        <v>44544</v>
      </c>
      <c r="HD2" s="892">
        <v>44545</v>
      </c>
      <c r="HE2" s="892">
        <v>44546</v>
      </c>
      <c r="HF2" s="892">
        <v>44547</v>
      </c>
      <c r="HG2" s="892">
        <v>44548</v>
      </c>
      <c r="HH2" s="892">
        <v>44549</v>
      </c>
      <c r="HI2" s="892">
        <v>44550</v>
      </c>
      <c r="HJ2" s="892">
        <v>44551</v>
      </c>
      <c r="HK2" s="892">
        <v>44552</v>
      </c>
      <c r="HL2" s="892">
        <v>44553</v>
      </c>
      <c r="HM2" s="892">
        <v>44554</v>
      </c>
      <c r="HN2" s="892">
        <v>44555</v>
      </c>
      <c r="HO2" s="892">
        <v>44556</v>
      </c>
      <c r="HP2" s="892">
        <v>44557</v>
      </c>
      <c r="HQ2" s="892">
        <v>44558</v>
      </c>
      <c r="HR2" s="892">
        <v>44559</v>
      </c>
      <c r="HS2" s="892">
        <v>44560</v>
      </c>
      <c r="HT2" s="892">
        <v>44561</v>
      </c>
      <c r="HU2" s="890">
        <v>44531</v>
      </c>
      <c r="HV2" s="887" t="s">
        <v>401</v>
      </c>
    </row>
    <row r="3" spans="1:230" ht="31.5" customHeight="1" x14ac:dyDescent="0.3">
      <c r="A3" s="297"/>
      <c r="B3" s="881" t="s">
        <v>451</v>
      </c>
      <c r="C3" s="882"/>
      <c r="D3" s="888"/>
      <c r="E3" s="889"/>
      <c r="F3" s="889"/>
      <c r="G3" s="889"/>
      <c r="H3" s="889"/>
      <c r="I3" s="889"/>
      <c r="J3" s="889"/>
      <c r="K3" s="889"/>
      <c r="L3" s="889"/>
      <c r="M3" s="889"/>
      <c r="N3" s="889"/>
      <c r="O3" s="889"/>
      <c r="P3" s="889"/>
      <c r="Q3" s="889"/>
      <c r="R3" s="889"/>
      <c r="S3" s="889"/>
      <c r="T3" s="889"/>
      <c r="U3" s="889"/>
      <c r="V3" s="889"/>
      <c r="W3" s="889"/>
      <c r="X3" s="889"/>
      <c r="Y3" s="889"/>
      <c r="Z3" s="889"/>
      <c r="AA3" s="889"/>
      <c r="AB3" s="889"/>
      <c r="AC3" s="889"/>
      <c r="AD3" s="889"/>
      <c r="AE3" s="889"/>
      <c r="AF3" s="889"/>
      <c r="AG3" s="889"/>
      <c r="AH3" s="889"/>
      <c r="AI3" s="889"/>
      <c r="AJ3" s="889"/>
      <c r="AK3" s="889"/>
      <c r="AL3" s="889"/>
      <c r="AM3" s="895"/>
      <c r="AN3" s="895"/>
      <c r="AO3" s="895"/>
      <c r="AP3" s="895"/>
      <c r="AQ3" s="895"/>
      <c r="AR3" s="895"/>
      <c r="AS3" s="895"/>
      <c r="AT3" s="895"/>
      <c r="AU3" s="895"/>
      <c r="AV3" s="895"/>
      <c r="AW3" s="895"/>
      <c r="AX3" s="895"/>
      <c r="AY3" s="895"/>
      <c r="AZ3" s="895"/>
      <c r="BA3" s="895"/>
      <c r="BB3" s="895"/>
      <c r="BC3" s="895"/>
      <c r="BD3" s="895"/>
      <c r="BE3" s="895"/>
      <c r="BF3" s="895"/>
      <c r="BG3" s="895"/>
      <c r="BH3" s="895"/>
      <c r="BI3" s="895"/>
      <c r="BJ3" s="895"/>
      <c r="BK3" s="895"/>
      <c r="BL3" s="895"/>
      <c r="BM3" s="895"/>
      <c r="BN3" s="895"/>
      <c r="BO3" s="895"/>
      <c r="BP3" s="895"/>
      <c r="BQ3" s="895"/>
      <c r="BR3" s="895"/>
      <c r="BS3" s="889"/>
      <c r="BT3" s="895"/>
      <c r="BU3" s="895"/>
      <c r="BV3" s="895"/>
      <c r="BW3" s="895"/>
      <c r="BX3" s="895"/>
      <c r="BY3" s="895"/>
      <c r="BZ3" s="895"/>
      <c r="CA3" s="895"/>
      <c r="CB3" s="895"/>
      <c r="CC3" s="895"/>
      <c r="CD3" s="895"/>
      <c r="CE3" s="895"/>
      <c r="CF3" s="895"/>
      <c r="CG3" s="895"/>
      <c r="CH3" s="895"/>
      <c r="CI3" s="895"/>
      <c r="CJ3" s="895"/>
      <c r="CK3" s="895"/>
      <c r="CL3" s="895"/>
      <c r="CM3" s="895"/>
      <c r="CN3" s="895"/>
      <c r="CO3" s="895"/>
      <c r="CP3" s="895"/>
      <c r="CQ3" s="895"/>
      <c r="CR3" s="895"/>
      <c r="CS3" s="895"/>
      <c r="CT3" s="895"/>
      <c r="CU3" s="895"/>
      <c r="CV3" s="895"/>
      <c r="CW3" s="895"/>
      <c r="CX3" s="895"/>
      <c r="CY3" s="889"/>
      <c r="CZ3" s="895"/>
      <c r="DA3" s="895"/>
      <c r="DB3" s="895"/>
      <c r="DC3" s="895"/>
      <c r="DD3" s="895"/>
      <c r="DE3" s="895"/>
      <c r="DF3" s="895"/>
      <c r="DG3" s="895"/>
      <c r="DH3" s="895"/>
      <c r="DI3" s="895"/>
      <c r="DJ3" s="895"/>
      <c r="DK3" s="895"/>
      <c r="DL3" s="895"/>
      <c r="DM3" s="895"/>
      <c r="DN3" s="895"/>
      <c r="DO3" s="895"/>
      <c r="DP3" s="895"/>
      <c r="DQ3" s="895"/>
      <c r="DR3" s="895"/>
      <c r="DS3" s="895"/>
      <c r="DT3" s="895"/>
      <c r="DU3" s="895"/>
      <c r="DV3" s="895"/>
      <c r="DW3" s="895"/>
      <c r="DX3" s="895"/>
      <c r="DY3" s="895"/>
      <c r="DZ3" s="895"/>
      <c r="EA3" s="895"/>
      <c r="EB3" s="895"/>
      <c r="EC3" s="895"/>
      <c r="ED3" s="889"/>
      <c r="EE3" s="895"/>
      <c r="EF3" s="895"/>
      <c r="EG3" s="895"/>
      <c r="EH3" s="895"/>
      <c r="EI3" s="895"/>
      <c r="EJ3" s="895"/>
      <c r="EK3" s="895"/>
      <c r="EL3" s="895"/>
      <c r="EM3" s="895"/>
      <c r="EN3" s="895"/>
      <c r="EO3" s="895"/>
      <c r="EP3" s="895"/>
      <c r="EQ3" s="895"/>
      <c r="ER3" s="895"/>
      <c r="ES3" s="895"/>
      <c r="ET3" s="895"/>
      <c r="EU3" s="895"/>
      <c r="EV3" s="895"/>
      <c r="EW3" s="895"/>
      <c r="EX3" s="895"/>
      <c r="EY3" s="895"/>
      <c r="EZ3" s="895"/>
      <c r="FA3" s="895"/>
      <c r="FB3" s="895"/>
      <c r="FC3" s="895"/>
      <c r="FD3" s="895"/>
      <c r="FE3" s="895"/>
      <c r="FF3" s="895"/>
      <c r="FG3" s="895"/>
      <c r="FH3" s="895"/>
      <c r="FI3" s="895"/>
      <c r="FJ3" s="889"/>
      <c r="FK3" s="895"/>
      <c r="FL3" s="895"/>
      <c r="FM3" s="895"/>
      <c r="FN3" s="895"/>
      <c r="FO3" s="895"/>
      <c r="FP3" s="895"/>
      <c r="FQ3" s="895"/>
      <c r="FR3" s="895"/>
      <c r="FS3" s="895"/>
      <c r="FT3" s="895"/>
      <c r="FU3" s="895"/>
      <c r="FV3" s="895"/>
      <c r="FW3" s="895"/>
      <c r="FX3" s="895"/>
      <c r="FY3" s="895"/>
      <c r="FZ3" s="895"/>
      <c r="GA3" s="895"/>
      <c r="GB3" s="895"/>
      <c r="GC3" s="895"/>
      <c r="GD3" s="895"/>
      <c r="GE3" s="895"/>
      <c r="GF3" s="895"/>
      <c r="GG3" s="895"/>
      <c r="GH3" s="895"/>
      <c r="GI3" s="895"/>
      <c r="GJ3" s="895"/>
      <c r="GK3" s="895"/>
      <c r="GL3" s="895"/>
      <c r="GM3" s="895"/>
      <c r="GN3" s="895"/>
      <c r="GO3" s="889"/>
      <c r="GP3" s="895"/>
      <c r="GQ3" s="895"/>
      <c r="GR3" s="895"/>
      <c r="GS3" s="895"/>
      <c r="GT3" s="895"/>
      <c r="GU3" s="895"/>
      <c r="GV3" s="895"/>
      <c r="GW3" s="895"/>
      <c r="GX3" s="895"/>
      <c r="GY3" s="895"/>
      <c r="GZ3" s="895"/>
      <c r="HA3" s="895"/>
      <c r="HB3" s="895"/>
      <c r="HC3" s="895"/>
      <c r="HD3" s="895"/>
      <c r="HE3" s="895"/>
      <c r="HF3" s="895"/>
      <c r="HG3" s="895"/>
      <c r="HH3" s="895"/>
      <c r="HI3" s="895"/>
      <c r="HJ3" s="895"/>
      <c r="HK3" s="895"/>
      <c r="HL3" s="895"/>
      <c r="HM3" s="895"/>
      <c r="HN3" s="895"/>
      <c r="HO3" s="895"/>
      <c r="HP3" s="895"/>
      <c r="HQ3" s="895"/>
      <c r="HR3" s="895"/>
      <c r="HS3" s="895"/>
      <c r="HT3" s="895"/>
      <c r="HU3" s="889"/>
      <c r="HV3" s="883"/>
    </row>
    <row r="4" spans="1:230" ht="31.5" customHeight="1" x14ac:dyDescent="0.3">
      <c r="A4" s="297">
        <v>1</v>
      </c>
      <c r="B4" s="872" t="s">
        <v>157</v>
      </c>
      <c r="C4" s="806" t="s">
        <v>442</v>
      </c>
      <c r="D4" s="808"/>
      <c r="E4" s="808"/>
      <c r="F4" s="808"/>
      <c r="G4" s="808"/>
      <c r="H4" s="808"/>
      <c r="I4" s="808"/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8"/>
      <c r="U4" s="808"/>
      <c r="V4" s="808"/>
      <c r="W4" s="808"/>
      <c r="X4" s="808"/>
      <c r="Y4" s="808"/>
      <c r="Z4" s="808"/>
      <c r="AA4" s="808"/>
      <c r="AB4" s="808"/>
      <c r="AC4" s="808"/>
      <c r="AD4" s="808"/>
      <c r="AE4" s="808"/>
      <c r="AF4" s="808"/>
      <c r="AG4" s="808"/>
      <c r="AH4" s="808"/>
      <c r="AI4" s="808"/>
      <c r="AJ4" s="808"/>
      <c r="AK4" s="808"/>
      <c r="AL4" s="808"/>
      <c r="AM4" s="896">
        <f>SUM(I4:AL4)</f>
        <v>0</v>
      </c>
      <c r="AN4" s="896"/>
      <c r="AO4" s="896"/>
      <c r="AP4" s="896"/>
      <c r="AQ4" s="896"/>
      <c r="AR4" s="896"/>
      <c r="AS4" s="896"/>
      <c r="AT4" s="896"/>
      <c r="AU4" s="896"/>
      <c r="AV4" s="896"/>
      <c r="AW4" s="896"/>
      <c r="AX4" s="896"/>
      <c r="AY4" s="896"/>
      <c r="AZ4" s="896"/>
      <c r="BA4" s="896"/>
      <c r="BB4" s="896"/>
      <c r="BC4" s="896"/>
      <c r="BD4" s="896"/>
      <c r="BE4" s="896"/>
      <c r="BF4" s="896"/>
      <c r="BG4" s="896"/>
      <c r="BH4" s="896"/>
      <c r="BI4" s="896"/>
      <c r="BJ4" s="896"/>
      <c r="BK4" s="896"/>
      <c r="BL4" s="896"/>
      <c r="BM4" s="896"/>
      <c r="BN4" s="896"/>
      <c r="BO4" s="896"/>
      <c r="BP4" s="896"/>
      <c r="BQ4" s="896"/>
      <c r="BR4" s="896"/>
      <c r="BS4" s="808">
        <f>SUM(AN4:BR4)</f>
        <v>0</v>
      </c>
      <c r="BT4" s="896"/>
      <c r="BU4" s="896"/>
      <c r="BV4" s="896"/>
      <c r="BW4" s="896"/>
      <c r="BX4" s="896"/>
      <c r="BY4" s="896"/>
      <c r="BZ4" s="896"/>
      <c r="CA4" s="896"/>
      <c r="CB4" s="896"/>
      <c r="CC4" s="896"/>
      <c r="CD4" s="896"/>
      <c r="CE4" s="896"/>
      <c r="CF4" s="896"/>
      <c r="CG4" s="896"/>
      <c r="CH4" s="896"/>
      <c r="CI4" s="896"/>
      <c r="CJ4" s="896"/>
      <c r="CK4" s="896"/>
      <c r="CL4" s="896"/>
      <c r="CM4" s="896"/>
      <c r="CN4" s="896"/>
      <c r="CO4" s="896"/>
      <c r="CP4" s="896"/>
      <c r="CQ4" s="896"/>
      <c r="CR4" s="896"/>
      <c r="CS4" s="896"/>
      <c r="CT4" s="896"/>
      <c r="CU4" s="896"/>
      <c r="CV4" s="896"/>
      <c r="CW4" s="896"/>
      <c r="CX4" s="896"/>
      <c r="CY4" s="808"/>
      <c r="CZ4" s="896"/>
      <c r="DA4" s="896"/>
      <c r="DB4" s="896"/>
      <c r="DC4" s="896"/>
      <c r="DD4" s="896"/>
      <c r="DE4" s="896"/>
      <c r="DF4" s="896"/>
      <c r="DG4" s="896"/>
      <c r="DH4" s="896"/>
      <c r="DI4" s="896"/>
      <c r="DJ4" s="896"/>
      <c r="DK4" s="896"/>
      <c r="DL4" s="896"/>
      <c r="DM4" s="896"/>
      <c r="DN4" s="896"/>
      <c r="DO4" s="896"/>
      <c r="DP4" s="896"/>
      <c r="DQ4" s="896"/>
      <c r="DR4" s="896"/>
      <c r="DS4" s="896"/>
      <c r="DT4" s="896"/>
      <c r="DU4" s="896"/>
      <c r="DV4" s="896"/>
      <c r="DW4" s="896"/>
      <c r="DX4" s="896"/>
      <c r="DY4" s="896"/>
      <c r="DZ4" s="896"/>
      <c r="EA4" s="896"/>
      <c r="EB4" s="896"/>
      <c r="EC4" s="896"/>
      <c r="ED4" s="808"/>
      <c r="EE4" s="896"/>
      <c r="EF4" s="896"/>
      <c r="EG4" s="896"/>
      <c r="EH4" s="896"/>
      <c r="EI4" s="896"/>
      <c r="EJ4" s="896"/>
      <c r="EK4" s="896"/>
      <c r="EL4" s="896"/>
      <c r="EM4" s="896"/>
      <c r="EN4" s="896"/>
      <c r="EO4" s="896"/>
      <c r="EP4" s="896"/>
      <c r="EQ4" s="896"/>
      <c r="ER4" s="896"/>
      <c r="ES4" s="896"/>
      <c r="ET4" s="896"/>
      <c r="EU4" s="896"/>
      <c r="EV4" s="896"/>
      <c r="EW4" s="896"/>
      <c r="EX4" s="896"/>
      <c r="EY4" s="896"/>
      <c r="EZ4" s="896"/>
      <c r="FA4" s="896"/>
      <c r="FB4" s="896"/>
      <c r="FC4" s="896"/>
      <c r="FD4" s="896"/>
      <c r="FE4" s="896"/>
      <c r="FF4" s="896"/>
      <c r="FG4" s="896"/>
      <c r="FH4" s="896"/>
      <c r="FI4" s="896"/>
      <c r="FJ4" s="808"/>
      <c r="FK4" s="896"/>
      <c r="FL4" s="896"/>
      <c r="FM4" s="896"/>
      <c r="FN4" s="896"/>
      <c r="FO4" s="896"/>
      <c r="FP4" s="896"/>
      <c r="FQ4" s="896"/>
      <c r="FR4" s="896"/>
      <c r="FS4" s="896"/>
      <c r="FT4" s="896"/>
      <c r="FU4" s="896"/>
      <c r="FV4" s="896"/>
      <c r="FW4" s="896"/>
      <c r="FX4" s="896"/>
      <c r="FY4" s="896"/>
      <c r="FZ4" s="896"/>
      <c r="GA4" s="896"/>
      <c r="GB4" s="896"/>
      <c r="GC4" s="896"/>
      <c r="GD4" s="896"/>
      <c r="GE4" s="896"/>
      <c r="GF4" s="896"/>
      <c r="GG4" s="896"/>
      <c r="GH4" s="896"/>
      <c r="GI4" s="896"/>
      <c r="GJ4" s="896"/>
      <c r="GK4" s="896"/>
      <c r="GL4" s="896"/>
      <c r="GM4" s="896"/>
      <c r="GN4" s="896"/>
      <c r="GO4" s="808"/>
      <c r="GP4" s="896"/>
      <c r="GQ4" s="896"/>
      <c r="GR4" s="896"/>
      <c r="GS4" s="896"/>
      <c r="GT4" s="896"/>
      <c r="GU4" s="896"/>
      <c r="GV4" s="896"/>
      <c r="GW4" s="896"/>
      <c r="GX4" s="896"/>
      <c r="GY4" s="896"/>
      <c r="GZ4" s="896"/>
      <c r="HA4" s="896"/>
      <c r="HB4" s="896"/>
      <c r="HC4" s="896"/>
      <c r="HD4" s="896"/>
      <c r="HE4" s="896"/>
      <c r="HF4" s="896"/>
      <c r="HG4" s="896"/>
      <c r="HH4" s="896"/>
      <c r="HI4" s="896"/>
      <c r="HJ4" s="896"/>
      <c r="HK4" s="896"/>
      <c r="HL4" s="896"/>
      <c r="HM4" s="896"/>
      <c r="HN4" s="896"/>
      <c r="HO4" s="896"/>
      <c r="HP4" s="896"/>
      <c r="HQ4" s="896"/>
      <c r="HR4" s="896"/>
      <c r="HS4" s="896"/>
      <c r="HT4" s="896"/>
      <c r="HU4" s="808"/>
      <c r="HV4" s="849">
        <f>'vacaciones 2021'!U4</f>
        <v>0</v>
      </c>
    </row>
    <row r="5" spans="1:230" ht="31.5" customHeight="1" x14ac:dyDescent="0.3">
      <c r="A5" s="297">
        <v>2</v>
      </c>
      <c r="B5" s="808" t="s">
        <v>57</v>
      </c>
      <c r="C5" s="806" t="s">
        <v>432</v>
      </c>
      <c r="D5" s="808"/>
      <c r="E5" s="808"/>
      <c r="F5" s="808"/>
      <c r="G5" s="808"/>
      <c r="H5" s="786"/>
      <c r="I5" s="786"/>
      <c r="J5" s="786"/>
      <c r="K5" s="786"/>
      <c r="L5" s="786"/>
      <c r="M5" s="786"/>
      <c r="N5" s="786"/>
      <c r="O5" s="786"/>
      <c r="P5" s="786"/>
      <c r="Q5" s="786"/>
      <c r="R5" s="786"/>
      <c r="S5" s="786"/>
      <c r="T5" s="786"/>
      <c r="U5" s="786"/>
      <c r="V5" s="786"/>
      <c r="W5" s="786"/>
      <c r="X5" s="786"/>
      <c r="Y5" s="786"/>
      <c r="Z5" s="786"/>
      <c r="AA5" s="786"/>
      <c r="AB5" s="786"/>
      <c r="AC5" s="786"/>
      <c r="AD5" s="786"/>
      <c r="AE5" s="786"/>
      <c r="AF5" s="786"/>
      <c r="AG5" s="786"/>
      <c r="AH5" s="786"/>
      <c r="AI5" s="786"/>
      <c r="AJ5" s="786"/>
      <c r="AK5" s="786"/>
      <c r="AL5" s="786"/>
      <c r="AM5" s="896">
        <f t="shared" ref="AM5:AM50" si="0">SUM(I5:AL5)</f>
        <v>0</v>
      </c>
      <c r="AN5" s="896"/>
      <c r="AO5" s="896"/>
      <c r="AP5" s="896"/>
      <c r="AQ5" s="896"/>
      <c r="AR5" s="896"/>
      <c r="AS5" s="896"/>
      <c r="AT5" s="896"/>
      <c r="AU5" s="896"/>
      <c r="AV5" s="896"/>
      <c r="AW5" s="896"/>
      <c r="AX5" s="896"/>
      <c r="AY5" s="896"/>
      <c r="AZ5" s="896"/>
      <c r="BA5" s="896"/>
      <c r="BB5" s="896"/>
      <c r="BC5" s="896"/>
      <c r="BD5" s="896"/>
      <c r="BE5" s="896"/>
      <c r="BF5" s="896"/>
      <c r="BG5" s="896"/>
      <c r="BH5" s="896"/>
      <c r="BI5" s="896"/>
      <c r="BJ5" s="896"/>
      <c r="BK5" s="896"/>
      <c r="BL5" s="896"/>
      <c r="BM5" s="896"/>
      <c r="BN5" s="896"/>
      <c r="BO5" s="896"/>
      <c r="BP5" s="896"/>
      <c r="BQ5" s="896"/>
      <c r="BR5" s="896"/>
      <c r="BS5" s="808">
        <f>SUM(AN5:BR5)</f>
        <v>0</v>
      </c>
      <c r="BT5" s="896"/>
      <c r="BU5" s="896"/>
      <c r="BV5" s="896"/>
      <c r="BW5" s="896"/>
      <c r="BX5" s="896"/>
      <c r="BY5" s="896"/>
      <c r="BZ5" s="896"/>
      <c r="CA5" s="896"/>
      <c r="CB5" s="896"/>
      <c r="CC5" s="896"/>
      <c r="CD5" s="896"/>
      <c r="CE5" s="896"/>
      <c r="CF5" s="896"/>
      <c r="CG5" s="896"/>
      <c r="CH5" s="896"/>
      <c r="CI5" s="896"/>
      <c r="CJ5" s="896"/>
      <c r="CK5" s="896"/>
      <c r="CL5" s="896"/>
      <c r="CM5" s="896"/>
      <c r="CN5" s="896"/>
      <c r="CO5" s="896"/>
      <c r="CP5" s="896"/>
      <c r="CQ5" s="896"/>
      <c r="CR5" s="896"/>
      <c r="CS5" s="896"/>
      <c r="CT5" s="896"/>
      <c r="CU5" s="896"/>
      <c r="CV5" s="896"/>
      <c r="CW5" s="896"/>
      <c r="CX5" s="896"/>
      <c r="CY5" s="786"/>
      <c r="CZ5" s="896"/>
      <c r="DA5" s="896"/>
      <c r="DB5" s="896"/>
      <c r="DC5" s="896"/>
      <c r="DD5" s="896"/>
      <c r="DE5" s="896"/>
      <c r="DF5" s="896"/>
      <c r="DG5" s="896"/>
      <c r="DH5" s="896"/>
      <c r="DI5" s="896"/>
      <c r="DJ5" s="896"/>
      <c r="DK5" s="896"/>
      <c r="DL5" s="896"/>
      <c r="DM5" s="896"/>
      <c r="DN5" s="896"/>
      <c r="DO5" s="896"/>
      <c r="DP5" s="896"/>
      <c r="DQ5" s="896"/>
      <c r="DR5" s="896"/>
      <c r="DS5" s="896"/>
      <c r="DT5" s="896"/>
      <c r="DU5" s="896"/>
      <c r="DV5" s="896"/>
      <c r="DW5" s="896"/>
      <c r="DX5" s="896"/>
      <c r="DY5" s="896"/>
      <c r="DZ5" s="896"/>
      <c r="EA5" s="896"/>
      <c r="EB5" s="896"/>
      <c r="EC5" s="896"/>
      <c r="ED5" s="786"/>
      <c r="EE5" s="896"/>
      <c r="EF5" s="896"/>
      <c r="EG5" s="896"/>
      <c r="EH5" s="896"/>
      <c r="EI5" s="896"/>
      <c r="EJ5" s="896"/>
      <c r="EK5" s="896"/>
      <c r="EL5" s="896"/>
      <c r="EM5" s="896"/>
      <c r="EN5" s="896"/>
      <c r="EO5" s="896"/>
      <c r="EP5" s="896"/>
      <c r="EQ5" s="896"/>
      <c r="ER5" s="896"/>
      <c r="ES5" s="896"/>
      <c r="ET5" s="896"/>
      <c r="EU5" s="896"/>
      <c r="EV5" s="896"/>
      <c r="EW5" s="896"/>
      <c r="EX5" s="896"/>
      <c r="EY5" s="896"/>
      <c r="EZ5" s="896"/>
      <c r="FA5" s="896"/>
      <c r="FB5" s="896"/>
      <c r="FC5" s="896"/>
      <c r="FD5" s="896"/>
      <c r="FE5" s="896"/>
      <c r="FF5" s="896"/>
      <c r="FG5" s="896"/>
      <c r="FH5" s="896"/>
      <c r="FI5" s="896"/>
      <c r="FJ5" s="786"/>
      <c r="FK5" s="896"/>
      <c r="FL5" s="896"/>
      <c r="FM5" s="896"/>
      <c r="FN5" s="896"/>
      <c r="FO5" s="896"/>
      <c r="FP5" s="896"/>
      <c r="FQ5" s="896"/>
      <c r="FR5" s="896"/>
      <c r="FS5" s="896"/>
      <c r="FT5" s="896"/>
      <c r="FU5" s="896"/>
      <c r="FV5" s="896"/>
      <c r="FW5" s="896"/>
      <c r="FX5" s="896"/>
      <c r="FY5" s="896"/>
      <c r="FZ5" s="896"/>
      <c r="GA5" s="896"/>
      <c r="GB5" s="896"/>
      <c r="GC5" s="896"/>
      <c r="GD5" s="896"/>
      <c r="GE5" s="896"/>
      <c r="GF5" s="896"/>
      <c r="GG5" s="896"/>
      <c r="GH5" s="896"/>
      <c r="GI5" s="896"/>
      <c r="GJ5" s="896"/>
      <c r="GK5" s="896"/>
      <c r="GL5" s="896"/>
      <c r="GM5" s="896"/>
      <c r="GN5" s="896"/>
      <c r="GO5" s="786"/>
      <c r="GP5" s="896"/>
      <c r="GQ5" s="896"/>
      <c r="GR5" s="896"/>
      <c r="GS5" s="896"/>
      <c r="GT5" s="896"/>
      <c r="GU5" s="896"/>
      <c r="GV5" s="896"/>
      <c r="GW5" s="896"/>
      <c r="GX5" s="896"/>
      <c r="GY5" s="896"/>
      <c r="GZ5" s="896"/>
      <c r="HA5" s="896"/>
      <c r="HB5" s="896"/>
      <c r="HC5" s="896"/>
      <c r="HD5" s="896"/>
      <c r="HE5" s="896"/>
      <c r="HF5" s="896"/>
      <c r="HG5" s="896"/>
      <c r="HH5" s="896"/>
      <c r="HI5" s="896"/>
      <c r="HJ5" s="896"/>
      <c r="HK5" s="896"/>
      <c r="HL5" s="896"/>
      <c r="HM5" s="896"/>
      <c r="HN5" s="896"/>
      <c r="HO5" s="896"/>
      <c r="HP5" s="896"/>
      <c r="HQ5" s="896"/>
      <c r="HR5" s="896"/>
      <c r="HS5" s="896"/>
      <c r="HT5" s="896"/>
      <c r="HU5" s="786"/>
      <c r="HV5" s="849">
        <f>'vacaciones 2021'!U5</f>
        <v>60</v>
      </c>
    </row>
    <row r="6" spans="1:230" ht="31.5" customHeight="1" x14ac:dyDescent="0.3">
      <c r="A6" s="297">
        <v>3</v>
      </c>
      <c r="B6" s="808" t="s">
        <v>108</v>
      </c>
      <c r="C6" s="852" t="s">
        <v>443</v>
      </c>
      <c r="D6" s="808"/>
      <c r="E6" s="808"/>
      <c r="F6" s="808"/>
      <c r="G6" s="808"/>
      <c r="H6" s="808"/>
      <c r="I6" s="808"/>
      <c r="J6" s="808"/>
      <c r="K6" s="808"/>
      <c r="L6" s="808"/>
      <c r="M6" s="808"/>
      <c r="N6" s="808"/>
      <c r="O6" s="808"/>
      <c r="P6" s="808"/>
      <c r="Q6" s="808"/>
      <c r="R6" s="808"/>
      <c r="S6" s="808"/>
      <c r="T6" s="808"/>
      <c r="U6" s="808"/>
      <c r="V6" s="808"/>
      <c r="W6" s="808"/>
      <c r="X6" s="808"/>
      <c r="Y6" s="808"/>
      <c r="Z6" s="808"/>
      <c r="AA6" s="808"/>
      <c r="AB6" s="808"/>
      <c r="AC6" s="808"/>
      <c r="AD6" s="808"/>
      <c r="AE6" s="808"/>
      <c r="AF6" s="808"/>
      <c r="AG6" s="808"/>
      <c r="AH6" s="808"/>
      <c r="AI6" s="808"/>
      <c r="AJ6" s="808"/>
      <c r="AK6" s="808"/>
      <c r="AL6" s="808"/>
      <c r="AM6" s="896">
        <f t="shared" si="0"/>
        <v>0</v>
      </c>
      <c r="AN6" s="896"/>
      <c r="AO6" s="896"/>
      <c r="AP6" s="896"/>
      <c r="AQ6" s="896"/>
      <c r="AR6" s="896"/>
      <c r="AS6" s="896"/>
      <c r="AT6" s="896"/>
      <c r="AU6" s="896"/>
      <c r="AV6" s="896"/>
      <c r="AW6" s="896"/>
      <c r="AX6" s="896"/>
      <c r="AY6" s="896"/>
      <c r="AZ6" s="896"/>
      <c r="BA6" s="896"/>
      <c r="BB6" s="896"/>
      <c r="BC6" s="896"/>
      <c r="BD6" s="896"/>
      <c r="BE6" s="896"/>
      <c r="BF6" s="896"/>
      <c r="BG6" s="896"/>
      <c r="BH6" s="896"/>
      <c r="BI6" s="896"/>
      <c r="BJ6" s="896"/>
      <c r="BK6" s="896"/>
      <c r="BL6" s="896"/>
      <c r="BM6" s="896"/>
      <c r="BN6" s="896"/>
      <c r="BO6" s="896"/>
      <c r="BP6" s="896"/>
      <c r="BQ6" s="896"/>
      <c r="BR6" s="896"/>
      <c r="BS6" s="808">
        <f>SUM(AN6:BR6)</f>
        <v>0</v>
      </c>
      <c r="BT6" s="896"/>
      <c r="BU6" s="896"/>
      <c r="BV6" s="896"/>
      <c r="BW6" s="896"/>
      <c r="BX6" s="896"/>
      <c r="BY6" s="896"/>
      <c r="BZ6" s="896"/>
      <c r="CA6" s="896"/>
      <c r="CB6" s="896"/>
      <c r="CC6" s="896"/>
      <c r="CD6" s="896"/>
      <c r="CE6" s="896"/>
      <c r="CF6" s="896"/>
      <c r="CG6" s="896"/>
      <c r="CH6" s="896"/>
      <c r="CI6" s="896"/>
      <c r="CJ6" s="896"/>
      <c r="CK6" s="896"/>
      <c r="CL6" s="896"/>
      <c r="CM6" s="896"/>
      <c r="CN6" s="896"/>
      <c r="CO6" s="896"/>
      <c r="CP6" s="896"/>
      <c r="CQ6" s="896"/>
      <c r="CR6" s="896"/>
      <c r="CS6" s="896"/>
      <c r="CT6" s="896"/>
      <c r="CU6" s="896"/>
      <c r="CV6" s="896"/>
      <c r="CW6" s="896"/>
      <c r="CX6" s="896"/>
      <c r="CY6" s="808"/>
      <c r="CZ6" s="896"/>
      <c r="DA6" s="896"/>
      <c r="DB6" s="896"/>
      <c r="DC6" s="896"/>
      <c r="DD6" s="896"/>
      <c r="DE6" s="896"/>
      <c r="DF6" s="896"/>
      <c r="DG6" s="896"/>
      <c r="DH6" s="896"/>
      <c r="DI6" s="896"/>
      <c r="DJ6" s="896"/>
      <c r="DK6" s="896"/>
      <c r="DL6" s="896"/>
      <c r="DM6" s="896"/>
      <c r="DN6" s="896"/>
      <c r="DO6" s="896"/>
      <c r="DP6" s="896"/>
      <c r="DQ6" s="896"/>
      <c r="DR6" s="896"/>
      <c r="DS6" s="896"/>
      <c r="DT6" s="896"/>
      <c r="DU6" s="896"/>
      <c r="DV6" s="896"/>
      <c r="DW6" s="896"/>
      <c r="DX6" s="896"/>
      <c r="DY6" s="896"/>
      <c r="DZ6" s="896"/>
      <c r="EA6" s="896"/>
      <c r="EB6" s="896"/>
      <c r="EC6" s="896"/>
      <c r="ED6" s="808"/>
      <c r="EE6" s="896"/>
      <c r="EF6" s="896"/>
      <c r="EG6" s="896"/>
      <c r="EH6" s="896"/>
      <c r="EI6" s="896"/>
      <c r="EJ6" s="896"/>
      <c r="EK6" s="896"/>
      <c r="EL6" s="896"/>
      <c r="EM6" s="896"/>
      <c r="EN6" s="896"/>
      <c r="EO6" s="896"/>
      <c r="EP6" s="896"/>
      <c r="EQ6" s="896"/>
      <c r="ER6" s="896"/>
      <c r="ES6" s="896"/>
      <c r="ET6" s="896"/>
      <c r="EU6" s="896"/>
      <c r="EV6" s="896"/>
      <c r="EW6" s="896"/>
      <c r="EX6" s="896"/>
      <c r="EY6" s="896"/>
      <c r="EZ6" s="896"/>
      <c r="FA6" s="896"/>
      <c r="FB6" s="896"/>
      <c r="FC6" s="896"/>
      <c r="FD6" s="896"/>
      <c r="FE6" s="896"/>
      <c r="FF6" s="896"/>
      <c r="FG6" s="896"/>
      <c r="FH6" s="896"/>
      <c r="FI6" s="896"/>
      <c r="FJ6" s="808"/>
      <c r="FK6" s="896"/>
      <c r="FL6" s="896"/>
      <c r="FM6" s="896"/>
      <c r="FN6" s="896"/>
      <c r="FO6" s="896"/>
      <c r="FP6" s="896"/>
      <c r="FQ6" s="896"/>
      <c r="FR6" s="896"/>
      <c r="FS6" s="896"/>
      <c r="FT6" s="896"/>
      <c r="FU6" s="896"/>
      <c r="FV6" s="896"/>
      <c r="FW6" s="896"/>
      <c r="FX6" s="896"/>
      <c r="FY6" s="896"/>
      <c r="FZ6" s="896"/>
      <c r="GA6" s="896"/>
      <c r="GB6" s="896"/>
      <c r="GC6" s="896"/>
      <c r="GD6" s="896"/>
      <c r="GE6" s="896"/>
      <c r="GF6" s="896"/>
      <c r="GG6" s="896"/>
      <c r="GH6" s="896"/>
      <c r="GI6" s="896"/>
      <c r="GJ6" s="896"/>
      <c r="GK6" s="896"/>
      <c r="GL6" s="896"/>
      <c r="GM6" s="896"/>
      <c r="GN6" s="896"/>
      <c r="GO6" s="808"/>
      <c r="GP6" s="896"/>
      <c r="GQ6" s="896"/>
      <c r="GR6" s="896"/>
      <c r="GS6" s="896"/>
      <c r="GT6" s="896"/>
      <c r="GU6" s="896"/>
      <c r="GV6" s="896"/>
      <c r="GW6" s="896"/>
      <c r="GX6" s="896"/>
      <c r="GY6" s="896"/>
      <c r="GZ6" s="896"/>
      <c r="HA6" s="896"/>
      <c r="HB6" s="896"/>
      <c r="HC6" s="896"/>
      <c r="HD6" s="896"/>
      <c r="HE6" s="896"/>
      <c r="HF6" s="896"/>
      <c r="HG6" s="896"/>
      <c r="HH6" s="896"/>
      <c r="HI6" s="896"/>
      <c r="HJ6" s="896"/>
      <c r="HK6" s="896"/>
      <c r="HL6" s="896"/>
      <c r="HM6" s="896"/>
      <c r="HN6" s="896"/>
      <c r="HO6" s="896"/>
      <c r="HP6" s="896"/>
      <c r="HQ6" s="896"/>
      <c r="HR6" s="896"/>
      <c r="HS6" s="896"/>
      <c r="HT6" s="896"/>
      <c r="HU6" s="808"/>
      <c r="HV6" s="849">
        <f>'vacaciones 2021'!U6</f>
        <v>33</v>
      </c>
    </row>
    <row r="7" spans="1:230" ht="31.5" customHeight="1" x14ac:dyDescent="0.3">
      <c r="A7" s="297"/>
      <c r="B7" s="881" t="s">
        <v>449</v>
      </c>
      <c r="C7" s="882"/>
      <c r="D7" s="888"/>
      <c r="E7" s="889"/>
      <c r="F7" s="889"/>
      <c r="G7" s="889"/>
      <c r="H7" s="889"/>
      <c r="I7" s="889"/>
      <c r="J7" s="889"/>
      <c r="K7" s="889"/>
      <c r="L7" s="889"/>
      <c r="M7" s="889"/>
      <c r="N7" s="889"/>
      <c r="O7" s="889"/>
      <c r="P7" s="889"/>
      <c r="Q7" s="889"/>
      <c r="R7" s="889"/>
      <c r="S7" s="889"/>
      <c r="T7" s="889"/>
      <c r="U7" s="889"/>
      <c r="V7" s="889"/>
      <c r="W7" s="889"/>
      <c r="X7" s="889"/>
      <c r="Y7" s="889"/>
      <c r="Z7" s="889"/>
      <c r="AA7" s="889"/>
      <c r="AB7" s="889"/>
      <c r="AC7" s="889"/>
      <c r="AD7" s="889"/>
      <c r="AE7" s="889"/>
      <c r="AF7" s="889"/>
      <c r="AG7" s="889"/>
      <c r="AH7" s="889"/>
      <c r="AI7" s="889"/>
      <c r="AJ7" s="889"/>
      <c r="AK7" s="889"/>
      <c r="AL7" s="889"/>
      <c r="AM7" s="895"/>
      <c r="AN7" s="895"/>
      <c r="AO7" s="895"/>
      <c r="AP7" s="895"/>
      <c r="AQ7" s="895"/>
      <c r="AR7" s="895"/>
      <c r="AS7" s="895"/>
      <c r="AT7" s="895"/>
      <c r="AU7" s="895"/>
      <c r="AV7" s="895"/>
      <c r="AW7" s="895"/>
      <c r="AX7" s="895"/>
      <c r="AY7" s="895"/>
      <c r="AZ7" s="895"/>
      <c r="BA7" s="895"/>
      <c r="BB7" s="895"/>
      <c r="BC7" s="895"/>
      <c r="BD7" s="895"/>
      <c r="BE7" s="895"/>
      <c r="BF7" s="895"/>
      <c r="BG7" s="895"/>
      <c r="BH7" s="895"/>
      <c r="BI7" s="895"/>
      <c r="BJ7" s="895"/>
      <c r="BK7" s="895"/>
      <c r="BL7" s="895"/>
      <c r="BM7" s="895"/>
      <c r="BN7" s="895"/>
      <c r="BO7" s="895"/>
      <c r="BP7" s="895"/>
      <c r="BQ7" s="895"/>
      <c r="BR7" s="895"/>
      <c r="BS7" s="889"/>
      <c r="BT7" s="895"/>
      <c r="BU7" s="895"/>
      <c r="BV7" s="895"/>
      <c r="BW7" s="895"/>
      <c r="BX7" s="895"/>
      <c r="BY7" s="895"/>
      <c r="BZ7" s="895"/>
      <c r="CA7" s="895"/>
      <c r="CB7" s="895"/>
      <c r="CC7" s="895"/>
      <c r="CD7" s="895"/>
      <c r="CE7" s="895"/>
      <c r="CF7" s="895"/>
      <c r="CG7" s="895"/>
      <c r="CH7" s="895"/>
      <c r="CI7" s="895"/>
      <c r="CJ7" s="895"/>
      <c r="CK7" s="895"/>
      <c r="CL7" s="895"/>
      <c r="CM7" s="895"/>
      <c r="CN7" s="895"/>
      <c r="CO7" s="895"/>
      <c r="CP7" s="895"/>
      <c r="CQ7" s="895"/>
      <c r="CR7" s="895"/>
      <c r="CS7" s="895"/>
      <c r="CT7" s="895"/>
      <c r="CU7" s="895"/>
      <c r="CV7" s="895"/>
      <c r="CW7" s="895"/>
      <c r="CX7" s="895"/>
      <c r="CY7" s="889"/>
      <c r="CZ7" s="895"/>
      <c r="DA7" s="895"/>
      <c r="DB7" s="895"/>
      <c r="DC7" s="895"/>
      <c r="DD7" s="895"/>
      <c r="DE7" s="895"/>
      <c r="DF7" s="895"/>
      <c r="DG7" s="895"/>
      <c r="DH7" s="895"/>
      <c r="DI7" s="895"/>
      <c r="DJ7" s="895"/>
      <c r="DK7" s="895"/>
      <c r="DL7" s="895"/>
      <c r="DM7" s="895"/>
      <c r="DN7" s="895"/>
      <c r="DO7" s="895"/>
      <c r="DP7" s="895"/>
      <c r="DQ7" s="895"/>
      <c r="DR7" s="895"/>
      <c r="DS7" s="895"/>
      <c r="DT7" s="895"/>
      <c r="DU7" s="895"/>
      <c r="DV7" s="895"/>
      <c r="DW7" s="895"/>
      <c r="DX7" s="895"/>
      <c r="DY7" s="895"/>
      <c r="DZ7" s="895"/>
      <c r="EA7" s="895"/>
      <c r="EB7" s="895"/>
      <c r="EC7" s="895"/>
      <c r="ED7" s="889"/>
      <c r="EE7" s="895"/>
      <c r="EF7" s="895"/>
      <c r="EG7" s="895"/>
      <c r="EH7" s="895"/>
      <c r="EI7" s="895"/>
      <c r="EJ7" s="895"/>
      <c r="EK7" s="895"/>
      <c r="EL7" s="895"/>
      <c r="EM7" s="895"/>
      <c r="EN7" s="895"/>
      <c r="EO7" s="895"/>
      <c r="EP7" s="895"/>
      <c r="EQ7" s="895"/>
      <c r="ER7" s="895"/>
      <c r="ES7" s="895"/>
      <c r="ET7" s="895"/>
      <c r="EU7" s="895"/>
      <c r="EV7" s="895"/>
      <c r="EW7" s="895"/>
      <c r="EX7" s="895"/>
      <c r="EY7" s="895"/>
      <c r="EZ7" s="895"/>
      <c r="FA7" s="895"/>
      <c r="FB7" s="895"/>
      <c r="FC7" s="895"/>
      <c r="FD7" s="895"/>
      <c r="FE7" s="895"/>
      <c r="FF7" s="895"/>
      <c r="FG7" s="895"/>
      <c r="FH7" s="895"/>
      <c r="FI7" s="895"/>
      <c r="FJ7" s="889"/>
      <c r="FK7" s="895"/>
      <c r="FL7" s="895"/>
      <c r="FM7" s="895"/>
      <c r="FN7" s="895"/>
      <c r="FO7" s="895"/>
      <c r="FP7" s="895"/>
      <c r="FQ7" s="895"/>
      <c r="FR7" s="895"/>
      <c r="FS7" s="895"/>
      <c r="FT7" s="895"/>
      <c r="FU7" s="895"/>
      <c r="FV7" s="895"/>
      <c r="FW7" s="895"/>
      <c r="FX7" s="895"/>
      <c r="FY7" s="895"/>
      <c r="FZ7" s="895"/>
      <c r="GA7" s="895"/>
      <c r="GB7" s="895"/>
      <c r="GC7" s="895"/>
      <c r="GD7" s="895"/>
      <c r="GE7" s="895"/>
      <c r="GF7" s="895"/>
      <c r="GG7" s="895"/>
      <c r="GH7" s="895"/>
      <c r="GI7" s="895"/>
      <c r="GJ7" s="895"/>
      <c r="GK7" s="895"/>
      <c r="GL7" s="895"/>
      <c r="GM7" s="895"/>
      <c r="GN7" s="895"/>
      <c r="GO7" s="889"/>
      <c r="GP7" s="895"/>
      <c r="GQ7" s="895"/>
      <c r="GR7" s="895"/>
      <c r="GS7" s="895"/>
      <c r="GT7" s="895"/>
      <c r="GU7" s="895"/>
      <c r="GV7" s="895"/>
      <c r="GW7" s="895"/>
      <c r="GX7" s="895"/>
      <c r="GY7" s="895"/>
      <c r="GZ7" s="895"/>
      <c r="HA7" s="895"/>
      <c r="HB7" s="895"/>
      <c r="HC7" s="895"/>
      <c r="HD7" s="895"/>
      <c r="HE7" s="895"/>
      <c r="HF7" s="895"/>
      <c r="HG7" s="895"/>
      <c r="HH7" s="895"/>
      <c r="HI7" s="895"/>
      <c r="HJ7" s="895"/>
      <c r="HK7" s="895"/>
      <c r="HL7" s="895"/>
      <c r="HM7" s="895"/>
      <c r="HN7" s="895"/>
      <c r="HO7" s="895"/>
      <c r="HP7" s="895"/>
      <c r="HQ7" s="895"/>
      <c r="HR7" s="895"/>
      <c r="HS7" s="895"/>
      <c r="HT7" s="895"/>
      <c r="HU7" s="889"/>
      <c r="HV7" s="883"/>
    </row>
    <row r="8" spans="1:230" ht="31.5" customHeight="1" x14ac:dyDescent="0.3">
      <c r="A8" s="297">
        <v>4</v>
      </c>
      <c r="B8" s="808" t="s">
        <v>150</v>
      </c>
      <c r="C8" s="839" t="s">
        <v>435</v>
      </c>
      <c r="D8" s="808"/>
      <c r="E8" s="808"/>
      <c r="F8" s="808"/>
      <c r="G8" s="808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>
        <v>1</v>
      </c>
      <c r="Z8" s="786"/>
      <c r="AA8" s="786"/>
      <c r="AB8" s="786"/>
      <c r="AC8" s="786"/>
      <c r="AD8" s="786"/>
      <c r="AE8" s="786"/>
      <c r="AF8" s="786"/>
      <c r="AG8" s="786"/>
      <c r="AH8" s="786"/>
      <c r="AI8" s="786"/>
      <c r="AJ8" s="786"/>
      <c r="AK8" s="786"/>
      <c r="AL8" s="786"/>
      <c r="AM8" s="896">
        <f t="shared" si="0"/>
        <v>1</v>
      </c>
      <c r="AN8" s="896"/>
      <c r="AO8" s="896"/>
      <c r="AP8" s="896"/>
      <c r="AQ8" s="896"/>
      <c r="AR8" s="896"/>
      <c r="AS8" s="896"/>
      <c r="AT8" s="896"/>
      <c r="AU8" s="896"/>
      <c r="AV8" s="896"/>
      <c r="AW8" s="896"/>
      <c r="AX8" s="896"/>
      <c r="AY8" s="896"/>
      <c r="AZ8" s="896"/>
      <c r="BA8" s="896"/>
      <c r="BB8" s="896"/>
      <c r="BC8" s="896"/>
      <c r="BD8" s="896"/>
      <c r="BE8" s="896"/>
      <c r="BF8" s="896"/>
      <c r="BG8" s="896"/>
      <c r="BH8" s="896"/>
      <c r="BI8" s="896"/>
      <c r="BJ8" s="896"/>
      <c r="BK8" s="896"/>
      <c r="BL8" s="896"/>
      <c r="BM8" s="896"/>
      <c r="BN8" s="896"/>
      <c r="BO8" s="896"/>
      <c r="BP8" s="896"/>
      <c r="BQ8" s="896"/>
      <c r="BR8" s="896"/>
      <c r="BS8" s="786"/>
      <c r="BT8" s="896"/>
      <c r="BU8" s="896"/>
      <c r="BV8" s="896"/>
      <c r="BW8" s="896"/>
      <c r="BX8" s="896"/>
      <c r="BY8" s="896"/>
      <c r="BZ8" s="896"/>
      <c r="CA8" s="896"/>
      <c r="CB8" s="896"/>
      <c r="CC8" s="896"/>
      <c r="CD8" s="896"/>
      <c r="CE8" s="896"/>
      <c r="CF8" s="896"/>
      <c r="CG8" s="896"/>
      <c r="CH8" s="896"/>
      <c r="CI8" s="896"/>
      <c r="CJ8" s="896"/>
      <c r="CK8" s="896"/>
      <c r="CL8" s="896"/>
      <c r="CM8" s="896"/>
      <c r="CN8" s="896"/>
      <c r="CO8" s="896"/>
      <c r="CP8" s="896"/>
      <c r="CQ8" s="896"/>
      <c r="CR8" s="896"/>
      <c r="CS8" s="896"/>
      <c r="CT8" s="896"/>
      <c r="CU8" s="896"/>
      <c r="CV8" s="896"/>
      <c r="CW8" s="896"/>
      <c r="CX8" s="896"/>
      <c r="CY8" s="786"/>
      <c r="CZ8" s="896"/>
      <c r="DA8" s="896"/>
      <c r="DB8" s="896"/>
      <c r="DC8" s="896"/>
      <c r="DD8" s="896"/>
      <c r="DE8" s="896"/>
      <c r="DF8" s="896"/>
      <c r="DG8" s="896"/>
      <c r="DH8" s="896"/>
      <c r="DI8" s="896"/>
      <c r="DJ8" s="896"/>
      <c r="DK8" s="896"/>
      <c r="DL8" s="896"/>
      <c r="DM8" s="896"/>
      <c r="DN8" s="896"/>
      <c r="DO8" s="896"/>
      <c r="DP8" s="896"/>
      <c r="DQ8" s="896"/>
      <c r="DR8" s="896"/>
      <c r="DS8" s="896"/>
      <c r="DT8" s="896"/>
      <c r="DU8" s="896"/>
      <c r="DV8" s="896"/>
      <c r="DW8" s="896"/>
      <c r="DX8" s="896"/>
      <c r="DY8" s="896"/>
      <c r="DZ8" s="896"/>
      <c r="EA8" s="896"/>
      <c r="EB8" s="896"/>
      <c r="EC8" s="896"/>
      <c r="ED8" s="786"/>
      <c r="EE8" s="896"/>
      <c r="EF8" s="896"/>
      <c r="EG8" s="896"/>
      <c r="EH8" s="896"/>
      <c r="EI8" s="896"/>
      <c r="EJ8" s="896"/>
      <c r="EK8" s="896"/>
      <c r="EL8" s="896"/>
      <c r="EM8" s="896"/>
      <c r="EN8" s="896"/>
      <c r="EO8" s="896"/>
      <c r="EP8" s="896"/>
      <c r="EQ8" s="896"/>
      <c r="ER8" s="896"/>
      <c r="ES8" s="896"/>
      <c r="ET8" s="896"/>
      <c r="EU8" s="896"/>
      <c r="EV8" s="896"/>
      <c r="EW8" s="896"/>
      <c r="EX8" s="896"/>
      <c r="EY8" s="896"/>
      <c r="EZ8" s="896"/>
      <c r="FA8" s="896"/>
      <c r="FB8" s="896"/>
      <c r="FC8" s="896"/>
      <c r="FD8" s="896"/>
      <c r="FE8" s="896"/>
      <c r="FF8" s="896"/>
      <c r="FG8" s="896"/>
      <c r="FH8" s="896"/>
      <c r="FI8" s="896"/>
      <c r="FJ8" s="786"/>
      <c r="FK8" s="896"/>
      <c r="FL8" s="896"/>
      <c r="FM8" s="896"/>
      <c r="FN8" s="896"/>
      <c r="FO8" s="896"/>
      <c r="FP8" s="896"/>
      <c r="FQ8" s="896"/>
      <c r="FR8" s="896"/>
      <c r="FS8" s="896"/>
      <c r="FT8" s="896"/>
      <c r="FU8" s="896"/>
      <c r="FV8" s="896"/>
      <c r="FW8" s="896"/>
      <c r="FX8" s="896"/>
      <c r="FY8" s="896"/>
      <c r="FZ8" s="896"/>
      <c r="GA8" s="896"/>
      <c r="GB8" s="896"/>
      <c r="GC8" s="896"/>
      <c r="GD8" s="896"/>
      <c r="GE8" s="896"/>
      <c r="GF8" s="896"/>
      <c r="GG8" s="896"/>
      <c r="GH8" s="896"/>
      <c r="GI8" s="896"/>
      <c r="GJ8" s="896"/>
      <c r="GK8" s="896"/>
      <c r="GL8" s="896"/>
      <c r="GM8" s="896"/>
      <c r="GN8" s="896"/>
      <c r="GO8" s="786"/>
      <c r="GP8" s="896"/>
      <c r="GQ8" s="896"/>
      <c r="GR8" s="896"/>
      <c r="GS8" s="896"/>
      <c r="GT8" s="896"/>
      <c r="GU8" s="896"/>
      <c r="GV8" s="896"/>
      <c r="GW8" s="896"/>
      <c r="GX8" s="896"/>
      <c r="GY8" s="896"/>
      <c r="GZ8" s="896"/>
      <c r="HA8" s="896"/>
      <c r="HB8" s="896"/>
      <c r="HC8" s="896"/>
      <c r="HD8" s="896"/>
      <c r="HE8" s="896"/>
      <c r="HF8" s="896"/>
      <c r="HG8" s="896"/>
      <c r="HH8" s="896"/>
      <c r="HI8" s="896"/>
      <c r="HJ8" s="896"/>
      <c r="HK8" s="896"/>
      <c r="HL8" s="896"/>
      <c r="HM8" s="896"/>
      <c r="HN8" s="896"/>
      <c r="HO8" s="896"/>
      <c r="HP8" s="896"/>
      <c r="HQ8" s="896"/>
      <c r="HR8" s="896"/>
      <c r="HS8" s="896"/>
      <c r="HT8" s="896"/>
      <c r="HU8" s="786"/>
      <c r="HV8" s="792">
        <f>'vacaciones 2021'!U14</f>
        <v>57</v>
      </c>
    </row>
    <row r="9" spans="1:230" ht="31.5" customHeight="1" x14ac:dyDescent="0.3">
      <c r="A9" s="297">
        <v>5</v>
      </c>
      <c r="B9" s="866" t="s">
        <v>54</v>
      </c>
      <c r="C9" s="867" t="s">
        <v>435</v>
      </c>
      <c r="D9" s="808"/>
      <c r="E9" s="808"/>
      <c r="F9" s="808"/>
      <c r="G9" s="808"/>
      <c r="H9" s="786"/>
      <c r="I9" s="786"/>
      <c r="J9" s="786"/>
      <c r="K9" s="786"/>
      <c r="L9" s="786"/>
      <c r="M9" s="786"/>
      <c r="N9" s="786"/>
      <c r="O9" s="786"/>
      <c r="P9" s="786"/>
      <c r="Q9" s="786"/>
      <c r="R9" s="786"/>
      <c r="S9" s="786"/>
      <c r="T9" s="786"/>
      <c r="U9" s="786"/>
      <c r="V9" s="891">
        <v>1</v>
      </c>
      <c r="W9" s="786"/>
      <c r="X9" s="786"/>
      <c r="Y9" s="786"/>
      <c r="Z9" s="786"/>
      <c r="AA9" s="786"/>
      <c r="AB9" s="786"/>
      <c r="AC9" s="786"/>
      <c r="AD9" s="786"/>
      <c r="AE9" s="786"/>
      <c r="AF9" s="786"/>
      <c r="AG9" s="786"/>
      <c r="AH9" s="786"/>
      <c r="AI9" s="786"/>
      <c r="AJ9" s="786"/>
      <c r="AK9" s="786"/>
      <c r="AL9" s="786"/>
      <c r="AM9" s="896">
        <f t="shared" si="0"/>
        <v>1</v>
      </c>
      <c r="AN9" s="896"/>
      <c r="AO9" s="896"/>
      <c r="AP9" s="896"/>
      <c r="AQ9" s="896"/>
      <c r="AR9" s="896"/>
      <c r="AS9" s="896"/>
      <c r="AT9" s="896"/>
      <c r="AU9" s="896"/>
      <c r="AV9" s="896"/>
      <c r="AW9" s="896"/>
      <c r="AX9" s="896"/>
      <c r="AY9" s="896"/>
      <c r="AZ9" s="896"/>
      <c r="BA9" s="896"/>
      <c r="BB9" s="896"/>
      <c r="BC9" s="896"/>
      <c r="BD9" s="896"/>
      <c r="BE9" s="896"/>
      <c r="BF9" s="896"/>
      <c r="BG9" s="896"/>
      <c r="BH9" s="896"/>
      <c r="BI9" s="896"/>
      <c r="BJ9" s="896"/>
      <c r="BK9" s="896"/>
      <c r="BL9" s="896"/>
      <c r="BM9" s="896"/>
      <c r="BN9" s="896"/>
      <c r="BO9" s="896"/>
      <c r="BP9" s="896"/>
      <c r="BQ9" s="896"/>
      <c r="BR9" s="896"/>
      <c r="BS9" s="786"/>
      <c r="BT9" s="896"/>
      <c r="BU9" s="896"/>
      <c r="BV9" s="896"/>
      <c r="BW9" s="896"/>
      <c r="BX9" s="896"/>
      <c r="BY9" s="896"/>
      <c r="BZ9" s="896"/>
      <c r="CA9" s="896"/>
      <c r="CB9" s="896"/>
      <c r="CC9" s="896"/>
      <c r="CD9" s="896"/>
      <c r="CE9" s="896"/>
      <c r="CF9" s="896"/>
      <c r="CG9" s="896"/>
      <c r="CH9" s="896"/>
      <c r="CI9" s="896"/>
      <c r="CJ9" s="896"/>
      <c r="CK9" s="896"/>
      <c r="CL9" s="896"/>
      <c r="CM9" s="896"/>
      <c r="CN9" s="896"/>
      <c r="CO9" s="896"/>
      <c r="CP9" s="896"/>
      <c r="CQ9" s="896"/>
      <c r="CR9" s="896"/>
      <c r="CS9" s="896"/>
      <c r="CT9" s="896"/>
      <c r="CU9" s="896"/>
      <c r="CV9" s="896"/>
      <c r="CW9" s="896"/>
      <c r="CX9" s="896"/>
      <c r="CY9" s="786"/>
      <c r="CZ9" s="896"/>
      <c r="DA9" s="896"/>
      <c r="DB9" s="896"/>
      <c r="DC9" s="896"/>
      <c r="DD9" s="896"/>
      <c r="DE9" s="896"/>
      <c r="DF9" s="896"/>
      <c r="DG9" s="896"/>
      <c r="DH9" s="896"/>
      <c r="DI9" s="896"/>
      <c r="DJ9" s="896"/>
      <c r="DK9" s="896"/>
      <c r="DL9" s="896"/>
      <c r="DM9" s="896"/>
      <c r="DN9" s="896"/>
      <c r="DO9" s="896"/>
      <c r="DP9" s="896"/>
      <c r="DQ9" s="896"/>
      <c r="DR9" s="896"/>
      <c r="DS9" s="896"/>
      <c r="DT9" s="896"/>
      <c r="DU9" s="896"/>
      <c r="DV9" s="896"/>
      <c r="DW9" s="896"/>
      <c r="DX9" s="896"/>
      <c r="DY9" s="896"/>
      <c r="DZ9" s="896"/>
      <c r="EA9" s="896"/>
      <c r="EB9" s="896"/>
      <c r="EC9" s="896"/>
      <c r="ED9" s="786"/>
      <c r="EE9" s="896"/>
      <c r="EF9" s="896"/>
      <c r="EG9" s="896"/>
      <c r="EH9" s="896"/>
      <c r="EI9" s="896"/>
      <c r="EJ9" s="896"/>
      <c r="EK9" s="896"/>
      <c r="EL9" s="896"/>
      <c r="EM9" s="896"/>
      <c r="EN9" s="896"/>
      <c r="EO9" s="896"/>
      <c r="EP9" s="896"/>
      <c r="EQ9" s="896"/>
      <c r="ER9" s="896"/>
      <c r="ES9" s="896"/>
      <c r="ET9" s="896"/>
      <c r="EU9" s="896"/>
      <c r="EV9" s="896"/>
      <c r="EW9" s="896"/>
      <c r="EX9" s="896"/>
      <c r="EY9" s="896"/>
      <c r="EZ9" s="896"/>
      <c r="FA9" s="896"/>
      <c r="FB9" s="896"/>
      <c r="FC9" s="896"/>
      <c r="FD9" s="896"/>
      <c r="FE9" s="896"/>
      <c r="FF9" s="896"/>
      <c r="FG9" s="896"/>
      <c r="FH9" s="896"/>
      <c r="FI9" s="896"/>
      <c r="FJ9" s="786"/>
      <c r="FK9" s="896"/>
      <c r="FL9" s="896"/>
      <c r="FM9" s="896"/>
      <c r="FN9" s="896"/>
      <c r="FO9" s="896"/>
      <c r="FP9" s="896"/>
      <c r="FQ9" s="896"/>
      <c r="FR9" s="896"/>
      <c r="FS9" s="896"/>
      <c r="FT9" s="896"/>
      <c r="FU9" s="896"/>
      <c r="FV9" s="896"/>
      <c r="FW9" s="896"/>
      <c r="FX9" s="896"/>
      <c r="FY9" s="896"/>
      <c r="FZ9" s="896"/>
      <c r="GA9" s="896"/>
      <c r="GB9" s="896"/>
      <c r="GC9" s="896"/>
      <c r="GD9" s="896"/>
      <c r="GE9" s="896"/>
      <c r="GF9" s="896"/>
      <c r="GG9" s="896"/>
      <c r="GH9" s="896"/>
      <c r="GI9" s="896"/>
      <c r="GJ9" s="896"/>
      <c r="GK9" s="896"/>
      <c r="GL9" s="896"/>
      <c r="GM9" s="896"/>
      <c r="GN9" s="896"/>
      <c r="GO9" s="786"/>
      <c r="GP9" s="896"/>
      <c r="GQ9" s="896"/>
      <c r="GR9" s="896"/>
      <c r="GS9" s="896"/>
      <c r="GT9" s="896"/>
      <c r="GU9" s="896"/>
      <c r="GV9" s="896"/>
      <c r="GW9" s="896"/>
      <c r="GX9" s="896"/>
      <c r="GY9" s="896"/>
      <c r="GZ9" s="896"/>
      <c r="HA9" s="896"/>
      <c r="HB9" s="896"/>
      <c r="HC9" s="896"/>
      <c r="HD9" s="896"/>
      <c r="HE9" s="896"/>
      <c r="HF9" s="896"/>
      <c r="HG9" s="896"/>
      <c r="HH9" s="896"/>
      <c r="HI9" s="896"/>
      <c r="HJ9" s="896"/>
      <c r="HK9" s="896"/>
      <c r="HL9" s="896"/>
      <c r="HM9" s="896"/>
      <c r="HN9" s="896"/>
      <c r="HO9" s="896"/>
      <c r="HP9" s="896"/>
      <c r="HQ9" s="896"/>
      <c r="HR9" s="896"/>
      <c r="HS9" s="896"/>
      <c r="HT9" s="896"/>
      <c r="HU9" s="786"/>
      <c r="HV9" s="792">
        <f>'vacaciones 2021'!U15</f>
        <v>179</v>
      </c>
    </row>
    <row r="10" spans="1:230" ht="31.5" customHeight="1" x14ac:dyDescent="0.3">
      <c r="A10" s="297"/>
      <c r="B10" s="881" t="s">
        <v>450</v>
      </c>
      <c r="C10" s="882"/>
      <c r="D10" s="888"/>
      <c r="E10" s="889"/>
      <c r="F10" s="889"/>
      <c r="G10" s="889"/>
      <c r="H10" s="889"/>
      <c r="I10" s="889"/>
      <c r="J10" s="889"/>
      <c r="K10" s="889"/>
      <c r="L10" s="889"/>
      <c r="M10" s="889"/>
      <c r="N10" s="889"/>
      <c r="O10" s="889"/>
      <c r="P10" s="889"/>
      <c r="Q10" s="889"/>
      <c r="R10" s="889"/>
      <c r="S10" s="889"/>
      <c r="T10" s="889"/>
      <c r="U10" s="889"/>
      <c r="V10" s="889"/>
      <c r="W10" s="889"/>
      <c r="X10" s="889"/>
      <c r="Y10" s="889"/>
      <c r="Z10" s="889"/>
      <c r="AA10" s="889"/>
      <c r="AB10" s="889"/>
      <c r="AC10" s="889"/>
      <c r="AD10" s="889"/>
      <c r="AE10" s="889"/>
      <c r="AF10" s="889"/>
      <c r="AG10" s="889"/>
      <c r="AH10" s="889"/>
      <c r="AI10" s="889"/>
      <c r="AJ10" s="889"/>
      <c r="AK10" s="889"/>
      <c r="AL10" s="889"/>
      <c r="AM10" s="895"/>
      <c r="AN10" s="895"/>
      <c r="AO10" s="895"/>
      <c r="AP10" s="895"/>
      <c r="AQ10" s="895"/>
      <c r="AR10" s="895"/>
      <c r="AS10" s="895"/>
      <c r="AT10" s="895"/>
      <c r="AU10" s="895"/>
      <c r="AV10" s="895"/>
      <c r="AW10" s="895"/>
      <c r="AX10" s="895"/>
      <c r="AY10" s="895"/>
      <c r="AZ10" s="895"/>
      <c r="BA10" s="895"/>
      <c r="BB10" s="895"/>
      <c r="BC10" s="895"/>
      <c r="BD10" s="895"/>
      <c r="BE10" s="895"/>
      <c r="BF10" s="895"/>
      <c r="BG10" s="895"/>
      <c r="BH10" s="895"/>
      <c r="BI10" s="895"/>
      <c r="BJ10" s="895"/>
      <c r="BK10" s="895"/>
      <c r="BL10" s="895"/>
      <c r="BM10" s="895"/>
      <c r="BN10" s="895"/>
      <c r="BO10" s="895"/>
      <c r="BP10" s="895"/>
      <c r="BQ10" s="895"/>
      <c r="BR10" s="895"/>
      <c r="BS10" s="889"/>
      <c r="BT10" s="895"/>
      <c r="BU10" s="895"/>
      <c r="BV10" s="895"/>
      <c r="BW10" s="895"/>
      <c r="BX10" s="895"/>
      <c r="BY10" s="895"/>
      <c r="BZ10" s="895"/>
      <c r="CA10" s="895"/>
      <c r="CB10" s="895"/>
      <c r="CC10" s="895"/>
      <c r="CD10" s="895"/>
      <c r="CE10" s="895"/>
      <c r="CF10" s="895"/>
      <c r="CG10" s="895"/>
      <c r="CH10" s="895"/>
      <c r="CI10" s="895"/>
      <c r="CJ10" s="895"/>
      <c r="CK10" s="895"/>
      <c r="CL10" s="895"/>
      <c r="CM10" s="895"/>
      <c r="CN10" s="895"/>
      <c r="CO10" s="895"/>
      <c r="CP10" s="895"/>
      <c r="CQ10" s="895"/>
      <c r="CR10" s="895"/>
      <c r="CS10" s="895"/>
      <c r="CT10" s="895"/>
      <c r="CU10" s="895"/>
      <c r="CV10" s="895"/>
      <c r="CW10" s="895"/>
      <c r="CX10" s="895"/>
      <c r="CY10" s="889"/>
      <c r="CZ10" s="895"/>
      <c r="DA10" s="895"/>
      <c r="DB10" s="895"/>
      <c r="DC10" s="895"/>
      <c r="DD10" s="895"/>
      <c r="DE10" s="895"/>
      <c r="DF10" s="895"/>
      <c r="DG10" s="895"/>
      <c r="DH10" s="895"/>
      <c r="DI10" s="895"/>
      <c r="DJ10" s="895"/>
      <c r="DK10" s="895"/>
      <c r="DL10" s="895"/>
      <c r="DM10" s="895"/>
      <c r="DN10" s="895"/>
      <c r="DO10" s="895"/>
      <c r="DP10" s="895"/>
      <c r="DQ10" s="895"/>
      <c r="DR10" s="895"/>
      <c r="DS10" s="895"/>
      <c r="DT10" s="895"/>
      <c r="DU10" s="895"/>
      <c r="DV10" s="895"/>
      <c r="DW10" s="895"/>
      <c r="DX10" s="895"/>
      <c r="DY10" s="895"/>
      <c r="DZ10" s="895"/>
      <c r="EA10" s="895"/>
      <c r="EB10" s="895"/>
      <c r="EC10" s="895"/>
      <c r="ED10" s="889"/>
      <c r="EE10" s="895"/>
      <c r="EF10" s="895"/>
      <c r="EG10" s="895"/>
      <c r="EH10" s="895"/>
      <c r="EI10" s="895"/>
      <c r="EJ10" s="895"/>
      <c r="EK10" s="895"/>
      <c r="EL10" s="895"/>
      <c r="EM10" s="895"/>
      <c r="EN10" s="895"/>
      <c r="EO10" s="895"/>
      <c r="EP10" s="895"/>
      <c r="EQ10" s="895"/>
      <c r="ER10" s="895"/>
      <c r="ES10" s="895"/>
      <c r="ET10" s="895"/>
      <c r="EU10" s="895"/>
      <c r="EV10" s="895"/>
      <c r="EW10" s="895"/>
      <c r="EX10" s="895"/>
      <c r="EY10" s="895"/>
      <c r="EZ10" s="895"/>
      <c r="FA10" s="895"/>
      <c r="FB10" s="895"/>
      <c r="FC10" s="895"/>
      <c r="FD10" s="895"/>
      <c r="FE10" s="895"/>
      <c r="FF10" s="895"/>
      <c r="FG10" s="895"/>
      <c r="FH10" s="895"/>
      <c r="FI10" s="895"/>
      <c r="FJ10" s="889"/>
      <c r="FK10" s="895"/>
      <c r="FL10" s="895"/>
      <c r="FM10" s="895"/>
      <c r="FN10" s="895"/>
      <c r="FO10" s="895"/>
      <c r="FP10" s="895"/>
      <c r="FQ10" s="895"/>
      <c r="FR10" s="895"/>
      <c r="FS10" s="895"/>
      <c r="FT10" s="895"/>
      <c r="FU10" s="895"/>
      <c r="FV10" s="895"/>
      <c r="FW10" s="895"/>
      <c r="FX10" s="895"/>
      <c r="FY10" s="895"/>
      <c r="FZ10" s="895"/>
      <c r="GA10" s="895"/>
      <c r="GB10" s="895"/>
      <c r="GC10" s="895"/>
      <c r="GD10" s="895"/>
      <c r="GE10" s="895"/>
      <c r="GF10" s="895"/>
      <c r="GG10" s="895"/>
      <c r="GH10" s="895"/>
      <c r="GI10" s="895"/>
      <c r="GJ10" s="895"/>
      <c r="GK10" s="895"/>
      <c r="GL10" s="895"/>
      <c r="GM10" s="895"/>
      <c r="GN10" s="895"/>
      <c r="GO10" s="889"/>
      <c r="GP10" s="895"/>
      <c r="GQ10" s="895"/>
      <c r="GR10" s="895"/>
      <c r="GS10" s="895"/>
      <c r="GT10" s="895"/>
      <c r="GU10" s="895"/>
      <c r="GV10" s="895"/>
      <c r="GW10" s="895"/>
      <c r="GX10" s="895"/>
      <c r="GY10" s="895"/>
      <c r="GZ10" s="895"/>
      <c r="HA10" s="895"/>
      <c r="HB10" s="895"/>
      <c r="HC10" s="895"/>
      <c r="HD10" s="895"/>
      <c r="HE10" s="895"/>
      <c r="HF10" s="895"/>
      <c r="HG10" s="895"/>
      <c r="HH10" s="895"/>
      <c r="HI10" s="895"/>
      <c r="HJ10" s="895"/>
      <c r="HK10" s="895"/>
      <c r="HL10" s="895"/>
      <c r="HM10" s="895"/>
      <c r="HN10" s="895"/>
      <c r="HO10" s="895"/>
      <c r="HP10" s="895"/>
      <c r="HQ10" s="895"/>
      <c r="HR10" s="895"/>
      <c r="HS10" s="895"/>
      <c r="HT10" s="895"/>
      <c r="HU10" s="889"/>
      <c r="HV10" s="883"/>
    </row>
    <row r="11" spans="1:230" ht="31.5" customHeight="1" x14ac:dyDescent="0.3">
      <c r="A11" s="297">
        <v>6</v>
      </c>
      <c r="B11" s="878" t="s">
        <v>346</v>
      </c>
      <c r="C11" s="839" t="s">
        <v>435</v>
      </c>
      <c r="D11" s="808"/>
      <c r="E11" s="808"/>
      <c r="F11" s="808"/>
      <c r="G11" s="808"/>
      <c r="H11" s="808"/>
      <c r="I11" s="808"/>
      <c r="J11" s="808"/>
      <c r="K11" s="808"/>
      <c r="L11" s="808"/>
      <c r="M11" s="808"/>
      <c r="N11" s="808"/>
      <c r="O11" s="808"/>
      <c r="P11" s="808"/>
      <c r="Q11" s="808"/>
      <c r="R11" s="808"/>
      <c r="S11" s="808"/>
      <c r="T11" s="808"/>
      <c r="U11" s="808"/>
      <c r="V11" s="808"/>
      <c r="W11" s="808"/>
      <c r="X11" s="808"/>
      <c r="Y11" s="808"/>
      <c r="Z11" s="808"/>
      <c r="AA11" s="808"/>
      <c r="AB11" s="808"/>
      <c r="AC11" s="808"/>
      <c r="AD11" s="808"/>
      <c r="AE11" s="808"/>
      <c r="AF11" s="808"/>
      <c r="AG11" s="808"/>
      <c r="AH11" s="808"/>
      <c r="AI11" s="808"/>
      <c r="AJ11" s="808"/>
      <c r="AK11" s="808"/>
      <c r="AL11" s="808"/>
      <c r="AM11" s="896">
        <f t="shared" si="0"/>
        <v>0</v>
      </c>
      <c r="AN11" s="896"/>
      <c r="AO11" s="896"/>
      <c r="AP11" s="896"/>
      <c r="AQ11" s="896"/>
      <c r="AR11" s="896"/>
      <c r="AS11" s="896"/>
      <c r="AT11" s="896"/>
      <c r="AU11" s="896"/>
      <c r="AV11" s="896"/>
      <c r="AW11" s="896"/>
      <c r="AX11" s="896"/>
      <c r="AY11" s="896"/>
      <c r="AZ11" s="896"/>
      <c r="BA11" s="896"/>
      <c r="BB11" s="896"/>
      <c r="BC11" s="896"/>
      <c r="BD11" s="896"/>
      <c r="BE11" s="896"/>
      <c r="BF11" s="896"/>
      <c r="BG11" s="896"/>
      <c r="BH11" s="896"/>
      <c r="BI11" s="896"/>
      <c r="BJ11" s="896"/>
      <c r="BK11" s="896"/>
      <c r="BL11" s="896"/>
      <c r="BM11" s="896"/>
      <c r="BN11" s="896"/>
      <c r="BO11" s="896"/>
      <c r="BP11" s="896"/>
      <c r="BQ11" s="896"/>
      <c r="BR11" s="896"/>
      <c r="BS11" s="808"/>
      <c r="BT11" s="896"/>
      <c r="BU11" s="896"/>
      <c r="BV11" s="896"/>
      <c r="BW11" s="896"/>
      <c r="BX11" s="896"/>
      <c r="BY11" s="896"/>
      <c r="BZ11" s="896"/>
      <c r="CA11" s="896"/>
      <c r="CB11" s="896"/>
      <c r="CC11" s="896"/>
      <c r="CD11" s="896"/>
      <c r="CE11" s="896"/>
      <c r="CF11" s="896"/>
      <c r="CG11" s="896"/>
      <c r="CH11" s="896"/>
      <c r="CI11" s="896"/>
      <c r="CJ11" s="896"/>
      <c r="CK11" s="896"/>
      <c r="CL11" s="896"/>
      <c r="CM11" s="896"/>
      <c r="CN11" s="896"/>
      <c r="CO11" s="896"/>
      <c r="CP11" s="896"/>
      <c r="CQ11" s="896"/>
      <c r="CR11" s="896"/>
      <c r="CS11" s="896"/>
      <c r="CT11" s="896"/>
      <c r="CU11" s="896"/>
      <c r="CV11" s="896"/>
      <c r="CW11" s="896"/>
      <c r="CX11" s="896"/>
      <c r="CY11" s="808"/>
      <c r="CZ11" s="896"/>
      <c r="DA11" s="896"/>
      <c r="DB11" s="896"/>
      <c r="DC11" s="896"/>
      <c r="DD11" s="896"/>
      <c r="DE11" s="896"/>
      <c r="DF11" s="896"/>
      <c r="DG11" s="896"/>
      <c r="DH11" s="896"/>
      <c r="DI11" s="896"/>
      <c r="DJ11" s="896"/>
      <c r="DK11" s="896"/>
      <c r="DL11" s="896"/>
      <c r="DM11" s="896"/>
      <c r="DN11" s="896"/>
      <c r="DO11" s="896"/>
      <c r="DP11" s="896"/>
      <c r="DQ11" s="896"/>
      <c r="DR11" s="896"/>
      <c r="DS11" s="896"/>
      <c r="DT11" s="896"/>
      <c r="DU11" s="896"/>
      <c r="DV11" s="896"/>
      <c r="DW11" s="896"/>
      <c r="DX11" s="896"/>
      <c r="DY11" s="896"/>
      <c r="DZ11" s="896"/>
      <c r="EA11" s="896"/>
      <c r="EB11" s="896"/>
      <c r="EC11" s="896"/>
      <c r="ED11" s="808"/>
      <c r="EE11" s="896"/>
      <c r="EF11" s="896"/>
      <c r="EG11" s="896"/>
      <c r="EH11" s="896"/>
      <c r="EI11" s="896"/>
      <c r="EJ11" s="896"/>
      <c r="EK11" s="896"/>
      <c r="EL11" s="896"/>
      <c r="EM11" s="896"/>
      <c r="EN11" s="896"/>
      <c r="EO11" s="896"/>
      <c r="EP11" s="896"/>
      <c r="EQ11" s="896"/>
      <c r="ER11" s="896"/>
      <c r="ES11" s="896"/>
      <c r="ET11" s="896"/>
      <c r="EU11" s="896"/>
      <c r="EV11" s="896"/>
      <c r="EW11" s="896"/>
      <c r="EX11" s="896"/>
      <c r="EY11" s="896"/>
      <c r="EZ11" s="896"/>
      <c r="FA11" s="896"/>
      <c r="FB11" s="896"/>
      <c r="FC11" s="896"/>
      <c r="FD11" s="896"/>
      <c r="FE11" s="896"/>
      <c r="FF11" s="896"/>
      <c r="FG11" s="896"/>
      <c r="FH11" s="896"/>
      <c r="FI11" s="896"/>
      <c r="FJ11" s="808"/>
      <c r="FK11" s="896"/>
      <c r="FL11" s="896"/>
      <c r="FM11" s="896"/>
      <c r="FN11" s="896"/>
      <c r="FO11" s="896"/>
      <c r="FP11" s="896"/>
      <c r="FQ11" s="896"/>
      <c r="FR11" s="896"/>
      <c r="FS11" s="896"/>
      <c r="FT11" s="896"/>
      <c r="FU11" s="896"/>
      <c r="FV11" s="896"/>
      <c r="FW11" s="896"/>
      <c r="FX11" s="896"/>
      <c r="FY11" s="896"/>
      <c r="FZ11" s="896"/>
      <c r="GA11" s="896"/>
      <c r="GB11" s="896"/>
      <c r="GC11" s="896"/>
      <c r="GD11" s="896"/>
      <c r="GE11" s="896"/>
      <c r="GF11" s="896"/>
      <c r="GG11" s="896"/>
      <c r="GH11" s="896"/>
      <c r="GI11" s="896"/>
      <c r="GJ11" s="896"/>
      <c r="GK11" s="896"/>
      <c r="GL11" s="896"/>
      <c r="GM11" s="896"/>
      <c r="GN11" s="896"/>
      <c r="GO11" s="808"/>
      <c r="GP11" s="896"/>
      <c r="GQ11" s="896"/>
      <c r="GR11" s="896"/>
      <c r="GS11" s="896"/>
      <c r="GT11" s="896"/>
      <c r="GU11" s="896"/>
      <c r="GV11" s="896"/>
      <c r="GW11" s="896"/>
      <c r="GX11" s="896"/>
      <c r="GY11" s="896"/>
      <c r="GZ11" s="896"/>
      <c r="HA11" s="896"/>
      <c r="HB11" s="896"/>
      <c r="HC11" s="896"/>
      <c r="HD11" s="896"/>
      <c r="HE11" s="896"/>
      <c r="HF11" s="896"/>
      <c r="HG11" s="896"/>
      <c r="HH11" s="896"/>
      <c r="HI11" s="896"/>
      <c r="HJ11" s="896"/>
      <c r="HK11" s="896"/>
      <c r="HL11" s="896"/>
      <c r="HM11" s="896"/>
      <c r="HN11" s="896"/>
      <c r="HO11" s="896"/>
      <c r="HP11" s="896"/>
      <c r="HQ11" s="896"/>
      <c r="HR11" s="896"/>
      <c r="HS11" s="896"/>
      <c r="HT11" s="896"/>
      <c r="HU11" s="808"/>
      <c r="HV11" s="792">
        <f>'vacaciones 2021'!U8</f>
        <v>21</v>
      </c>
    </row>
    <row r="12" spans="1:230" s="254" customFormat="1" ht="31.5" customHeight="1" x14ac:dyDescent="0.3">
      <c r="A12" s="297">
        <v>7</v>
      </c>
      <c r="B12" s="808" t="s">
        <v>109</v>
      </c>
      <c r="C12" s="806" t="s">
        <v>436</v>
      </c>
      <c r="D12" s="808"/>
      <c r="E12" s="808"/>
      <c r="F12" s="808"/>
      <c r="G12" s="808"/>
      <c r="H12" s="808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808"/>
      <c r="X12" s="808"/>
      <c r="Y12" s="808"/>
      <c r="Z12" s="808"/>
      <c r="AA12" s="808"/>
      <c r="AB12" s="808"/>
      <c r="AC12" s="808"/>
      <c r="AD12" s="808"/>
      <c r="AE12" s="808"/>
      <c r="AF12" s="808"/>
      <c r="AG12" s="808"/>
      <c r="AH12" s="808"/>
      <c r="AI12" s="808"/>
      <c r="AJ12" s="808"/>
      <c r="AK12" s="808"/>
      <c r="AL12" s="808"/>
      <c r="AM12" s="896">
        <f t="shared" si="0"/>
        <v>0</v>
      </c>
      <c r="AN12" s="896"/>
      <c r="AO12" s="896"/>
      <c r="AP12" s="896"/>
      <c r="AQ12" s="896"/>
      <c r="AR12" s="896"/>
      <c r="AS12" s="896"/>
      <c r="AT12" s="896"/>
      <c r="AU12" s="896"/>
      <c r="AV12" s="896"/>
      <c r="AW12" s="896"/>
      <c r="AX12" s="896"/>
      <c r="AY12" s="896"/>
      <c r="AZ12" s="896"/>
      <c r="BA12" s="896"/>
      <c r="BB12" s="896"/>
      <c r="BC12" s="896"/>
      <c r="BD12" s="896"/>
      <c r="BE12" s="896"/>
      <c r="BF12" s="896"/>
      <c r="BG12" s="896"/>
      <c r="BH12" s="896"/>
      <c r="BI12" s="896"/>
      <c r="BJ12" s="896"/>
      <c r="BK12" s="896"/>
      <c r="BL12" s="896"/>
      <c r="BM12" s="896"/>
      <c r="BN12" s="896"/>
      <c r="BO12" s="896"/>
      <c r="BP12" s="896"/>
      <c r="BQ12" s="896"/>
      <c r="BR12" s="896"/>
      <c r="BS12" s="808"/>
      <c r="BT12" s="896"/>
      <c r="BU12" s="896"/>
      <c r="BV12" s="896"/>
      <c r="BW12" s="896"/>
      <c r="BX12" s="896"/>
      <c r="BY12" s="896"/>
      <c r="BZ12" s="896"/>
      <c r="CA12" s="896"/>
      <c r="CB12" s="896"/>
      <c r="CC12" s="896"/>
      <c r="CD12" s="896"/>
      <c r="CE12" s="896"/>
      <c r="CF12" s="896"/>
      <c r="CG12" s="896"/>
      <c r="CH12" s="896"/>
      <c r="CI12" s="896"/>
      <c r="CJ12" s="896"/>
      <c r="CK12" s="896"/>
      <c r="CL12" s="896"/>
      <c r="CM12" s="896"/>
      <c r="CN12" s="896"/>
      <c r="CO12" s="896"/>
      <c r="CP12" s="896"/>
      <c r="CQ12" s="896"/>
      <c r="CR12" s="896"/>
      <c r="CS12" s="896"/>
      <c r="CT12" s="896"/>
      <c r="CU12" s="896"/>
      <c r="CV12" s="896"/>
      <c r="CW12" s="896"/>
      <c r="CX12" s="896"/>
      <c r="CY12" s="808"/>
      <c r="CZ12" s="896"/>
      <c r="DA12" s="896"/>
      <c r="DB12" s="896"/>
      <c r="DC12" s="896"/>
      <c r="DD12" s="896"/>
      <c r="DE12" s="896"/>
      <c r="DF12" s="896"/>
      <c r="DG12" s="896"/>
      <c r="DH12" s="896"/>
      <c r="DI12" s="896"/>
      <c r="DJ12" s="896"/>
      <c r="DK12" s="896"/>
      <c r="DL12" s="896"/>
      <c r="DM12" s="896"/>
      <c r="DN12" s="896"/>
      <c r="DO12" s="896"/>
      <c r="DP12" s="896"/>
      <c r="DQ12" s="896"/>
      <c r="DR12" s="896"/>
      <c r="DS12" s="896"/>
      <c r="DT12" s="896"/>
      <c r="DU12" s="896"/>
      <c r="DV12" s="896"/>
      <c r="DW12" s="896"/>
      <c r="DX12" s="896"/>
      <c r="DY12" s="896"/>
      <c r="DZ12" s="896"/>
      <c r="EA12" s="896"/>
      <c r="EB12" s="896"/>
      <c r="EC12" s="896"/>
      <c r="ED12" s="808"/>
      <c r="EE12" s="896"/>
      <c r="EF12" s="896"/>
      <c r="EG12" s="896"/>
      <c r="EH12" s="896"/>
      <c r="EI12" s="896"/>
      <c r="EJ12" s="896"/>
      <c r="EK12" s="896"/>
      <c r="EL12" s="896"/>
      <c r="EM12" s="896"/>
      <c r="EN12" s="896"/>
      <c r="EO12" s="896"/>
      <c r="EP12" s="896"/>
      <c r="EQ12" s="896"/>
      <c r="ER12" s="896"/>
      <c r="ES12" s="896"/>
      <c r="ET12" s="896"/>
      <c r="EU12" s="896"/>
      <c r="EV12" s="896"/>
      <c r="EW12" s="896"/>
      <c r="EX12" s="896"/>
      <c r="EY12" s="896"/>
      <c r="EZ12" s="896"/>
      <c r="FA12" s="896"/>
      <c r="FB12" s="896"/>
      <c r="FC12" s="896"/>
      <c r="FD12" s="896"/>
      <c r="FE12" s="896"/>
      <c r="FF12" s="896"/>
      <c r="FG12" s="896"/>
      <c r="FH12" s="896"/>
      <c r="FI12" s="896"/>
      <c r="FJ12" s="808"/>
      <c r="FK12" s="896"/>
      <c r="FL12" s="896"/>
      <c r="FM12" s="896"/>
      <c r="FN12" s="896"/>
      <c r="FO12" s="896"/>
      <c r="FP12" s="896"/>
      <c r="FQ12" s="896"/>
      <c r="FR12" s="896"/>
      <c r="FS12" s="896"/>
      <c r="FT12" s="896"/>
      <c r="FU12" s="896"/>
      <c r="FV12" s="896"/>
      <c r="FW12" s="896"/>
      <c r="FX12" s="896"/>
      <c r="FY12" s="896"/>
      <c r="FZ12" s="896"/>
      <c r="GA12" s="896"/>
      <c r="GB12" s="896"/>
      <c r="GC12" s="896"/>
      <c r="GD12" s="896"/>
      <c r="GE12" s="896"/>
      <c r="GF12" s="896"/>
      <c r="GG12" s="896"/>
      <c r="GH12" s="896"/>
      <c r="GI12" s="896"/>
      <c r="GJ12" s="896"/>
      <c r="GK12" s="896"/>
      <c r="GL12" s="896"/>
      <c r="GM12" s="896"/>
      <c r="GN12" s="896"/>
      <c r="GO12" s="808"/>
      <c r="GP12" s="896"/>
      <c r="GQ12" s="896"/>
      <c r="GR12" s="896"/>
      <c r="GS12" s="896"/>
      <c r="GT12" s="896"/>
      <c r="GU12" s="896"/>
      <c r="GV12" s="896"/>
      <c r="GW12" s="896"/>
      <c r="GX12" s="896"/>
      <c r="GY12" s="896"/>
      <c r="GZ12" s="896"/>
      <c r="HA12" s="896"/>
      <c r="HB12" s="896"/>
      <c r="HC12" s="896"/>
      <c r="HD12" s="896"/>
      <c r="HE12" s="896"/>
      <c r="HF12" s="896"/>
      <c r="HG12" s="896"/>
      <c r="HH12" s="896"/>
      <c r="HI12" s="896"/>
      <c r="HJ12" s="896"/>
      <c r="HK12" s="896"/>
      <c r="HL12" s="896"/>
      <c r="HM12" s="896"/>
      <c r="HN12" s="896"/>
      <c r="HO12" s="896"/>
      <c r="HP12" s="896"/>
      <c r="HQ12" s="896"/>
      <c r="HR12" s="896"/>
      <c r="HS12" s="896"/>
      <c r="HT12" s="896"/>
      <c r="HU12" s="808"/>
      <c r="HV12" s="792">
        <f>'vacaciones 2021'!U9</f>
        <v>34</v>
      </c>
    </row>
    <row r="13" spans="1:230" ht="31.5" customHeight="1" x14ac:dyDescent="0.3">
      <c r="A13" s="297">
        <v>8</v>
      </c>
      <c r="B13" s="807" t="s">
        <v>419</v>
      </c>
      <c r="C13" s="806" t="s">
        <v>435</v>
      </c>
      <c r="D13" s="808"/>
      <c r="E13" s="808"/>
      <c r="F13" s="808"/>
      <c r="G13" s="808"/>
      <c r="H13" s="808"/>
      <c r="I13" s="808"/>
      <c r="J13" s="808"/>
      <c r="K13" s="808"/>
      <c r="L13" s="808"/>
      <c r="M13" s="808"/>
      <c r="N13" s="808"/>
      <c r="O13" s="808"/>
      <c r="P13" s="808"/>
      <c r="Q13" s="808"/>
      <c r="R13" s="808"/>
      <c r="S13" s="808"/>
      <c r="T13" s="808"/>
      <c r="U13" s="808"/>
      <c r="V13" s="808"/>
      <c r="W13" s="808"/>
      <c r="X13" s="808"/>
      <c r="Y13" s="808"/>
      <c r="Z13" s="808"/>
      <c r="AA13" s="808"/>
      <c r="AB13" s="808"/>
      <c r="AC13" s="808"/>
      <c r="AD13" s="808"/>
      <c r="AE13" s="808"/>
      <c r="AF13" s="808"/>
      <c r="AG13" s="808"/>
      <c r="AH13" s="808"/>
      <c r="AI13" s="808"/>
      <c r="AJ13" s="808"/>
      <c r="AK13" s="808"/>
      <c r="AL13" s="808"/>
      <c r="AM13" s="896">
        <f t="shared" si="0"/>
        <v>0</v>
      </c>
      <c r="AN13" s="896"/>
      <c r="AO13" s="896"/>
      <c r="AP13" s="896"/>
      <c r="AQ13" s="896"/>
      <c r="AR13" s="896"/>
      <c r="AS13" s="896"/>
      <c r="AT13" s="896"/>
      <c r="AU13" s="896"/>
      <c r="AV13" s="896"/>
      <c r="AW13" s="896"/>
      <c r="AX13" s="896"/>
      <c r="AY13" s="896"/>
      <c r="AZ13" s="896"/>
      <c r="BA13" s="896"/>
      <c r="BB13" s="896"/>
      <c r="BC13" s="896"/>
      <c r="BD13" s="896"/>
      <c r="BE13" s="896"/>
      <c r="BF13" s="896"/>
      <c r="BG13" s="896"/>
      <c r="BH13" s="896"/>
      <c r="BI13" s="896"/>
      <c r="BJ13" s="896"/>
      <c r="BK13" s="896"/>
      <c r="BL13" s="896"/>
      <c r="BM13" s="896"/>
      <c r="BN13" s="896"/>
      <c r="BO13" s="896"/>
      <c r="BP13" s="896"/>
      <c r="BQ13" s="896"/>
      <c r="BR13" s="896"/>
      <c r="BS13" s="808"/>
      <c r="BT13" s="896"/>
      <c r="BU13" s="896"/>
      <c r="BV13" s="896"/>
      <c r="BW13" s="896"/>
      <c r="BX13" s="896"/>
      <c r="BY13" s="896"/>
      <c r="BZ13" s="896"/>
      <c r="CA13" s="896"/>
      <c r="CB13" s="896"/>
      <c r="CC13" s="896"/>
      <c r="CD13" s="896"/>
      <c r="CE13" s="896"/>
      <c r="CF13" s="896"/>
      <c r="CG13" s="896"/>
      <c r="CH13" s="896"/>
      <c r="CI13" s="896"/>
      <c r="CJ13" s="896"/>
      <c r="CK13" s="896"/>
      <c r="CL13" s="896"/>
      <c r="CM13" s="896"/>
      <c r="CN13" s="896"/>
      <c r="CO13" s="896"/>
      <c r="CP13" s="896"/>
      <c r="CQ13" s="896"/>
      <c r="CR13" s="896"/>
      <c r="CS13" s="896"/>
      <c r="CT13" s="896"/>
      <c r="CU13" s="896"/>
      <c r="CV13" s="896"/>
      <c r="CW13" s="896"/>
      <c r="CX13" s="896"/>
      <c r="CY13" s="808"/>
      <c r="CZ13" s="896"/>
      <c r="DA13" s="896"/>
      <c r="DB13" s="896"/>
      <c r="DC13" s="896"/>
      <c r="DD13" s="896"/>
      <c r="DE13" s="896"/>
      <c r="DF13" s="896"/>
      <c r="DG13" s="896"/>
      <c r="DH13" s="896"/>
      <c r="DI13" s="896"/>
      <c r="DJ13" s="896"/>
      <c r="DK13" s="896"/>
      <c r="DL13" s="896"/>
      <c r="DM13" s="896"/>
      <c r="DN13" s="896"/>
      <c r="DO13" s="896"/>
      <c r="DP13" s="896"/>
      <c r="DQ13" s="896"/>
      <c r="DR13" s="896"/>
      <c r="DS13" s="896"/>
      <c r="DT13" s="896"/>
      <c r="DU13" s="896"/>
      <c r="DV13" s="896"/>
      <c r="DW13" s="896"/>
      <c r="DX13" s="896"/>
      <c r="DY13" s="896"/>
      <c r="DZ13" s="896"/>
      <c r="EA13" s="896"/>
      <c r="EB13" s="896"/>
      <c r="EC13" s="896"/>
      <c r="ED13" s="808"/>
      <c r="EE13" s="896"/>
      <c r="EF13" s="896"/>
      <c r="EG13" s="896"/>
      <c r="EH13" s="896"/>
      <c r="EI13" s="896"/>
      <c r="EJ13" s="896"/>
      <c r="EK13" s="896"/>
      <c r="EL13" s="896"/>
      <c r="EM13" s="896"/>
      <c r="EN13" s="896"/>
      <c r="EO13" s="896"/>
      <c r="EP13" s="896"/>
      <c r="EQ13" s="896"/>
      <c r="ER13" s="896"/>
      <c r="ES13" s="896"/>
      <c r="ET13" s="896"/>
      <c r="EU13" s="896"/>
      <c r="EV13" s="896"/>
      <c r="EW13" s="896"/>
      <c r="EX13" s="896"/>
      <c r="EY13" s="896"/>
      <c r="EZ13" s="896"/>
      <c r="FA13" s="896"/>
      <c r="FB13" s="896"/>
      <c r="FC13" s="896"/>
      <c r="FD13" s="896"/>
      <c r="FE13" s="896"/>
      <c r="FF13" s="896"/>
      <c r="FG13" s="896"/>
      <c r="FH13" s="896"/>
      <c r="FI13" s="896"/>
      <c r="FJ13" s="808"/>
      <c r="FK13" s="896"/>
      <c r="FL13" s="896"/>
      <c r="FM13" s="896"/>
      <c r="FN13" s="896"/>
      <c r="FO13" s="896"/>
      <c r="FP13" s="896"/>
      <c r="FQ13" s="896"/>
      <c r="FR13" s="896"/>
      <c r="FS13" s="896"/>
      <c r="FT13" s="896"/>
      <c r="FU13" s="896"/>
      <c r="FV13" s="896"/>
      <c r="FW13" s="896"/>
      <c r="FX13" s="896"/>
      <c r="FY13" s="896"/>
      <c r="FZ13" s="896"/>
      <c r="GA13" s="896"/>
      <c r="GB13" s="896"/>
      <c r="GC13" s="896"/>
      <c r="GD13" s="896"/>
      <c r="GE13" s="896"/>
      <c r="GF13" s="896"/>
      <c r="GG13" s="896"/>
      <c r="GH13" s="896"/>
      <c r="GI13" s="896"/>
      <c r="GJ13" s="896"/>
      <c r="GK13" s="896"/>
      <c r="GL13" s="896"/>
      <c r="GM13" s="896"/>
      <c r="GN13" s="896"/>
      <c r="GO13" s="808"/>
      <c r="GP13" s="896"/>
      <c r="GQ13" s="896"/>
      <c r="GR13" s="896"/>
      <c r="GS13" s="896"/>
      <c r="GT13" s="896"/>
      <c r="GU13" s="896"/>
      <c r="GV13" s="896"/>
      <c r="GW13" s="896"/>
      <c r="GX13" s="896"/>
      <c r="GY13" s="896"/>
      <c r="GZ13" s="896"/>
      <c r="HA13" s="896"/>
      <c r="HB13" s="896"/>
      <c r="HC13" s="896"/>
      <c r="HD13" s="896"/>
      <c r="HE13" s="896"/>
      <c r="HF13" s="896"/>
      <c r="HG13" s="896"/>
      <c r="HH13" s="896"/>
      <c r="HI13" s="896"/>
      <c r="HJ13" s="896"/>
      <c r="HK13" s="896"/>
      <c r="HL13" s="896"/>
      <c r="HM13" s="896"/>
      <c r="HN13" s="896"/>
      <c r="HO13" s="896"/>
      <c r="HP13" s="896"/>
      <c r="HQ13" s="896"/>
      <c r="HR13" s="896"/>
      <c r="HS13" s="896"/>
      <c r="HT13" s="896"/>
      <c r="HU13" s="808"/>
      <c r="HV13" s="792">
        <f>'vacaciones 2021'!U12</f>
        <v>0</v>
      </c>
    </row>
    <row r="14" spans="1:230" ht="31.5" customHeight="1" x14ac:dyDescent="0.3">
      <c r="A14" s="297">
        <v>9</v>
      </c>
      <c r="B14" s="873" t="s">
        <v>153</v>
      </c>
      <c r="C14" s="871" t="s">
        <v>435</v>
      </c>
      <c r="D14" s="808"/>
      <c r="E14" s="808"/>
      <c r="F14" s="808"/>
      <c r="G14" s="808"/>
      <c r="H14" s="808"/>
      <c r="I14" s="808"/>
      <c r="J14" s="808"/>
      <c r="K14" s="808"/>
      <c r="L14" s="808"/>
      <c r="M14" s="808"/>
      <c r="N14" s="808"/>
      <c r="O14" s="808"/>
      <c r="P14" s="808"/>
      <c r="Q14" s="808"/>
      <c r="R14" s="808"/>
      <c r="S14" s="808"/>
      <c r="T14" s="808"/>
      <c r="U14" s="808"/>
      <c r="V14" s="808"/>
      <c r="W14" s="808"/>
      <c r="X14" s="808"/>
      <c r="Y14" s="808"/>
      <c r="Z14" s="808"/>
      <c r="AA14" s="808"/>
      <c r="AB14" s="808"/>
      <c r="AC14" s="808"/>
      <c r="AD14" s="808"/>
      <c r="AE14" s="808"/>
      <c r="AF14" s="808"/>
      <c r="AG14" s="808"/>
      <c r="AH14" s="808"/>
      <c r="AI14" s="808"/>
      <c r="AJ14" s="808"/>
      <c r="AK14" s="808"/>
      <c r="AL14" s="808"/>
      <c r="AM14" s="896">
        <f t="shared" si="0"/>
        <v>0</v>
      </c>
      <c r="AN14" s="896"/>
      <c r="AO14" s="896"/>
      <c r="AP14" s="896"/>
      <c r="AQ14" s="896"/>
      <c r="AR14" s="896"/>
      <c r="AS14" s="896"/>
      <c r="AT14" s="896"/>
      <c r="AU14" s="896"/>
      <c r="AV14" s="896"/>
      <c r="AW14" s="896"/>
      <c r="AX14" s="896"/>
      <c r="AY14" s="896"/>
      <c r="AZ14" s="896"/>
      <c r="BA14" s="896"/>
      <c r="BB14" s="896"/>
      <c r="BC14" s="896"/>
      <c r="BD14" s="896"/>
      <c r="BE14" s="896"/>
      <c r="BF14" s="896"/>
      <c r="BG14" s="896"/>
      <c r="BH14" s="896"/>
      <c r="BI14" s="896"/>
      <c r="BJ14" s="896"/>
      <c r="BK14" s="896"/>
      <c r="BL14" s="896"/>
      <c r="BM14" s="896"/>
      <c r="BN14" s="896"/>
      <c r="BO14" s="896"/>
      <c r="BP14" s="896"/>
      <c r="BQ14" s="896"/>
      <c r="BR14" s="896"/>
      <c r="BS14" s="808"/>
      <c r="BT14" s="896"/>
      <c r="BU14" s="896"/>
      <c r="BV14" s="896"/>
      <c r="BW14" s="896"/>
      <c r="BX14" s="896"/>
      <c r="BY14" s="896"/>
      <c r="BZ14" s="896"/>
      <c r="CA14" s="896"/>
      <c r="CB14" s="896"/>
      <c r="CC14" s="896"/>
      <c r="CD14" s="896"/>
      <c r="CE14" s="896"/>
      <c r="CF14" s="896"/>
      <c r="CG14" s="896"/>
      <c r="CH14" s="896"/>
      <c r="CI14" s="896"/>
      <c r="CJ14" s="896"/>
      <c r="CK14" s="896"/>
      <c r="CL14" s="896"/>
      <c r="CM14" s="896"/>
      <c r="CN14" s="896"/>
      <c r="CO14" s="896"/>
      <c r="CP14" s="896"/>
      <c r="CQ14" s="896"/>
      <c r="CR14" s="896"/>
      <c r="CS14" s="896"/>
      <c r="CT14" s="896"/>
      <c r="CU14" s="896"/>
      <c r="CV14" s="896"/>
      <c r="CW14" s="896"/>
      <c r="CX14" s="896"/>
      <c r="CY14" s="808"/>
      <c r="CZ14" s="896"/>
      <c r="DA14" s="896"/>
      <c r="DB14" s="896"/>
      <c r="DC14" s="896"/>
      <c r="DD14" s="896"/>
      <c r="DE14" s="896"/>
      <c r="DF14" s="896"/>
      <c r="DG14" s="896"/>
      <c r="DH14" s="896"/>
      <c r="DI14" s="896"/>
      <c r="DJ14" s="896"/>
      <c r="DK14" s="896"/>
      <c r="DL14" s="896"/>
      <c r="DM14" s="896"/>
      <c r="DN14" s="896"/>
      <c r="DO14" s="896"/>
      <c r="DP14" s="896"/>
      <c r="DQ14" s="896"/>
      <c r="DR14" s="896"/>
      <c r="DS14" s="896"/>
      <c r="DT14" s="896"/>
      <c r="DU14" s="896"/>
      <c r="DV14" s="896"/>
      <c r="DW14" s="896"/>
      <c r="DX14" s="896"/>
      <c r="DY14" s="896"/>
      <c r="DZ14" s="896"/>
      <c r="EA14" s="896"/>
      <c r="EB14" s="896"/>
      <c r="EC14" s="896"/>
      <c r="ED14" s="808"/>
      <c r="EE14" s="896"/>
      <c r="EF14" s="896"/>
      <c r="EG14" s="896"/>
      <c r="EH14" s="896"/>
      <c r="EI14" s="896"/>
      <c r="EJ14" s="896"/>
      <c r="EK14" s="896"/>
      <c r="EL14" s="896"/>
      <c r="EM14" s="896"/>
      <c r="EN14" s="896"/>
      <c r="EO14" s="896" t="s">
        <v>459</v>
      </c>
      <c r="EP14" s="896" t="s">
        <v>459</v>
      </c>
      <c r="EQ14" s="896" t="s">
        <v>459</v>
      </c>
      <c r="ER14" s="896" t="s">
        <v>459</v>
      </c>
      <c r="ES14" s="896" t="s">
        <v>459</v>
      </c>
      <c r="ET14" s="896" t="s">
        <v>459</v>
      </c>
      <c r="EU14" s="896" t="s">
        <v>459</v>
      </c>
      <c r="EV14" s="896"/>
      <c r="EW14" s="896"/>
      <c r="EX14" s="896"/>
      <c r="EY14" s="896"/>
      <c r="EZ14" s="896"/>
      <c r="FA14" s="896"/>
      <c r="FB14" s="896"/>
      <c r="FC14" s="896"/>
      <c r="FD14" s="896"/>
      <c r="FE14" s="896"/>
      <c r="FF14" s="896"/>
      <c r="FG14" s="896"/>
      <c r="FH14" s="896"/>
      <c r="FI14" s="896"/>
      <c r="FJ14" s="808"/>
      <c r="FK14" s="896"/>
      <c r="FL14" s="896"/>
      <c r="FM14" s="896"/>
      <c r="FN14" s="896"/>
      <c r="FO14" s="896"/>
      <c r="FP14" s="896"/>
      <c r="FQ14" s="896"/>
      <c r="FR14" s="896"/>
      <c r="FS14" s="896"/>
      <c r="FT14" s="896"/>
      <c r="FU14" s="896"/>
      <c r="FV14" s="896"/>
      <c r="FW14" s="896"/>
      <c r="FX14" s="896"/>
      <c r="FY14" s="896"/>
      <c r="FZ14" s="896"/>
      <c r="GA14" s="896"/>
      <c r="GB14" s="896"/>
      <c r="GC14" s="896"/>
      <c r="GD14" s="896"/>
      <c r="GE14" s="896"/>
      <c r="GF14" s="896"/>
      <c r="GG14" s="896"/>
      <c r="GH14" s="896"/>
      <c r="GI14" s="896"/>
      <c r="GJ14" s="896"/>
      <c r="GK14" s="896"/>
      <c r="GL14" s="896"/>
      <c r="GM14" s="896"/>
      <c r="GN14" s="896"/>
      <c r="GO14" s="808"/>
      <c r="GP14" s="896"/>
      <c r="GQ14" s="896"/>
      <c r="GR14" s="896"/>
      <c r="GS14" s="896"/>
      <c r="GT14" s="896"/>
      <c r="GU14" s="896"/>
      <c r="GV14" s="896"/>
      <c r="GW14" s="896"/>
      <c r="GX14" s="896"/>
      <c r="GY14" s="896"/>
      <c r="GZ14" s="896"/>
      <c r="HA14" s="896"/>
      <c r="HB14" s="896"/>
      <c r="HC14" s="896"/>
      <c r="HD14" s="896"/>
      <c r="HE14" s="896"/>
      <c r="HF14" s="896"/>
      <c r="HG14" s="896"/>
      <c r="HH14" s="896"/>
      <c r="HI14" s="896"/>
      <c r="HJ14" s="896"/>
      <c r="HK14" s="896"/>
      <c r="HL14" s="896"/>
      <c r="HM14" s="896"/>
      <c r="HN14" s="896"/>
      <c r="HO14" s="896"/>
      <c r="HP14" s="896"/>
      <c r="HQ14" s="896"/>
      <c r="HR14" s="896"/>
      <c r="HS14" s="896"/>
      <c r="HT14" s="896"/>
      <c r="HU14" s="808"/>
      <c r="HV14" s="792">
        <f>'vacaciones 2021'!U10</f>
        <v>-8</v>
      </c>
    </row>
    <row r="15" spans="1:230" ht="31.5" customHeight="1" x14ac:dyDescent="0.3">
      <c r="A15" s="297"/>
      <c r="B15" s="881" t="s">
        <v>454</v>
      </c>
      <c r="C15" s="882"/>
      <c r="D15" s="888"/>
      <c r="E15" s="889"/>
      <c r="F15" s="889"/>
      <c r="G15" s="889"/>
      <c r="H15" s="889"/>
      <c r="I15" s="889"/>
      <c r="J15" s="889"/>
      <c r="K15" s="889"/>
      <c r="L15" s="889"/>
      <c r="M15" s="889"/>
      <c r="N15" s="889"/>
      <c r="O15" s="889"/>
      <c r="P15" s="889"/>
      <c r="Q15" s="889"/>
      <c r="R15" s="889"/>
      <c r="S15" s="889"/>
      <c r="T15" s="889"/>
      <c r="U15" s="889"/>
      <c r="V15" s="889"/>
      <c r="W15" s="889"/>
      <c r="X15" s="889"/>
      <c r="Y15" s="889"/>
      <c r="Z15" s="889"/>
      <c r="AA15" s="889"/>
      <c r="AB15" s="889"/>
      <c r="AC15" s="889"/>
      <c r="AD15" s="889"/>
      <c r="AE15" s="889"/>
      <c r="AF15" s="889"/>
      <c r="AG15" s="889"/>
      <c r="AH15" s="889"/>
      <c r="AI15" s="889"/>
      <c r="AJ15" s="889"/>
      <c r="AK15" s="889"/>
      <c r="AL15" s="889"/>
      <c r="AM15" s="895"/>
      <c r="AN15" s="895"/>
      <c r="AO15" s="895"/>
      <c r="AP15" s="895"/>
      <c r="AQ15" s="895"/>
      <c r="AR15" s="895"/>
      <c r="AS15" s="895"/>
      <c r="AT15" s="895"/>
      <c r="AU15" s="895"/>
      <c r="AV15" s="895"/>
      <c r="AW15" s="895"/>
      <c r="AX15" s="895"/>
      <c r="AY15" s="895"/>
      <c r="AZ15" s="895"/>
      <c r="BA15" s="895"/>
      <c r="BB15" s="895"/>
      <c r="BC15" s="895"/>
      <c r="BD15" s="895"/>
      <c r="BE15" s="895"/>
      <c r="BF15" s="895"/>
      <c r="BG15" s="895"/>
      <c r="BH15" s="895"/>
      <c r="BI15" s="895"/>
      <c r="BJ15" s="895"/>
      <c r="BK15" s="895"/>
      <c r="BL15" s="895"/>
      <c r="BM15" s="895"/>
      <c r="BN15" s="895"/>
      <c r="BO15" s="895"/>
      <c r="BP15" s="895"/>
      <c r="BQ15" s="895"/>
      <c r="BR15" s="895"/>
      <c r="BS15" s="889"/>
      <c r="BT15" s="895"/>
      <c r="BU15" s="895"/>
      <c r="BV15" s="895"/>
      <c r="BW15" s="895"/>
      <c r="BX15" s="895"/>
      <c r="BY15" s="895"/>
      <c r="BZ15" s="895"/>
      <c r="CA15" s="895"/>
      <c r="CB15" s="895"/>
      <c r="CC15" s="895"/>
      <c r="CD15" s="895"/>
      <c r="CE15" s="895"/>
      <c r="CF15" s="895"/>
      <c r="CG15" s="895"/>
      <c r="CH15" s="895"/>
      <c r="CI15" s="895"/>
      <c r="CJ15" s="895"/>
      <c r="CK15" s="895"/>
      <c r="CL15" s="895"/>
      <c r="CM15" s="895"/>
      <c r="CN15" s="895"/>
      <c r="CO15" s="895"/>
      <c r="CP15" s="895"/>
      <c r="CQ15" s="895"/>
      <c r="CR15" s="895"/>
      <c r="CS15" s="895"/>
      <c r="CT15" s="895"/>
      <c r="CU15" s="895"/>
      <c r="CV15" s="895"/>
      <c r="CW15" s="895"/>
      <c r="CX15" s="895"/>
      <c r="CY15" s="889"/>
      <c r="CZ15" s="895"/>
      <c r="DA15" s="895"/>
      <c r="DB15" s="895"/>
      <c r="DC15" s="895"/>
      <c r="DD15" s="895"/>
      <c r="DE15" s="895"/>
      <c r="DF15" s="895"/>
      <c r="DG15" s="895"/>
      <c r="DH15" s="895"/>
      <c r="DI15" s="895"/>
      <c r="DJ15" s="895"/>
      <c r="DK15" s="895"/>
      <c r="DL15" s="895"/>
      <c r="DM15" s="895"/>
      <c r="DN15" s="895"/>
      <c r="DO15" s="895"/>
      <c r="DP15" s="895"/>
      <c r="DQ15" s="895"/>
      <c r="DR15" s="895"/>
      <c r="DS15" s="895"/>
      <c r="DT15" s="895"/>
      <c r="DU15" s="895"/>
      <c r="DV15" s="895"/>
      <c r="DW15" s="895"/>
      <c r="DX15" s="895"/>
      <c r="DY15" s="895"/>
      <c r="DZ15" s="895"/>
      <c r="EA15" s="895"/>
      <c r="EB15" s="895"/>
      <c r="EC15" s="895"/>
      <c r="ED15" s="889"/>
      <c r="EE15" s="895"/>
      <c r="EF15" s="895"/>
      <c r="EG15" s="895"/>
      <c r="EH15" s="895"/>
      <c r="EI15" s="895"/>
      <c r="EJ15" s="895"/>
      <c r="EK15" s="895"/>
      <c r="EL15" s="895"/>
      <c r="EM15" s="895"/>
      <c r="EN15" s="895"/>
      <c r="EO15" s="895"/>
      <c r="EP15" s="895"/>
      <c r="EQ15" s="895"/>
      <c r="ER15" s="895"/>
      <c r="ES15" s="895"/>
      <c r="ET15" s="895"/>
      <c r="EU15" s="895"/>
      <c r="EV15" s="895"/>
      <c r="EW15" s="895"/>
      <c r="EX15" s="895"/>
      <c r="EY15" s="895"/>
      <c r="EZ15" s="895"/>
      <c r="FA15" s="895"/>
      <c r="FB15" s="895"/>
      <c r="FC15" s="895"/>
      <c r="FD15" s="895"/>
      <c r="FE15" s="895"/>
      <c r="FF15" s="895"/>
      <c r="FG15" s="895"/>
      <c r="FH15" s="895"/>
      <c r="FI15" s="895"/>
      <c r="FJ15" s="889"/>
      <c r="FK15" s="895"/>
      <c r="FL15" s="895"/>
      <c r="FM15" s="895"/>
      <c r="FN15" s="895"/>
      <c r="FO15" s="895"/>
      <c r="FP15" s="895"/>
      <c r="FQ15" s="895"/>
      <c r="FR15" s="895"/>
      <c r="FS15" s="895"/>
      <c r="FT15" s="895"/>
      <c r="FU15" s="895"/>
      <c r="FV15" s="895"/>
      <c r="FW15" s="895"/>
      <c r="FX15" s="895"/>
      <c r="FY15" s="895"/>
      <c r="FZ15" s="895"/>
      <c r="GA15" s="895"/>
      <c r="GB15" s="895"/>
      <c r="GC15" s="895"/>
      <c r="GD15" s="895"/>
      <c r="GE15" s="895"/>
      <c r="GF15" s="895"/>
      <c r="GG15" s="895"/>
      <c r="GH15" s="895"/>
      <c r="GI15" s="895"/>
      <c r="GJ15" s="895"/>
      <c r="GK15" s="895"/>
      <c r="GL15" s="895"/>
      <c r="GM15" s="895"/>
      <c r="GN15" s="895"/>
      <c r="GO15" s="889"/>
      <c r="GP15" s="895"/>
      <c r="GQ15" s="895"/>
      <c r="GR15" s="895"/>
      <c r="GS15" s="895"/>
      <c r="GT15" s="895"/>
      <c r="GU15" s="895"/>
      <c r="GV15" s="895"/>
      <c r="GW15" s="895"/>
      <c r="GX15" s="895"/>
      <c r="GY15" s="895"/>
      <c r="GZ15" s="895"/>
      <c r="HA15" s="895"/>
      <c r="HB15" s="895"/>
      <c r="HC15" s="895"/>
      <c r="HD15" s="895"/>
      <c r="HE15" s="895"/>
      <c r="HF15" s="895"/>
      <c r="HG15" s="895"/>
      <c r="HH15" s="895"/>
      <c r="HI15" s="895"/>
      <c r="HJ15" s="895"/>
      <c r="HK15" s="895"/>
      <c r="HL15" s="895"/>
      <c r="HM15" s="895"/>
      <c r="HN15" s="895"/>
      <c r="HO15" s="895"/>
      <c r="HP15" s="895"/>
      <c r="HQ15" s="895"/>
      <c r="HR15" s="895"/>
      <c r="HS15" s="895"/>
      <c r="HT15" s="895"/>
      <c r="HU15" s="889"/>
      <c r="HV15" s="883"/>
    </row>
    <row r="16" spans="1:230" ht="31.5" customHeight="1" x14ac:dyDescent="0.3">
      <c r="A16" s="297">
        <v>10</v>
      </c>
      <c r="B16" s="843" t="s">
        <v>107</v>
      </c>
      <c r="C16" s="864" t="s">
        <v>430</v>
      </c>
      <c r="D16" s="808"/>
      <c r="E16" s="808"/>
      <c r="F16" s="808"/>
      <c r="G16" s="808"/>
      <c r="H16" s="808"/>
      <c r="I16" s="808"/>
      <c r="J16" s="808"/>
      <c r="K16" s="808"/>
      <c r="L16" s="808"/>
      <c r="M16" s="808"/>
      <c r="N16" s="786"/>
      <c r="O16" s="786"/>
      <c r="P16" s="786"/>
      <c r="Q16" s="786"/>
      <c r="R16" s="786"/>
      <c r="S16" s="786"/>
      <c r="T16" s="786"/>
      <c r="U16" s="786"/>
      <c r="V16" s="786"/>
      <c r="W16" s="786"/>
      <c r="X16" s="786"/>
      <c r="Y16" s="786"/>
      <c r="Z16" s="786"/>
      <c r="AA16" s="786"/>
      <c r="AB16" s="786"/>
      <c r="AC16" s="786">
        <v>1</v>
      </c>
      <c r="AD16" s="786"/>
      <c r="AE16" s="786"/>
      <c r="AF16" s="786"/>
      <c r="AG16" s="786"/>
      <c r="AH16" s="786"/>
      <c r="AI16" s="786"/>
      <c r="AJ16" s="786"/>
      <c r="AK16" s="786"/>
      <c r="AL16" s="786"/>
      <c r="AM16" s="787">
        <f t="shared" si="0"/>
        <v>1</v>
      </c>
      <c r="AN16" s="787"/>
      <c r="AO16" s="787"/>
      <c r="AP16" s="787"/>
      <c r="AQ16" s="787"/>
      <c r="AR16" s="787"/>
      <c r="AS16" s="787"/>
      <c r="AT16" s="787"/>
      <c r="AU16" s="787"/>
      <c r="AV16" s="787"/>
      <c r="AW16" s="787"/>
      <c r="AX16" s="787"/>
      <c r="AY16" s="787"/>
      <c r="AZ16" s="787"/>
      <c r="BA16" s="787"/>
      <c r="BB16" s="787"/>
      <c r="BC16" s="787"/>
      <c r="BD16" s="787"/>
      <c r="BE16" s="787"/>
      <c r="BF16" s="787"/>
      <c r="BG16" s="787"/>
      <c r="BH16" s="787"/>
      <c r="BI16" s="787"/>
      <c r="BJ16" s="787"/>
      <c r="BK16" s="787"/>
      <c r="BL16" s="787"/>
      <c r="BM16" s="787"/>
      <c r="BN16" s="787"/>
      <c r="BO16" s="787"/>
      <c r="BP16" s="787"/>
      <c r="BQ16" s="787"/>
      <c r="BR16" s="787"/>
      <c r="BS16" s="786"/>
      <c r="BT16" s="787"/>
      <c r="BU16" s="787"/>
      <c r="BV16" s="787"/>
      <c r="BW16" s="787"/>
      <c r="BX16" s="787"/>
      <c r="BY16" s="787"/>
      <c r="BZ16" s="787"/>
      <c r="CA16" s="787"/>
      <c r="CB16" s="787"/>
      <c r="CC16" s="787"/>
      <c r="CD16" s="787"/>
      <c r="CE16" s="787"/>
      <c r="CF16" s="787"/>
      <c r="CG16" s="787"/>
      <c r="CH16" s="787"/>
      <c r="CI16" s="787"/>
      <c r="CJ16" s="787"/>
      <c r="CK16" s="787"/>
      <c r="CL16" s="787"/>
      <c r="CM16" s="787"/>
      <c r="CN16" s="787"/>
      <c r="CO16" s="787"/>
      <c r="CP16" s="787"/>
      <c r="CQ16" s="787"/>
      <c r="CR16" s="787"/>
      <c r="CS16" s="787"/>
      <c r="CT16" s="787"/>
      <c r="CU16" s="787"/>
      <c r="CV16" s="787"/>
      <c r="CW16" s="787"/>
      <c r="CX16" s="787"/>
      <c r="CY16" s="786"/>
      <c r="CZ16" s="787"/>
      <c r="DA16" s="787"/>
      <c r="DB16" s="787"/>
      <c r="DC16" s="787"/>
      <c r="DD16" s="787"/>
      <c r="DE16" s="787"/>
      <c r="DF16" s="787"/>
      <c r="DG16" s="787"/>
      <c r="DH16" s="787"/>
      <c r="DI16" s="787"/>
      <c r="DJ16" s="787"/>
      <c r="DK16" s="787"/>
      <c r="DL16" s="787"/>
      <c r="DM16" s="787"/>
      <c r="DN16" s="787"/>
      <c r="DO16" s="787"/>
      <c r="DP16" s="787"/>
      <c r="DQ16" s="787"/>
      <c r="DR16" s="787"/>
      <c r="DS16" s="787"/>
      <c r="DT16" s="787"/>
      <c r="DU16" s="787"/>
      <c r="DV16" s="787"/>
      <c r="DW16" s="787"/>
      <c r="DX16" s="787"/>
      <c r="DY16" s="787"/>
      <c r="DZ16" s="787"/>
      <c r="EA16" s="787"/>
      <c r="EB16" s="787"/>
      <c r="EC16" s="787"/>
      <c r="ED16" s="786"/>
      <c r="EE16" s="787"/>
      <c r="EF16" s="787"/>
      <c r="EG16" s="787"/>
      <c r="EH16" s="787"/>
      <c r="EI16" s="787"/>
      <c r="EJ16" s="787"/>
      <c r="EK16" s="787"/>
      <c r="EL16" s="787"/>
      <c r="EM16" s="787"/>
      <c r="EN16" s="787"/>
      <c r="EO16" s="787"/>
      <c r="EP16" s="787"/>
      <c r="EQ16" s="787"/>
      <c r="ER16" s="787"/>
      <c r="ES16" s="787"/>
      <c r="ET16" s="787"/>
      <c r="EU16" s="787"/>
      <c r="EV16" s="787"/>
      <c r="EW16" s="787"/>
      <c r="EX16" s="787"/>
      <c r="EY16" s="787"/>
      <c r="EZ16" s="787"/>
      <c r="FA16" s="787"/>
      <c r="FB16" s="787"/>
      <c r="FC16" s="787"/>
      <c r="FD16" s="787"/>
      <c r="FE16" s="787"/>
      <c r="FF16" s="787"/>
      <c r="FG16" s="787"/>
      <c r="FH16" s="787"/>
      <c r="FI16" s="787"/>
      <c r="FJ16" s="786"/>
      <c r="FK16" s="787"/>
      <c r="FL16" s="787"/>
      <c r="FM16" s="787"/>
      <c r="FN16" s="787"/>
      <c r="FO16" s="787"/>
      <c r="FP16" s="787"/>
      <c r="FQ16" s="787"/>
      <c r="FR16" s="787"/>
      <c r="FS16" s="787"/>
      <c r="FT16" s="787"/>
      <c r="FU16" s="787"/>
      <c r="FV16" s="787"/>
      <c r="FW16" s="787"/>
      <c r="FX16" s="787"/>
      <c r="FY16" s="787"/>
      <c r="FZ16" s="787"/>
      <c r="GA16" s="787"/>
      <c r="GB16" s="787"/>
      <c r="GC16" s="787"/>
      <c r="GD16" s="787"/>
      <c r="GE16" s="787"/>
      <c r="GF16" s="787"/>
      <c r="GG16" s="787"/>
      <c r="GH16" s="787"/>
      <c r="GI16" s="787"/>
      <c r="GJ16" s="787"/>
      <c r="GK16" s="787"/>
      <c r="GL16" s="787"/>
      <c r="GM16" s="787"/>
      <c r="GN16" s="787"/>
      <c r="GO16" s="786"/>
      <c r="GP16" s="787"/>
      <c r="GQ16" s="787"/>
      <c r="GR16" s="787"/>
      <c r="GS16" s="787"/>
      <c r="GT16" s="787"/>
      <c r="GU16" s="787"/>
      <c r="GV16" s="787"/>
      <c r="GW16" s="787"/>
      <c r="GX16" s="787"/>
      <c r="GY16" s="787"/>
      <c r="GZ16" s="787"/>
      <c r="HA16" s="787"/>
      <c r="HB16" s="787"/>
      <c r="HC16" s="787"/>
      <c r="HD16" s="787"/>
      <c r="HE16" s="787"/>
      <c r="HF16" s="787"/>
      <c r="HG16" s="787"/>
      <c r="HH16" s="787"/>
      <c r="HI16" s="787"/>
      <c r="HJ16" s="787"/>
      <c r="HK16" s="787"/>
      <c r="HL16" s="787"/>
      <c r="HM16" s="787"/>
      <c r="HN16" s="787"/>
      <c r="HO16" s="787"/>
      <c r="HP16" s="787"/>
      <c r="HQ16" s="787"/>
      <c r="HR16" s="787"/>
      <c r="HS16" s="787"/>
      <c r="HT16" s="787"/>
      <c r="HU16" s="786"/>
      <c r="HV16" s="792">
        <f>'vacaciones 2021'!U16</f>
        <v>63</v>
      </c>
    </row>
    <row r="17" spans="1:230" ht="31.5" customHeight="1" x14ac:dyDescent="0.3">
      <c r="A17" s="297">
        <v>11</v>
      </c>
      <c r="B17" s="808" t="s">
        <v>16</v>
      </c>
      <c r="C17" s="806" t="s">
        <v>431</v>
      </c>
      <c r="D17" s="808"/>
      <c r="E17" s="808"/>
      <c r="F17" s="808"/>
      <c r="G17" s="808"/>
      <c r="H17" s="808"/>
      <c r="I17" s="808"/>
      <c r="J17" s="808"/>
      <c r="K17" s="808"/>
      <c r="L17" s="808"/>
      <c r="M17" s="808"/>
      <c r="N17" s="786"/>
      <c r="O17" s="891">
        <v>1</v>
      </c>
      <c r="P17" s="786"/>
      <c r="Q17" s="786"/>
      <c r="R17" s="786"/>
      <c r="S17" s="786"/>
      <c r="T17" s="786"/>
      <c r="U17" s="786"/>
      <c r="V17" s="786"/>
      <c r="W17" s="786"/>
      <c r="X17" s="786"/>
      <c r="Y17" s="786"/>
      <c r="Z17" s="786"/>
      <c r="AA17" s="786"/>
      <c r="AB17" s="786"/>
      <c r="AC17" s="891">
        <v>1</v>
      </c>
      <c r="AD17" s="891">
        <v>1</v>
      </c>
      <c r="AE17" s="891">
        <v>1</v>
      </c>
      <c r="AF17" s="891">
        <v>1</v>
      </c>
      <c r="AG17" s="891">
        <v>1</v>
      </c>
      <c r="AH17" s="891">
        <v>1</v>
      </c>
      <c r="AI17" s="891">
        <v>1</v>
      </c>
      <c r="AJ17" s="891">
        <v>1</v>
      </c>
      <c r="AK17" s="786"/>
      <c r="AL17" s="786"/>
      <c r="AM17" s="787">
        <f t="shared" si="0"/>
        <v>9</v>
      </c>
      <c r="AN17" s="787"/>
      <c r="AO17" s="787"/>
      <c r="AP17" s="787"/>
      <c r="AQ17" s="787"/>
      <c r="AR17" s="787"/>
      <c r="AS17" s="787"/>
      <c r="AT17" s="787"/>
      <c r="AU17" s="787"/>
      <c r="AV17" s="787"/>
      <c r="AW17" s="787"/>
      <c r="AX17" s="787"/>
      <c r="AY17" s="787"/>
      <c r="AZ17" s="787"/>
      <c r="BA17" s="787"/>
      <c r="BB17" s="787"/>
      <c r="BC17" s="787"/>
      <c r="BD17" s="787"/>
      <c r="BE17" s="787"/>
      <c r="BF17" s="787"/>
      <c r="BG17" s="787"/>
      <c r="BH17" s="787"/>
      <c r="BI17" s="787"/>
      <c r="BJ17" s="787"/>
      <c r="BK17" s="787"/>
      <c r="BL17" s="787"/>
      <c r="BM17" s="787"/>
      <c r="BN17" s="787"/>
      <c r="BO17" s="787"/>
      <c r="BP17" s="787"/>
      <c r="BQ17" s="787"/>
      <c r="BR17" s="787"/>
      <c r="BS17" s="786"/>
      <c r="BT17" s="787"/>
      <c r="BU17" s="787"/>
      <c r="BV17" s="787"/>
      <c r="BW17" s="787"/>
      <c r="BX17" s="787"/>
      <c r="BY17" s="787"/>
      <c r="BZ17" s="787"/>
      <c r="CA17" s="787"/>
      <c r="CB17" s="787"/>
      <c r="CC17" s="787"/>
      <c r="CD17" s="787"/>
      <c r="CE17" s="787"/>
      <c r="CF17" s="787"/>
      <c r="CG17" s="787"/>
      <c r="CH17" s="787"/>
      <c r="CI17" s="787"/>
      <c r="CJ17" s="787"/>
      <c r="CK17" s="787"/>
      <c r="CL17" s="787"/>
      <c r="CM17" s="787"/>
      <c r="CN17" s="787"/>
      <c r="CO17" s="787"/>
      <c r="CP17" s="787"/>
      <c r="CQ17" s="787"/>
      <c r="CR17" s="787"/>
      <c r="CS17" s="787"/>
      <c r="CT17" s="787"/>
      <c r="CU17" s="787"/>
      <c r="CV17" s="787"/>
      <c r="CW17" s="787"/>
      <c r="CX17" s="787"/>
      <c r="CY17" s="786"/>
      <c r="CZ17" s="787"/>
      <c r="DA17" s="787"/>
      <c r="DB17" s="787"/>
      <c r="DC17" s="787"/>
      <c r="DD17" s="787"/>
      <c r="DE17" s="787"/>
      <c r="DF17" s="787"/>
      <c r="DG17" s="787"/>
      <c r="DH17" s="787"/>
      <c r="DI17" s="787"/>
      <c r="DJ17" s="787"/>
      <c r="DK17" s="787"/>
      <c r="DL17" s="787"/>
      <c r="DM17" s="787"/>
      <c r="DN17" s="787"/>
      <c r="DO17" s="787"/>
      <c r="DP17" s="787"/>
      <c r="DQ17" s="787"/>
      <c r="DR17" s="787"/>
      <c r="DS17" s="787"/>
      <c r="DT17" s="787"/>
      <c r="DU17" s="787"/>
      <c r="DV17" s="787"/>
      <c r="DW17" s="787"/>
      <c r="DX17" s="787"/>
      <c r="DY17" s="787"/>
      <c r="DZ17" s="787"/>
      <c r="EA17" s="787"/>
      <c r="EB17" s="787"/>
      <c r="EC17" s="787"/>
      <c r="ED17" s="786"/>
      <c r="EE17" s="787"/>
      <c r="EF17" s="787"/>
      <c r="EG17" s="787"/>
      <c r="EH17" s="787"/>
      <c r="EI17" s="787"/>
      <c r="EJ17" s="787"/>
      <c r="EK17" s="787"/>
      <c r="EL17" s="787"/>
      <c r="EM17" s="787"/>
      <c r="EN17" s="787"/>
      <c r="EO17" s="787"/>
      <c r="EP17" s="787"/>
      <c r="EQ17" s="787"/>
      <c r="ER17" s="787"/>
      <c r="ES17" s="787"/>
      <c r="ET17" s="787"/>
      <c r="EU17" s="787"/>
      <c r="EV17" s="787"/>
      <c r="EW17" s="787"/>
      <c r="EX17" s="787"/>
      <c r="EY17" s="787"/>
      <c r="EZ17" s="787"/>
      <c r="FA17" s="787"/>
      <c r="FB17" s="787"/>
      <c r="FC17" s="787"/>
      <c r="FD17" s="787"/>
      <c r="FE17" s="787"/>
      <c r="FF17" s="787"/>
      <c r="FG17" s="787"/>
      <c r="FH17" s="787"/>
      <c r="FI17" s="787"/>
      <c r="FJ17" s="786"/>
      <c r="FK17" s="787"/>
      <c r="FL17" s="787"/>
      <c r="FM17" s="787"/>
      <c r="FN17" s="787"/>
      <c r="FO17" s="787"/>
      <c r="FP17" s="787"/>
      <c r="FQ17" s="787"/>
      <c r="FR17" s="787"/>
      <c r="FS17" s="787"/>
      <c r="FT17" s="787"/>
      <c r="FU17" s="787"/>
      <c r="FV17" s="787"/>
      <c r="FW17" s="787"/>
      <c r="FX17" s="787"/>
      <c r="FY17" s="787"/>
      <c r="FZ17" s="787"/>
      <c r="GA17" s="787"/>
      <c r="GB17" s="787"/>
      <c r="GC17" s="787"/>
      <c r="GD17" s="787"/>
      <c r="GE17" s="787"/>
      <c r="GF17" s="787"/>
      <c r="GG17" s="787"/>
      <c r="GH17" s="787"/>
      <c r="GI17" s="787"/>
      <c r="GJ17" s="787"/>
      <c r="GK17" s="787"/>
      <c r="GL17" s="787"/>
      <c r="GM17" s="787"/>
      <c r="GN17" s="787"/>
      <c r="GO17" s="786"/>
      <c r="GP17" s="787"/>
      <c r="GQ17" s="787"/>
      <c r="GR17" s="787"/>
      <c r="GS17" s="787"/>
      <c r="GT17" s="787"/>
      <c r="GU17" s="787"/>
      <c r="GV17" s="787"/>
      <c r="GW17" s="787"/>
      <c r="GX17" s="787"/>
      <c r="GY17" s="787"/>
      <c r="GZ17" s="787"/>
      <c r="HA17" s="787"/>
      <c r="HB17" s="787"/>
      <c r="HC17" s="787"/>
      <c r="HD17" s="787"/>
      <c r="HE17" s="787"/>
      <c r="HF17" s="787"/>
      <c r="HG17" s="787"/>
      <c r="HH17" s="787"/>
      <c r="HI17" s="787"/>
      <c r="HJ17" s="787"/>
      <c r="HK17" s="787"/>
      <c r="HL17" s="787"/>
      <c r="HM17" s="787"/>
      <c r="HN17" s="787"/>
      <c r="HO17" s="787"/>
      <c r="HP17" s="787"/>
      <c r="HQ17" s="787"/>
      <c r="HR17" s="787"/>
      <c r="HS17" s="787"/>
      <c r="HT17" s="787"/>
      <c r="HU17" s="786"/>
      <c r="HV17" s="792">
        <f>'vacaciones 2021'!U18</f>
        <v>35</v>
      </c>
    </row>
    <row r="18" spans="1:230" ht="31.5" customHeight="1" x14ac:dyDescent="0.3">
      <c r="A18" s="297">
        <v>12</v>
      </c>
      <c r="B18" s="808" t="s">
        <v>404</v>
      </c>
      <c r="C18" s="806" t="s">
        <v>435</v>
      </c>
      <c r="D18" s="808"/>
      <c r="E18" s="808"/>
      <c r="F18" s="808"/>
      <c r="G18" s="808"/>
      <c r="H18" s="808"/>
      <c r="I18" s="808"/>
      <c r="J18" s="808"/>
      <c r="K18" s="808"/>
      <c r="L18" s="808"/>
      <c r="M18" s="808"/>
      <c r="N18" s="786"/>
      <c r="O18" s="786"/>
      <c r="P18" s="786"/>
      <c r="Q18" s="786"/>
      <c r="R18" s="786"/>
      <c r="S18" s="786"/>
      <c r="T18" s="786"/>
      <c r="U18" s="786"/>
      <c r="V18" s="786"/>
      <c r="W18" s="786"/>
      <c r="X18" s="786"/>
      <c r="Y18" s="786"/>
      <c r="Z18" s="786"/>
      <c r="AA18" s="786"/>
      <c r="AB18" s="786"/>
      <c r="AC18" s="786"/>
      <c r="AD18" s="786"/>
      <c r="AE18" s="786"/>
      <c r="AF18" s="786"/>
      <c r="AG18" s="786"/>
      <c r="AH18" s="786"/>
      <c r="AI18" s="786"/>
      <c r="AJ18" s="786"/>
      <c r="AK18" s="786"/>
      <c r="AL18" s="786"/>
      <c r="AM18" s="787">
        <f t="shared" si="0"/>
        <v>0</v>
      </c>
      <c r="AN18" s="787"/>
      <c r="AO18" s="787"/>
      <c r="AP18" s="787"/>
      <c r="AQ18" s="787"/>
      <c r="AR18" s="787"/>
      <c r="AS18" s="787"/>
      <c r="AT18" s="787"/>
      <c r="AU18" s="787"/>
      <c r="AV18" s="787"/>
      <c r="AW18" s="787"/>
      <c r="AX18" s="787"/>
      <c r="AY18" s="787"/>
      <c r="AZ18" s="787"/>
      <c r="BA18" s="787"/>
      <c r="BB18" s="787"/>
      <c r="BC18" s="787"/>
      <c r="BD18" s="787"/>
      <c r="BE18" s="787"/>
      <c r="BF18" s="787"/>
      <c r="BG18" s="787"/>
      <c r="BH18" s="787"/>
      <c r="BI18" s="787"/>
      <c r="BJ18" s="787"/>
      <c r="BK18" s="787"/>
      <c r="BL18" s="787"/>
      <c r="BM18" s="787"/>
      <c r="BN18" s="787"/>
      <c r="BO18" s="787"/>
      <c r="BP18" s="787"/>
      <c r="BQ18" s="787"/>
      <c r="BR18" s="787"/>
      <c r="BS18" s="786"/>
      <c r="BT18" s="787"/>
      <c r="BU18" s="787"/>
      <c r="BV18" s="787"/>
      <c r="BW18" s="787"/>
      <c r="BX18" s="787"/>
      <c r="BY18" s="787"/>
      <c r="BZ18" s="787"/>
      <c r="CA18" s="787"/>
      <c r="CB18" s="787"/>
      <c r="CC18" s="787"/>
      <c r="CD18" s="787"/>
      <c r="CE18" s="787"/>
      <c r="CF18" s="787"/>
      <c r="CG18" s="787"/>
      <c r="CH18" s="787"/>
      <c r="CI18" s="787"/>
      <c r="CJ18" s="787"/>
      <c r="CK18" s="787"/>
      <c r="CL18" s="787"/>
      <c r="CM18" s="787"/>
      <c r="CN18" s="787"/>
      <c r="CO18" s="787"/>
      <c r="CP18" s="787"/>
      <c r="CQ18" s="787"/>
      <c r="CR18" s="787"/>
      <c r="CS18" s="787"/>
      <c r="CT18" s="787"/>
      <c r="CU18" s="787"/>
      <c r="CV18" s="787"/>
      <c r="CW18" s="787"/>
      <c r="CX18" s="787"/>
      <c r="CY18" s="786"/>
      <c r="CZ18" s="787"/>
      <c r="DA18" s="787"/>
      <c r="DB18" s="787"/>
      <c r="DC18" s="787"/>
      <c r="DD18" s="787"/>
      <c r="DE18" s="787"/>
      <c r="DF18" s="787"/>
      <c r="DG18" s="787"/>
      <c r="DH18" s="787"/>
      <c r="DI18" s="787"/>
      <c r="DJ18" s="787"/>
      <c r="DK18" s="787"/>
      <c r="DL18" s="787"/>
      <c r="DM18" s="787"/>
      <c r="DN18" s="787"/>
      <c r="DO18" s="787"/>
      <c r="DP18" s="787"/>
      <c r="DQ18" s="787"/>
      <c r="DR18" s="787"/>
      <c r="DS18" s="787"/>
      <c r="DT18" s="787"/>
      <c r="DU18" s="787"/>
      <c r="DV18" s="787"/>
      <c r="DW18" s="787"/>
      <c r="DX18" s="787"/>
      <c r="DY18" s="787"/>
      <c r="DZ18" s="787"/>
      <c r="EA18" s="787"/>
      <c r="EB18" s="787"/>
      <c r="EC18" s="787"/>
      <c r="ED18" s="786"/>
      <c r="EE18" s="787"/>
      <c r="EF18" s="787"/>
      <c r="EG18" s="787"/>
      <c r="EH18" s="787"/>
      <c r="EI18" s="787"/>
      <c r="EJ18" s="787"/>
      <c r="EK18" s="787"/>
      <c r="EL18" s="787"/>
      <c r="EM18" s="787"/>
      <c r="EN18" s="787"/>
      <c r="EO18" s="787"/>
      <c r="EP18" s="787"/>
      <c r="EQ18" s="787"/>
      <c r="ER18" s="787"/>
      <c r="ES18" s="787"/>
      <c r="ET18" s="787"/>
      <c r="EU18" s="787"/>
      <c r="EV18" s="787"/>
      <c r="EW18" s="787"/>
      <c r="EX18" s="787"/>
      <c r="EY18" s="787"/>
      <c r="EZ18" s="787"/>
      <c r="FA18" s="787"/>
      <c r="FB18" s="787"/>
      <c r="FC18" s="787"/>
      <c r="FD18" s="787"/>
      <c r="FE18" s="787"/>
      <c r="FF18" s="787"/>
      <c r="FG18" s="787"/>
      <c r="FH18" s="787"/>
      <c r="FI18" s="787"/>
      <c r="FJ18" s="786"/>
      <c r="FK18" s="787"/>
      <c r="FL18" s="787"/>
      <c r="FM18" s="787"/>
      <c r="FN18" s="787"/>
      <c r="FO18" s="787"/>
      <c r="FP18" s="787"/>
      <c r="FQ18" s="787"/>
      <c r="FR18" s="787"/>
      <c r="FS18" s="787"/>
      <c r="FT18" s="787"/>
      <c r="FU18" s="787"/>
      <c r="FV18" s="787"/>
      <c r="FW18" s="787"/>
      <c r="FX18" s="787"/>
      <c r="FY18" s="787"/>
      <c r="FZ18" s="787"/>
      <c r="GA18" s="787"/>
      <c r="GB18" s="787"/>
      <c r="GC18" s="787"/>
      <c r="GD18" s="787"/>
      <c r="GE18" s="787"/>
      <c r="GF18" s="787"/>
      <c r="GG18" s="787"/>
      <c r="GH18" s="787"/>
      <c r="GI18" s="787"/>
      <c r="GJ18" s="787"/>
      <c r="GK18" s="787"/>
      <c r="GL18" s="787"/>
      <c r="GM18" s="787"/>
      <c r="GN18" s="787"/>
      <c r="GO18" s="786"/>
      <c r="GP18" s="787"/>
      <c r="GQ18" s="787"/>
      <c r="GR18" s="787"/>
      <c r="GS18" s="787"/>
      <c r="GT18" s="787"/>
      <c r="GU18" s="787"/>
      <c r="GV18" s="787"/>
      <c r="GW18" s="787"/>
      <c r="GX18" s="787"/>
      <c r="GY18" s="787"/>
      <c r="GZ18" s="787"/>
      <c r="HA18" s="787"/>
      <c r="HB18" s="787"/>
      <c r="HC18" s="787"/>
      <c r="HD18" s="787"/>
      <c r="HE18" s="787"/>
      <c r="HF18" s="787"/>
      <c r="HG18" s="787"/>
      <c r="HH18" s="787"/>
      <c r="HI18" s="787"/>
      <c r="HJ18" s="787"/>
      <c r="HK18" s="787"/>
      <c r="HL18" s="787"/>
      <c r="HM18" s="787"/>
      <c r="HN18" s="787"/>
      <c r="HO18" s="787"/>
      <c r="HP18" s="787"/>
      <c r="HQ18" s="787"/>
      <c r="HR18" s="787"/>
      <c r="HS18" s="787"/>
      <c r="HT18" s="787"/>
      <c r="HU18" s="786"/>
      <c r="HV18" s="792">
        <f>'vacaciones 2021'!U20</f>
        <v>29</v>
      </c>
    </row>
    <row r="19" spans="1:230" ht="31.5" customHeight="1" x14ac:dyDescent="0.3">
      <c r="A19" s="297">
        <v>13</v>
      </c>
      <c r="B19" s="808" t="s">
        <v>74</v>
      </c>
      <c r="C19" s="806" t="s">
        <v>436</v>
      </c>
      <c r="D19" s="808"/>
      <c r="E19" s="808"/>
      <c r="F19" s="808"/>
      <c r="G19" s="808"/>
      <c r="H19" s="808"/>
      <c r="I19" s="808"/>
      <c r="J19" s="808"/>
      <c r="K19" s="808"/>
      <c r="L19" s="808"/>
      <c r="M19" s="808"/>
      <c r="N19" s="786"/>
      <c r="O19" s="786"/>
      <c r="P19" s="786"/>
      <c r="Q19" s="786"/>
      <c r="R19" s="786"/>
      <c r="S19" s="786"/>
      <c r="T19" s="786"/>
      <c r="U19" s="786"/>
      <c r="V19" s="786"/>
      <c r="W19" s="786"/>
      <c r="X19" s="786"/>
      <c r="Y19" s="786"/>
      <c r="Z19" s="786"/>
      <c r="AA19" s="786"/>
      <c r="AB19" s="786"/>
      <c r="AC19" s="786"/>
      <c r="AD19" s="786"/>
      <c r="AE19" s="786"/>
      <c r="AF19" s="786"/>
      <c r="AG19" s="786"/>
      <c r="AH19" s="786"/>
      <c r="AI19" s="786"/>
      <c r="AJ19" s="786"/>
      <c r="AK19" s="786"/>
      <c r="AL19" s="786"/>
      <c r="AM19" s="787">
        <f t="shared" si="0"/>
        <v>0</v>
      </c>
      <c r="AN19" s="787"/>
      <c r="AO19" s="787"/>
      <c r="AP19" s="787"/>
      <c r="AQ19" s="787"/>
      <c r="AR19" s="787"/>
      <c r="AS19" s="787"/>
      <c r="AT19" s="787"/>
      <c r="AU19" s="787"/>
      <c r="AV19" s="787"/>
      <c r="AW19" s="787"/>
      <c r="AX19" s="787"/>
      <c r="AY19" s="787"/>
      <c r="AZ19" s="787"/>
      <c r="BA19" s="787"/>
      <c r="BB19" s="787"/>
      <c r="BC19" s="787"/>
      <c r="BD19" s="787"/>
      <c r="BE19" s="787"/>
      <c r="BF19" s="787"/>
      <c r="BG19" s="787"/>
      <c r="BH19" s="787"/>
      <c r="BI19" s="787"/>
      <c r="BJ19" s="787"/>
      <c r="BK19" s="787"/>
      <c r="BL19" s="787"/>
      <c r="BM19" s="787"/>
      <c r="BN19" s="787"/>
      <c r="BO19" s="787"/>
      <c r="BP19" s="787"/>
      <c r="BQ19" s="787"/>
      <c r="BR19" s="787"/>
      <c r="BS19" s="786"/>
      <c r="BT19" s="787"/>
      <c r="BU19" s="787"/>
      <c r="BV19" s="787"/>
      <c r="BW19" s="787"/>
      <c r="BX19" s="787"/>
      <c r="BY19" s="787"/>
      <c r="BZ19" s="787"/>
      <c r="CA19" s="787"/>
      <c r="CB19" s="787"/>
      <c r="CC19" s="787"/>
      <c r="CD19" s="787"/>
      <c r="CE19" s="787"/>
      <c r="CF19" s="787"/>
      <c r="CG19" s="787"/>
      <c r="CH19" s="787"/>
      <c r="CI19" s="787"/>
      <c r="CJ19" s="787"/>
      <c r="CK19" s="787"/>
      <c r="CL19" s="787"/>
      <c r="CM19" s="787"/>
      <c r="CN19" s="787"/>
      <c r="CO19" s="787"/>
      <c r="CP19" s="787"/>
      <c r="CQ19" s="787"/>
      <c r="CR19" s="787"/>
      <c r="CS19" s="787"/>
      <c r="CT19" s="787"/>
      <c r="CU19" s="787"/>
      <c r="CV19" s="787"/>
      <c r="CW19" s="787"/>
      <c r="CX19" s="787"/>
      <c r="CY19" s="786"/>
      <c r="CZ19" s="787"/>
      <c r="DA19" s="787"/>
      <c r="DB19" s="787"/>
      <c r="DC19" s="787"/>
      <c r="DD19" s="787"/>
      <c r="DE19" s="787"/>
      <c r="DF19" s="787"/>
      <c r="DG19" s="787"/>
      <c r="DH19" s="787"/>
      <c r="DI19" s="787"/>
      <c r="DJ19" s="787"/>
      <c r="DK19" s="787"/>
      <c r="DL19" s="787"/>
      <c r="DM19" s="787"/>
      <c r="DN19" s="787"/>
      <c r="DO19" s="787"/>
      <c r="DP19" s="787"/>
      <c r="DQ19" s="787"/>
      <c r="DR19" s="787"/>
      <c r="DS19" s="787"/>
      <c r="DT19" s="787"/>
      <c r="DU19" s="787"/>
      <c r="DV19" s="787"/>
      <c r="DW19" s="787"/>
      <c r="DX19" s="787"/>
      <c r="DY19" s="787"/>
      <c r="DZ19" s="787"/>
      <c r="EA19" s="787"/>
      <c r="EB19" s="787"/>
      <c r="EC19" s="787"/>
      <c r="ED19" s="786"/>
      <c r="EE19" s="787"/>
      <c r="EF19" s="787"/>
      <c r="EG19" s="787"/>
      <c r="EH19" s="787"/>
      <c r="EI19" s="787"/>
      <c r="EJ19" s="787"/>
      <c r="EK19" s="787"/>
      <c r="EL19" s="787"/>
      <c r="EM19" s="787"/>
      <c r="EN19" s="787"/>
      <c r="EO19" s="787"/>
      <c r="EP19" s="787"/>
      <c r="EQ19" s="787"/>
      <c r="ER19" s="787"/>
      <c r="ES19" s="787"/>
      <c r="ET19" s="787"/>
      <c r="EU19" s="787"/>
      <c r="EV19" s="787"/>
      <c r="EW19" s="787"/>
      <c r="EX19" s="787"/>
      <c r="EY19" s="787"/>
      <c r="EZ19" s="787"/>
      <c r="FA19" s="787"/>
      <c r="FB19" s="787"/>
      <c r="FC19" s="787"/>
      <c r="FD19" s="787"/>
      <c r="FE19" s="787"/>
      <c r="FF19" s="787"/>
      <c r="FG19" s="787"/>
      <c r="FH19" s="787"/>
      <c r="FI19" s="787"/>
      <c r="FJ19" s="786"/>
      <c r="FK19" s="787"/>
      <c r="FL19" s="787"/>
      <c r="FM19" s="787"/>
      <c r="FN19" s="787"/>
      <c r="FO19" s="787"/>
      <c r="FP19" s="787"/>
      <c r="FQ19" s="787"/>
      <c r="FR19" s="787"/>
      <c r="FS19" s="787"/>
      <c r="FT19" s="787"/>
      <c r="FU19" s="787"/>
      <c r="FV19" s="787"/>
      <c r="FW19" s="787"/>
      <c r="FX19" s="787"/>
      <c r="FY19" s="787"/>
      <c r="FZ19" s="787"/>
      <c r="GA19" s="787"/>
      <c r="GB19" s="787"/>
      <c r="GC19" s="787"/>
      <c r="GD19" s="787"/>
      <c r="GE19" s="787"/>
      <c r="GF19" s="787"/>
      <c r="GG19" s="787"/>
      <c r="GH19" s="787"/>
      <c r="GI19" s="787"/>
      <c r="GJ19" s="787"/>
      <c r="GK19" s="787"/>
      <c r="GL19" s="787"/>
      <c r="GM19" s="787"/>
      <c r="GN19" s="787"/>
      <c r="GO19" s="786"/>
      <c r="GP19" s="787"/>
      <c r="GQ19" s="787"/>
      <c r="GR19" s="787"/>
      <c r="GS19" s="787"/>
      <c r="GT19" s="787"/>
      <c r="GU19" s="787"/>
      <c r="GV19" s="787"/>
      <c r="GW19" s="787"/>
      <c r="GX19" s="787"/>
      <c r="GY19" s="787"/>
      <c r="GZ19" s="787"/>
      <c r="HA19" s="787"/>
      <c r="HB19" s="787"/>
      <c r="HC19" s="787"/>
      <c r="HD19" s="787"/>
      <c r="HE19" s="787"/>
      <c r="HF19" s="787"/>
      <c r="HG19" s="787"/>
      <c r="HH19" s="787"/>
      <c r="HI19" s="787"/>
      <c r="HJ19" s="787"/>
      <c r="HK19" s="787"/>
      <c r="HL19" s="787"/>
      <c r="HM19" s="787"/>
      <c r="HN19" s="787"/>
      <c r="HO19" s="787"/>
      <c r="HP19" s="787"/>
      <c r="HQ19" s="787"/>
      <c r="HR19" s="787"/>
      <c r="HS19" s="787"/>
      <c r="HT19" s="787"/>
      <c r="HU19" s="786"/>
      <c r="HV19" s="792">
        <f>'vacaciones 2021'!U22</f>
        <v>28</v>
      </c>
    </row>
    <row r="20" spans="1:230" ht="31.5" customHeight="1" x14ac:dyDescent="0.3">
      <c r="A20" s="297">
        <v>14</v>
      </c>
      <c r="B20" s="808" t="s">
        <v>22</v>
      </c>
      <c r="C20" s="806" t="s">
        <v>435</v>
      </c>
      <c r="D20" s="786"/>
      <c r="E20" s="786"/>
      <c r="F20" s="786"/>
      <c r="G20" s="786"/>
      <c r="H20" s="786"/>
      <c r="I20" s="786"/>
      <c r="J20" s="786"/>
      <c r="K20" s="786"/>
      <c r="L20" s="786"/>
      <c r="M20" s="786"/>
      <c r="N20" s="786"/>
      <c r="O20" s="786"/>
      <c r="P20" s="786"/>
      <c r="Q20" s="786"/>
      <c r="R20" s="786"/>
      <c r="S20" s="786"/>
      <c r="T20" s="786"/>
      <c r="U20" s="786"/>
      <c r="V20" s="786"/>
      <c r="W20" s="786"/>
      <c r="X20" s="786"/>
      <c r="Y20" s="786"/>
      <c r="Z20" s="786"/>
      <c r="AA20" s="786"/>
      <c r="AB20" s="786"/>
      <c r="AC20" s="786"/>
      <c r="AD20" s="786"/>
      <c r="AE20" s="786"/>
      <c r="AF20" s="786"/>
      <c r="AG20" s="786"/>
      <c r="AH20" s="786"/>
      <c r="AI20" s="786"/>
      <c r="AJ20" s="786"/>
      <c r="AK20" s="786"/>
      <c r="AL20" s="786"/>
      <c r="AM20" s="787">
        <f t="shared" si="0"/>
        <v>0</v>
      </c>
      <c r="AN20" s="787"/>
      <c r="AO20" s="787"/>
      <c r="AP20" s="787"/>
      <c r="AQ20" s="787"/>
      <c r="AR20" s="787"/>
      <c r="AS20" s="787"/>
      <c r="AT20" s="787"/>
      <c r="AU20" s="787"/>
      <c r="AV20" s="787"/>
      <c r="AW20" s="787"/>
      <c r="AX20" s="787"/>
      <c r="AY20" s="787"/>
      <c r="AZ20" s="787"/>
      <c r="BA20" s="787"/>
      <c r="BB20" s="787"/>
      <c r="BC20" s="787"/>
      <c r="BD20" s="787"/>
      <c r="BE20" s="787"/>
      <c r="BF20" s="787"/>
      <c r="BG20" s="787"/>
      <c r="BH20" s="787"/>
      <c r="BI20" s="787"/>
      <c r="BJ20" s="787"/>
      <c r="BK20" s="787"/>
      <c r="BL20" s="787"/>
      <c r="BM20" s="787"/>
      <c r="BN20" s="787"/>
      <c r="BO20" s="787"/>
      <c r="BP20" s="787"/>
      <c r="BQ20" s="787"/>
      <c r="BR20" s="787"/>
      <c r="BS20" s="786"/>
      <c r="BT20" s="787"/>
      <c r="BU20" s="787"/>
      <c r="BV20" s="787"/>
      <c r="BW20" s="787"/>
      <c r="BX20" s="787"/>
      <c r="BY20" s="787"/>
      <c r="BZ20" s="787"/>
      <c r="CA20" s="787"/>
      <c r="CB20" s="787"/>
      <c r="CC20" s="787"/>
      <c r="CD20" s="787"/>
      <c r="CE20" s="787"/>
      <c r="CF20" s="787"/>
      <c r="CG20" s="787"/>
      <c r="CH20" s="787"/>
      <c r="CI20" s="787"/>
      <c r="CJ20" s="787"/>
      <c r="CK20" s="787"/>
      <c r="CL20" s="787"/>
      <c r="CM20" s="787"/>
      <c r="CN20" s="787"/>
      <c r="CO20" s="787"/>
      <c r="CP20" s="787"/>
      <c r="CQ20" s="787"/>
      <c r="CR20" s="787"/>
      <c r="CS20" s="787"/>
      <c r="CT20" s="787"/>
      <c r="CU20" s="787"/>
      <c r="CV20" s="787"/>
      <c r="CW20" s="787"/>
      <c r="CX20" s="787"/>
      <c r="CY20" s="786"/>
      <c r="CZ20" s="787"/>
      <c r="DA20" s="787"/>
      <c r="DB20" s="787"/>
      <c r="DC20" s="787"/>
      <c r="DD20" s="787"/>
      <c r="DE20" s="787"/>
      <c r="DF20" s="787"/>
      <c r="DG20" s="787"/>
      <c r="DH20" s="787"/>
      <c r="DI20" s="787"/>
      <c r="DJ20" s="787"/>
      <c r="DK20" s="787"/>
      <c r="DL20" s="787"/>
      <c r="DM20" s="787"/>
      <c r="DN20" s="787"/>
      <c r="DO20" s="787"/>
      <c r="DP20" s="787"/>
      <c r="DQ20" s="787"/>
      <c r="DR20" s="787"/>
      <c r="DS20" s="787"/>
      <c r="DT20" s="787"/>
      <c r="DU20" s="787"/>
      <c r="DV20" s="787"/>
      <c r="DW20" s="787"/>
      <c r="DX20" s="787"/>
      <c r="DY20" s="787"/>
      <c r="DZ20" s="787"/>
      <c r="EA20" s="787"/>
      <c r="EB20" s="787"/>
      <c r="EC20" s="787"/>
      <c r="ED20" s="786"/>
      <c r="EE20" s="787"/>
      <c r="EF20" s="787"/>
      <c r="EG20" s="787"/>
      <c r="EH20" s="787"/>
      <c r="EI20" s="787"/>
      <c r="EJ20" s="787"/>
      <c r="EK20" s="787"/>
      <c r="EL20" s="787"/>
      <c r="EM20" s="787"/>
      <c r="EN20" s="787"/>
      <c r="EO20" s="787"/>
      <c r="EP20" s="787"/>
      <c r="EQ20" s="787"/>
      <c r="ER20" s="787"/>
      <c r="ES20" s="787"/>
      <c r="ET20" s="787"/>
      <c r="EU20" s="787"/>
      <c r="EV20" s="787"/>
      <c r="EW20" s="787"/>
      <c r="EX20" s="787"/>
      <c r="EY20" s="787"/>
      <c r="EZ20" s="787"/>
      <c r="FA20" s="787"/>
      <c r="FB20" s="787"/>
      <c r="FC20" s="787"/>
      <c r="FD20" s="787"/>
      <c r="FE20" s="787"/>
      <c r="FF20" s="787"/>
      <c r="FG20" s="787"/>
      <c r="FH20" s="787"/>
      <c r="FI20" s="787"/>
      <c r="FJ20" s="786"/>
      <c r="FK20" s="787"/>
      <c r="FL20" s="787"/>
      <c r="FM20" s="787"/>
      <c r="FN20" s="787"/>
      <c r="FO20" s="787"/>
      <c r="FP20" s="787"/>
      <c r="FQ20" s="787"/>
      <c r="FR20" s="787"/>
      <c r="FS20" s="787"/>
      <c r="FT20" s="787"/>
      <c r="FU20" s="787"/>
      <c r="FV20" s="787"/>
      <c r="FW20" s="787"/>
      <c r="FX20" s="787"/>
      <c r="FY20" s="787"/>
      <c r="FZ20" s="787"/>
      <c r="GA20" s="787"/>
      <c r="GB20" s="787"/>
      <c r="GC20" s="787"/>
      <c r="GD20" s="787"/>
      <c r="GE20" s="787"/>
      <c r="GF20" s="787"/>
      <c r="GG20" s="787"/>
      <c r="GH20" s="787"/>
      <c r="GI20" s="787"/>
      <c r="GJ20" s="787"/>
      <c r="GK20" s="787"/>
      <c r="GL20" s="787"/>
      <c r="GM20" s="787"/>
      <c r="GN20" s="787"/>
      <c r="GO20" s="786"/>
      <c r="GP20" s="787"/>
      <c r="GQ20" s="787"/>
      <c r="GR20" s="787"/>
      <c r="GS20" s="787"/>
      <c r="GT20" s="787"/>
      <c r="GU20" s="787"/>
      <c r="GV20" s="787"/>
      <c r="GW20" s="787"/>
      <c r="GX20" s="787"/>
      <c r="GY20" s="787"/>
      <c r="GZ20" s="787"/>
      <c r="HA20" s="787"/>
      <c r="HB20" s="787"/>
      <c r="HC20" s="787"/>
      <c r="HD20" s="787"/>
      <c r="HE20" s="787"/>
      <c r="HF20" s="787"/>
      <c r="HG20" s="787"/>
      <c r="HH20" s="787"/>
      <c r="HI20" s="787"/>
      <c r="HJ20" s="787"/>
      <c r="HK20" s="787"/>
      <c r="HL20" s="787"/>
      <c r="HM20" s="787"/>
      <c r="HN20" s="787"/>
      <c r="HO20" s="787"/>
      <c r="HP20" s="787"/>
      <c r="HQ20" s="787"/>
      <c r="HR20" s="787"/>
      <c r="HS20" s="787"/>
      <c r="HT20" s="787"/>
      <c r="HU20" s="786"/>
      <c r="HV20" s="792">
        <f>'vacaciones 2021'!U23</f>
        <v>16</v>
      </c>
    </row>
    <row r="21" spans="1:230" ht="31.5" customHeight="1" x14ac:dyDescent="0.3">
      <c r="A21" s="297">
        <v>15</v>
      </c>
      <c r="B21" s="808" t="s">
        <v>21</v>
      </c>
      <c r="C21" s="806" t="s">
        <v>431</v>
      </c>
      <c r="D21" s="786"/>
      <c r="E21" s="786"/>
      <c r="F21" s="786"/>
      <c r="G21" s="786"/>
      <c r="H21" s="786"/>
      <c r="I21" s="786"/>
      <c r="J21" s="786"/>
      <c r="K21" s="786"/>
      <c r="L21" s="786"/>
      <c r="M21" s="786"/>
      <c r="N21" s="786"/>
      <c r="O21" s="786"/>
      <c r="P21" s="786"/>
      <c r="Q21" s="786"/>
      <c r="R21" s="786"/>
      <c r="S21" s="786"/>
      <c r="T21" s="786"/>
      <c r="U21" s="786"/>
      <c r="V21" s="786"/>
      <c r="W21" s="786"/>
      <c r="X21" s="786"/>
      <c r="Y21" s="786"/>
      <c r="Z21" s="786"/>
      <c r="AA21" s="786"/>
      <c r="AB21" s="786"/>
      <c r="AC21" s="786"/>
      <c r="AD21" s="786"/>
      <c r="AE21" s="786"/>
      <c r="AF21" s="786"/>
      <c r="AG21" s="786"/>
      <c r="AH21" s="786"/>
      <c r="AI21" s="786"/>
      <c r="AJ21" s="786"/>
      <c r="AK21" s="786"/>
      <c r="AL21" s="786"/>
      <c r="AM21" s="787">
        <f t="shared" si="0"/>
        <v>0</v>
      </c>
      <c r="AN21" s="787"/>
      <c r="AO21" s="787"/>
      <c r="AP21" s="787"/>
      <c r="AQ21" s="787"/>
      <c r="AR21" s="787"/>
      <c r="AS21" s="787"/>
      <c r="AT21" s="787"/>
      <c r="AU21" s="787"/>
      <c r="AV21" s="787"/>
      <c r="AW21" s="787"/>
      <c r="AX21" s="787"/>
      <c r="AY21" s="787"/>
      <c r="AZ21" s="787"/>
      <c r="BA21" s="787"/>
      <c r="BB21" s="787"/>
      <c r="BC21" s="787"/>
      <c r="BD21" s="787"/>
      <c r="BE21" s="787"/>
      <c r="BF21" s="787"/>
      <c r="BG21" s="787"/>
      <c r="BH21" s="787"/>
      <c r="BI21" s="787"/>
      <c r="BJ21" s="787"/>
      <c r="BK21" s="787"/>
      <c r="BL21" s="787"/>
      <c r="BM21" s="787"/>
      <c r="BN21" s="787"/>
      <c r="BO21" s="787"/>
      <c r="BP21" s="787"/>
      <c r="BQ21" s="787"/>
      <c r="BR21" s="787"/>
      <c r="BS21" s="786"/>
      <c r="BT21" s="787"/>
      <c r="BU21" s="787"/>
      <c r="BV21" s="787"/>
      <c r="BW21" s="787"/>
      <c r="BX21" s="787"/>
      <c r="BY21" s="787"/>
      <c r="BZ21" s="787"/>
      <c r="CA21" s="787"/>
      <c r="CB21" s="787"/>
      <c r="CC21" s="787"/>
      <c r="CD21" s="787"/>
      <c r="CE21" s="787"/>
      <c r="CF21" s="787"/>
      <c r="CG21" s="787"/>
      <c r="CH21" s="787"/>
      <c r="CI21" s="787"/>
      <c r="CJ21" s="787"/>
      <c r="CK21" s="787"/>
      <c r="CL21" s="787"/>
      <c r="CM21" s="787"/>
      <c r="CN21" s="787"/>
      <c r="CO21" s="787"/>
      <c r="CP21" s="787"/>
      <c r="CQ21" s="787"/>
      <c r="CR21" s="787"/>
      <c r="CS21" s="787"/>
      <c r="CT21" s="787"/>
      <c r="CU21" s="787"/>
      <c r="CV21" s="787"/>
      <c r="CW21" s="787"/>
      <c r="CX21" s="787"/>
      <c r="CY21" s="786"/>
      <c r="CZ21" s="787"/>
      <c r="DA21" s="787"/>
      <c r="DB21" s="787"/>
      <c r="DC21" s="787"/>
      <c r="DD21" s="787"/>
      <c r="DE21" s="787"/>
      <c r="DF21" s="787"/>
      <c r="DG21" s="787"/>
      <c r="DH21" s="787"/>
      <c r="DI21" s="787"/>
      <c r="DJ21" s="787"/>
      <c r="DK21" s="787"/>
      <c r="DL21" s="787"/>
      <c r="DM21" s="787"/>
      <c r="DN21" s="787"/>
      <c r="DO21" s="787"/>
      <c r="DP21" s="787"/>
      <c r="DQ21" s="787"/>
      <c r="DR21" s="787"/>
      <c r="DS21" s="787"/>
      <c r="DT21" s="787"/>
      <c r="DU21" s="787"/>
      <c r="DV21" s="787"/>
      <c r="DW21" s="787"/>
      <c r="DX21" s="787"/>
      <c r="DY21" s="787"/>
      <c r="DZ21" s="787"/>
      <c r="EA21" s="787"/>
      <c r="EB21" s="787"/>
      <c r="EC21" s="787"/>
      <c r="ED21" s="786"/>
      <c r="EE21" s="787"/>
      <c r="EF21" s="787"/>
      <c r="EG21" s="787"/>
      <c r="EH21" s="787"/>
      <c r="EI21" s="787"/>
      <c r="EJ21" s="787"/>
      <c r="EK21" s="787"/>
      <c r="EL21" s="787"/>
      <c r="EM21" s="787"/>
      <c r="EN21" s="787"/>
      <c r="EO21" s="787"/>
      <c r="EP21" s="787"/>
      <c r="EQ21" s="787"/>
      <c r="ER21" s="787"/>
      <c r="ES21" s="787"/>
      <c r="ET21" s="787"/>
      <c r="EU21" s="787"/>
      <c r="EV21" s="787"/>
      <c r="EW21" s="787"/>
      <c r="EX21" s="787"/>
      <c r="EY21" s="787"/>
      <c r="EZ21" s="787"/>
      <c r="FA21" s="787"/>
      <c r="FB21" s="787"/>
      <c r="FC21" s="787"/>
      <c r="FD21" s="787"/>
      <c r="FE21" s="787"/>
      <c r="FF21" s="787"/>
      <c r="FG21" s="787"/>
      <c r="FH21" s="787"/>
      <c r="FI21" s="787"/>
      <c r="FJ21" s="786"/>
      <c r="FK21" s="787"/>
      <c r="FL21" s="787"/>
      <c r="FM21" s="787"/>
      <c r="FN21" s="787"/>
      <c r="FO21" s="787"/>
      <c r="FP21" s="787"/>
      <c r="FQ21" s="787"/>
      <c r="FR21" s="787"/>
      <c r="FS21" s="787"/>
      <c r="FT21" s="787"/>
      <c r="FU21" s="787"/>
      <c r="FV21" s="787"/>
      <c r="FW21" s="787"/>
      <c r="FX21" s="787"/>
      <c r="FY21" s="787"/>
      <c r="FZ21" s="787"/>
      <c r="GA21" s="787"/>
      <c r="GB21" s="787"/>
      <c r="GC21" s="787"/>
      <c r="GD21" s="787"/>
      <c r="GE21" s="787"/>
      <c r="GF21" s="787"/>
      <c r="GG21" s="787"/>
      <c r="GH21" s="787"/>
      <c r="GI21" s="787"/>
      <c r="GJ21" s="787"/>
      <c r="GK21" s="787"/>
      <c r="GL21" s="787"/>
      <c r="GM21" s="787"/>
      <c r="GN21" s="787"/>
      <c r="GO21" s="786"/>
      <c r="GP21" s="787"/>
      <c r="GQ21" s="787"/>
      <c r="GR21" s="787"/>
      <c r="GS21" s="787"/>
      <c r="GT21" s="787"/>
      <c r="GU21" s="787"/>
      <c r="GV21" s="787"/>
      <c r="GW21" s="787"/>
      <c r="GX21" s="787"/>
      <c r="GY21" s="787"/>
      <c r="GZ21" s="787"/>
      <c r="HA21" s="787"/>
      <c r="HB21" s="787"/>
      <c r="HC21" s="787"/>
      <c r="HD21" s="787"/>
      <c r="HE21" s="787"/>
      <c r="HF21" s="787"/>
      <c r="HG21" s="787"/>
      <c r="HH21" s="787"/>
      <c r="HI21" s="787"/>
      <c r="HJ21" s="787"/>
      <c r="HK21" s="787"/>
      <c r="HL21" s="787"/>
      <c r="HM21" s="787"/>
      <c r="HN21" s="787"/>
      <c r="HO21" s="787"/>
      <c r="HP21" s="787"/>
      <c r="HQ21" s="787"/>
      <c r="HR21" s="787"/>
      <c r="HS21" s="787"/>
      <c r="HT21" s="787"/>
      <c r="HU21" s="786"/>
      <c r="HV21" s="792">
        <f>'vacaciones 2021'!U24</f>
        <v>0</v>
      </c>
    </row>
    <row r="22" spans="1:230" s="254" customFormat="1" ht="31.5" customHeight="1" x14ac:dyDescent="0.3">
      <c r="A22" s="297">
        <v>16</v>
      </c>
      <c r="B22" s="808" t="s">
        <v>126</v>
      </c>
      <c r="C22" s="806" t="s">
        <v>431</v>
      </c>
      <c r="D22" s="786"/>
      <c r="E22" s="786"/>
      <c r="F22" s="786"/>
      <c r="G22" s="786"/>
      <c r="H22" s="786"/>
      <c r="I22" s="786"/>
      <c r="J22" s="786"/>
      <c r="K22" s="786"/>
      <c r="L22" s="786"/>
      <c r="M22" s="786"/>
      <c r="N22" s="786"/>
      <c r="O22" s="786"/>
      <c r="P22" s="786"/>
      <c r="Q22" s="786"/>
      <c r="R22" s="786"/>
      <c r="S22" s="786"/>
      <c r="T22" s="786"/>
      <c r="U22" s="786"/>
      <c r="V22" s="786"/>
      <c r="W22" s="786"/>
      <c r="X22" s="786"/>
      <c r="Y22" s="786"/>
      <c r="Z22" s="786"/>
      <c r="AA22" s="786"/>
      <c r="AB22" s="786"/>
      <c r="AC22" s="786"/>
      <c r="AD22" s="786"/>
      <c r="AE22" s="786"/>
      <c r="AF22" s="786"/>
      <c r="AG22" s="786"/>
      <c r="AH22" s="786"/>
      <c r="AI22" s="786"/>
      <c r="AJ22" s="786"/>
      <c r="AK22" s="786"/>
      <c r="AL22" s="786"/>
      <c r="AM22" s="787">
        <f t="shared" si="0"/>
        <v>0</v>
      </c>
      <c r="AN22" s="787"/>
      <c r="AO22" s="787"/>
      <c r="AP22" s="787"/>
      <c r="AQ22" s="787"/>
      <c r="AR22" s="787"/>
      <c r="AS22" s="787"/>
      <c r="AT22" s="787"/>
      <c r="AU22" s="787"/>
      <c r="AV22" s="787"/>
      <c r="AW22" s="787"/>
      <c r="AX22" s="787"/>
      <c r="AY22" s="787"/>
      <c r="AZ22" s="787"/>
      <c r="BA22" s="787"/>
      <c r="BB22" s="787"/>
      <c r="BC22" s="787"/>
      <c r="BD22" s="787"/>
      <c r="BE22" s="787"/>
      <c r="BF22" s="787"/>
      <c r="BG22" s="787"/>
      <c r="BH22" s="787"/>
      <c r="BI22" s="787"/>
      <c r="BJ22" s="787"/>
      <c r="BK22" s="787"/>
      <c r="BL22" s="787"/>
      <c r="BM22" s="787"/>
      <c r="BN22" s="787"/>
      <c r="BO22" s="787"/>
      <c r="BP22" s="787"/>
      <c r="BQ22" s="787"/>
      <c r="BR22" s="787"/>
      <c r="BS22" s="786"/>
      <c r="BT22" s="787"/>
      <c r="BU22" s="787"/>
      <c r="BV22" s="787"/>
      <c r="BW22" s="787"/>
      <c r="BX22" s="787"/>
      <c r="BY22" s="787"/>
      <c r="BZ22" s="787"/>
      <c r="CA22" s="787"/>
      <c r="CB22" s="787"/>
      <c r="CC22" s="787"/>
      <c r="CD22" s="787"/>
      <c r="CE22" s="787"/>
      <c r="CF22" s="787"/>
      <c r="CG22" s="787"/>
      <c r="CH22" s="787"/>
      <c r="CI22" s="787"/>
      <c r="CJ22" s="787"/>
      <c r="CK22" s="787"/>
      <c r="CL22" s="787"/>
      <c r="CM22" s="787"/>
      <c r="CN22" s="787"/>
      <c r="CO22" s="787"/>
      <c r="CP22" s="787"/>
      <c r="CQ22" s="787"/>
      <c r="CR22" s="787"/>
      <c r="CS22" s="787"/>
      <c r="CT22" s="787"/>
      <c r="CU22" s="787"/>
      <c r="CV22" s="787"/>
      <c r="CW22" s="787"/>
      <c r="CX22" s="787"/>
      <c r="CY22" s="786"/>
      <c r="CZ22" s="787"/>
      <c r="DA22" s="787"/>
      <c r="DB22" s="787"/>
      <c r="DC22" s="787"/>
      <c r="DD22" s="787"/>
      <c r="DE22" s="787"/>
      <c r="DF22" s="787"/>
      <c r="DG22" s="787"/>
      <c r="DH22" s="787"/>
      <c r="DI22" s="787"/>
      <c r="DJ22" s="787"/>
      <c r="DK22" s="787"/>
      <c r="DL22" s="787"/>
      <c r="DM22" s="787"/>
      <c r="DN22" s="787"/>
      <c r="DO22" s="787"/>
      <c r="DP22" s="787"/>
      <c r="DQ22" s="787"/>
      <c r="DR22" s="787"/>
      <c r="DS22" s="787"/>
      <c r="DT22" s="787"/>
      <c r="DU22" s="787"/>
      <c r="DV22" s="787"/>
      <c r="DW22" s="787"/>
      <c r="DX22" s="787"/>
      <c r="DY22" s="787"/>
      <c r="DZ22" s="787"/>
      <c r="EA22" s="787"/>
      <c r="EB22" s="787"/>
      <c r="EC22" s="787"/>
      <c r="ED22" s="786"/>
      <c r="EE22" s="787"/>
      <c r="EF22" s="787"/>
      <c r="EG22" s="787"/>
      <c r="EH22" s="787"/>
      <c r="EI22" s="787"/>
      <c r="EJ22" s="787"/>
      <c r="EK22" s="787"/>
      <c r="EL22" s="787"/>
      <c r="EM22" s="787"/>
      <c r="EN22" s="787"/>
      <c r="EO22" s="787"/>
      <c r="EP22" s="787"/>
      <c r="EQ22" s="787"/>
      <c r="ER22" s="787"/>
      <c r="ES22" s="787"/>
      <c r="ET22" s="787"/>
      <c r="EU22" s="787"/>
      <c r="EV22" s="787"/>
      <c r="EW22" s="787"/>
      <c r="EX22" s="787"/>
      <c r="EY22" s="787"/>
      <c r="EZ22" s="787"/>
      <c r="FA22" s="787"/>
      <c r="FB22" s="787"/>
      <c r="FC22" s="787"/>
      <c r="FD22" s="787"/>
      <c r="FE22" s="787"/>
      <c r="FF22" s="787"/>
      <c r="FG22" s="787"/>
      <c r="FH22" s="787"/>
      <c r="FI22" s="787"/>
      <c r="FJ22" s="786"/>
      <c r="FK22" s="787"/>
      <c r="FL22" s="787"/>
      <c r="FM22" s="787"/>
      <c r="FN22" s="787"/>
      <c r="FO22" s="787"/>
      <c r="FP22" s="787"/>
      <c r="FQ22" s="787"/>
      <c r="FR22" s="787"/>
      <c r="FS22" s="787"/>
      <c r="FT22" s="787"/>
      <c r="FU22" s="787"/>
      <c r="FV22" s="787"/>
      <c r="FW22" s="787"/>
      <c r="FX22" s="787"/>
      <c r="FY22" s="787"/>
      <c r="FZ22" s="787"/>
      <c r="GA22" s="787"/>
      <c r="GB22" s="787"/>
      <c r="GC22" s="787"/>
      <c r="GD22" s="787"/>
      <c r="GE22" s="787"/>
      <c r="GF22" s="787"/>
      <c r="GG22" s="787"/>
      <c r="GH22" s="787"/>
      <c r="GI22" s="787"/>
      <c r="GJ22" s="787"/>
      <c r="GK22" s="787"/>
      <c r="GL22" s="787"/>
      <c r="GM22" s="787"/>
      <c r="GN22" s="787"/>
      <c r="GO22" s="786"/>
      <c r="GP22" s="787"/>
      <c r="GQ22" s="787"/>
      <c r="GR22" s="787"/>
      <c r="GS22" s="787"/>
      <c r="GT22" s="787"/>
      <c r="GU22" s="787"/>
      <c r="GV22" s="787"/>
      <c r="GW22" s="787"/>
      <c r="GX22" s="787"/>
      <c r="GY22" s="787"/>
      <c r="GZ22" s="787"/>
      <c r="HA22" s="787"/>
      <c r="HB22" s="787"/>
      <c r="HC22" s="787"/>
      <c r="HD22" s="787"/>
      <c r="HE22" s="787"/>
      <c r="HF22" s="787"/>
      <c r="HG22" s="787"/>
      <c r="HH22" s="787"/>
      <c r="HI22" s="787"/>
      <c r="HJ22" s="787"/>
      <c r="HK22" s="787"/>
      <c r="HL22" s="787"/>
      <c r="HM22" s="787"/>
      <c r="HN22" s="787"/>
      <c r="HO22" s="787"/>
      <c r="HP22" s="787"/>
      <c r="HQ22" s="787"/>
      <c r="HR22" s="787"/>
      <c r="HS22" s="787"/>
      <c r="HT22" s="787"/>
      <c r="HU22" s="786"/>
      <c r="HV22" s="792">
        <f>'vacaciones 2021'!U26</f>
        <v>-9</v>
      </c>
    </row>
    <row r="23" spans="1:230" ht="31.5" customHeight="1" x14ac:dyDescent="0.3">
      <c r="A23" s="297">
        <v>17</v>
      </c>
      <c r="B23" s="808" t="s">
        <v>156</v>
      </c>
      <c r="C23" s="806" t="s">
        <v>429</v>
      </c>
      <c r="D23" s="786"/>
      <c r="E23" s="786"/>
      <c r="F23" s="786"/>
      <c r="G23" s="786"/>
      <c r="H23" s="786"/>
      <c r="I23" s="786"/>
      <c r="J23" s="786"/>
      <c r="K23" s="786"/>
      <c r="L23" s="786"/>
      <c r="M23" s="786"/>
      <c r="N23" s="786"/>
      <c r="O23" s="786"/>
      <c r="P23" s="786"/>
      <c r="Q23" s="786"/>
      <c r="R23" s="786"/>
      <c r="S23" s="786"/>
      <c r="T23" s="786"/>
      <c r="U23" s="786"/>
      <c r="V23" s="786"/>
      <c r="W23" s="786"/>
      <c r="X23" s="786"/>
      <c r="Y23" s="786"/>
      <c r="Z23" s="786"/>
      <c r="AA23" s="786"/>
      <c r="AB23" s="786"/>
      <c r="AC23" s="786"/>
      <c r="AD23" s="786"/>
      <c r="AE23" s="786"/>
      <c r="AF23" s="786"/>
      <c r="AG23" s="786"/>
      <c r="AH23" s="786"/>
      <c r="AI23" s="786"/>
      <c r="AJ23" s="786"/>
      <c r="AK23" s="786"/>
      <c r="AL23" s="786"/>
      <c r="AM23" s="787">
        <f t="shared" si="0"/>
        <v>0</v>
      </c>
      <c r="AN23" s="787"/>
      <c r="AO23" s="787"/>
      <c r="AP23" s="787"/>
      <c r="AQ23" s="787"/>
      <c r="AR23" s="787"/>
      <c r="AS23" s="787"/>
      <c r="AT23" s="787"/>
      <c r="AU23" s="787"/>
      <c r="AV23" s="787"/>
      <c r="AW23" s="787"/>
      <c r="AX23" s="787"/>
      <c r="AY23" s="787"/>
      <c r="AZ23" s="787"/>
      <c r="BA23" s="787"/>
      <c r="BB23" s="787"/>
      <c r="BC23" s="787"/>
      <c r="BD23" s="787"/>
      <c r="BE23" s="787"/>
      <c r="BF23" s="787"/>
      <c r="BG23" s="787"/>
      <c r="BH23" s="787"/>
      <c r="BI23" s="787"/>
      <c r="BJ23" s="787"/>
      <c r="BK23" s="787"/>
      <c r="BL23" s="787"/>
      <c r="BM23" s="787"/>
      <c r="BN23" s="787"/>
      <c r="BO23" s="787"/>
      <c r="BP23" s="787"/>
      <c r="BQ23" s="787"/>
      <c r="BR23" s="787"/>
      <c r="BS23" s="786"/>
      <c r="BT23" s="787"/>
      <c r="BU23" s="787"/>
      <c r="BV23" s="787"/>
      <c r="BW23" s="787"/>
      <c r="BX23" s="787"/>
      <c r="BY23" s="787"/>
      <c r="BZ23" s="787"/>
      <c r="CA23" s="787"/>
      <c r="CB23" s="787"/>
      <c r="CC23" s="787"/>
      <c r="CD23" s="787"/>
      <c r="CE23" s="787"/>
      <c r="CF23" s="787"/>
      <c r="CG23" s="787"/>
      <c r="CH23" s="787"/>
      <c r="CI23" s="787"/>
      <c r="CJ23" s="787"/>
      <c r="CK23" s="787"/>
      <c r="CL23" s="787"/>
      <c r="CM23" s="787"/>
      <c r="CN23" s="787"/>
      <c r="CO23" s="787"/>
      <c r="CP23" s="787"/>
      <c r="CQ23" s="787"/>
      <c r="CR23" s="787"/>
      <c r="CS23" s="787"/>
      <c r="CT23" s="787"/>
      <c r="CU23" s="787"/>
      <c r="CV23" s="787"/>
      <c r="CW23" s="787"/>
      <c r="CX23" s="787"/>
      <c r="CY23" s="786"/>
      <c r="CZ23" s="787"/>
      <c r="DA23" s="787"/>
      <c r="DB23" s="787"/>
      <c r="DC23" s="787"/>
      <c r="DD23" s="787"/>
      <c r="DE23" s="787"/>
      <c r="DF23" s="787"/>
      <c r="DG23" s="787"/>
      <c r="DH23" s="787"/>
      <c r="DI23" s="787"/>
      <c r="DJ23" s="787"/>
      <c r="DK23" s="787"/>
      <c r="DL23" s="787"/>
      <c r="DM23" s="787"/>
      <c r="DN23" s="787"/>
      <c r="DO23" s="787"/>
      <c r="DP23" s="787"/>
      <c r="DQ23" s="787"/>
      <c r="DR23" s="787"/>
      <c r="DS23" s="787"/>
      <c r="DT23" s="787"/>
      <c r="DU23" s="787"/>
      <c r="DV23" s="787"/>
      <c r="DW23" s="787"/>
      <c r="DX23" s="787"/>
      <c r="DY23" s="787"/>
      <c r="DZ23" s="787"/>
      <c r="EA23" s="787"/>
      <c r="EB23" s="787"/>
      <c r="EC23" s="787"/>
      <c r="ED23" s="786"/>
      <c r="EE23" s="787"/>
      <c r="EF23" s="787"/>
      <c r="EG23" s="787"/>
      <c r="EH23" s="787"/>
      <c r="EI23" s="787"/>
      <c r="EJ23" s="787"/>
      <c r="EK23" s="787"/>
      <c r="EL23" s="787"/>
      <c r="EM23" s="787"/>
      <c r="EN23" s="787"/>
      <c r="EO23" s="787"/>
      <c r="EP23" s="787"/>
      <c r="EQ23" s="787"/>
      <c r="ER23" s="787"/>
      <c r="ES23" s="787"/>
      <c r="ET23" s="787"/>
      <c r="EU23" s="787"/>
      <c r="EV23" s="787"/>
      <c r="EW23" s="787"/>
      <c r="EX23" s="787"/>
      <c r="EY23" s="787"/>
      <c r="EZ23" s="787"/>
      <c r="FA23" s="787"/>
      <c r="FB23" s="787"/>
      <c r="FC23" s="787"/>
      <c r="FD23" s="787"/>
      <c r="FE23" s="787"/>
      <c r="FF23" s="787"/>
      <c r="FG23" s="787"/>
      <c r="FH23" s="787"/>
      <c r="FI23" s="787"/>
      <c r="FJ23" s="786"/>
      <c r="FK23" s="787"/>
      <c r="FL23" s="787"/>
      <c r="FM23" s="787"/>
      <c r="FN23" s="787"/>
      <c r="FO23" s="787"/>
      <c r="FP23" s="787"/>
      <c r="FQ23" s="787"/>
      <c r="FR23" s="787"/>
      <c r="FS23" s="787"/>
      <c r="FT23" s="787"/>
      <c r="FU23" s="787"/>
      <c r="FV23" s="787"/>
      <c r="FW23" s="787"/>
      <c r="FX23" s="787"/>
      <c r="FY23" s="787"/>
      <c r="FZ23" s="787"/>
      <c r="GA23" s="787"/>
      <c r="GB23" s="787"/>
      <c r="GC23" s="787"/>
      <c r="GD23" s="787"/>
      <c r="GE23" s="787"/>
      <c r="GF23" s="787"/>
      <c r="GG23" s="787"/>
      <c r="GH23" s="787"/>
      <c r="GI23" s="787"/>
      <c r="GJ23" s="787"/>
      <c r="GK23" s="787"/>
      <c r="GL23" s="787"/>
      <c r="GM23" s="787"/>
      <c r="GN23" s="787"/>
      <c r="GO23" s="786"/>
      <c r="GP23" s="787"/>
      <c r="GQ23" s="787"/>
      <c r="GR23" s="787"/>
      <c r="GS23" s="787"/>
      <c r="GT23" s="787"/>
      <c r="GU23" s="787"/>
      <c r="GV23" s="787"/>
      <c r="GW23" s="787"/>
      <c r="GX23" s="787"/>
      <c r="GY23" s="787"/>
      <c r="GZ23" s="787"/>
      <c r="HA23" s="787"/>
      <c r="HB23" s="787"/>
      <c r="HC23" s="787"/>
      <c r="HD23" s="787"/>
      <c r="HE23" s="787"/>
      <c r="HF23" s="787"/>
      <c r="HG23" s="787"/>
      <c r="HH23" s="787"/>
      <c r="HI23" s="787"/>
      <c r="HJ23" s="787"/>
      <c r="HK23" s="787"/>
      <c r="HL23" s="787"/>
      <c r="HM23" s="787"/>
      <c r="HN23" s="787"/>
      <c r="HO23" s="787"/>
      <c r="HP23" s="787"/>
      <c r="HQ23" s="787"/>
      <c r="HR23" s="787"/>
      <c r="HS23" s="787"/>
      <c r="HT23" s="787"/>
      <c r="HU23" s="786"/>
      <c r="HV23" s="792">
        <f>'vacaciones 2021'!U46</f>
        <v>-2</v>
      </c>
    </row>
    <row r="24" spans="1:230" ht="31.5" hidden="1" customHeight="1" x14ac:dyDescent="0.3">
      <c r="A24" s="297">
        <v>18</v>
      </c>
      <c r="B24" s="808" t="s">
        <v>149</v>
      </c>
      <c r="C24" s="806"/>
      <c r="D24" s="786"/>
      <c r="E24" s="786"/>
      <c r="F24" s="786"/>
      <c r="G24" s="786"/>
      <c r="H24" s="786"/>
      <c r="I24" s="786"/>
      <c r="J24" s="786"/>
      <c r="K24" s="786"/>
      <c r="L24" s="786"/>
      <c r="M24" s="786"/>
      <c r="N24" s="786"/>
      <c r="O24" s="786"/>
      <c r="P24" s="786"/>
      <c r="Q24" s="786"/>
      <c r="R24" s="786"/>
      <c r="S24" s="786"/>
      <c r="T24" s="786"/>
      <c r="U24" s="786"/>
      <c r="V24" s="786"/>
      <c r="W24" s="786"/>
      <c r="X24" s="786"/>
      <c r="Y24" s="786"/>
      <c r="Z24" s="786"/>
      <c r="AA24" s="786"/>
      <c r="AB24" s="786"/>
      <c r="AC24" s="786"/>
      <c r="AD24" s="786"/>
      <c r="AE24" s="786"/>
      <c r="AF24" s="786"/>
      <c r="AG24" s="786"/>
      <c r="AH24" s="786"/>
      <c r="AI24" s="786"/>
      <c r="AJ24" s="786"/>
      <c r="AK24" s="786"/>
      <c r="AL24" s="786"/>
      <c r="AM24" s="787">
        <f t="shared" si="0"/>
        <v>0</v>
      </c>
      <c r="AN24" s="787"/>
      <c r="AO24" s="787"/>
      <c r="AP24" s="787"/>
      <c r="AQ24" s="787"/>
      <c r="AR24" s="787"/>
      <c r="AS24" s="787"/>
      <c r="AT24" s="787"/>
      <c r="AU24" s="787"/>
      <c r="AV24" s="787"/>
      <c r="AW24" s="787"/>
      <c r="AX24" s="787"/>
      <c r="AY24" s="787"/>
      <c r="AZ24" s="787"/>
      <c r="BA24" s="787"/>
      <c r="BB24" s="787"/>
      <c r="BC24" s="787"/>
      <c r="BD24" s="787"/>
      <c r="BE24" s="787"/>
      <c r="BF24" s="787"/>
      <c r="BG24" s="787"/>
      <c r="BH24" s="787"/>
      <c r="BI24" s="787"/>
      <c r="BJ24" s="787"/>
      <c r="BK24" s="787"/>
      <c r="BL24" s="787"/>
      <c r="BM24" s="787"/>
      <c r="BN24" s="787"/>
      <c r="BO24" s="787"/>
      <c r="BP24" s="787"/>
      <c r="BQ24" s="787"/>
      <c r="BR24" s="787"/>
      <c r="BS24" s="786"/>
      <c r="BT24" s="787"/>
      <c r="BU24" s="787"/>
      <c r="BV24" s="787"/>
      <c r="BW24" s="787"/>
      <c r="BX24" s="787"/>
      <c r="BY24" s="787"/>
      <c r="BZ24" s="787"/>
      <c r="CA24" s="787"/>
      <c r="CB24" s="787"/>
      <c r="CC24" s="787"/>
      <c r="CD24" s="787"/>
      <c r="CE24" s="787"/>
      <c r="CF24" s="787"/>
      <c r="CG24" s="787"/>
      <c r="CH24" s="787"/>
      <c r="CI24" s="787"/>
      <c r="CJ24" s="787"/>
      <c r="CK24" s="787"/>
      <c r="CL24" s="787"/>
      <c r="CM24" s="787"/>
      <c r="CN24" s="787"/>
      <c r="CO24" s="787"/>
      <c r="CP24" s="787"/>
      <c r="CQ24" s="787"/>
      <c r="CR24" s="787"/>
      <c r="CS24" s="787"/>
      <c r="CT24" s="787"/>
      <c r="CU24" s="787"/>
      <c r="CV24" s="787"/>
      <c r="CW24" s="787"/>
      <c r="CX24" s="787"/>
      <c r="CY24" s="786"/>
      <c r="CZ24" s="787"/>
      <c r="DA24" s="787"/>
      <c r="DB24" s="787"/>
      <c r="DC24" s="787"/>
      <c r="DD24" s="787"/>
      <c r="DE24" s="787"/>
      <c r="DF24" s="787"/>
      <c r="DG24" s="787"/>
      <c r="DH24" s="787"/>
      <c r="DI24" s="787"/>
      <c r="DJ24" s="787"/>
      <c r="DK24" s="787"/>
      <c r="DL24" s="787"/>
      <c r="DM24" s="787"/>
      <c r="DN24" s="787"/>
      <c r="DO24" s="787"/>
      <c r="DP24" s="787"/>
      <c r="DQ24" s="787"/>
      <c r="DR24" s="787"/>
      <c r="DS24" s="787"/>
      <c r="DT24" s="787"/>
      <c r="DU24" s="787"/>
      <c r="DV24" s="787"/>
      <c r="DW24" s="787"/>
      <c r="DX24" s="787"/>
      <c r="DY24" s="787"/>
      <c r="DZ24" s="787"/>
      <c r="EA24" s="787"/>
      <c r="EB24" s="787"/>
      <c r="EC24" s="787"/>
      <c r="ED24" s="786"/>
      <c r="EE24" s="787"/>
      <c r="EF24" s="787"/>
      <c r="EG24" s="787"/>
      <c r="EH24" s="787"/>
      <c r="EI24" s="787"/>
      <c r="EJ24" s="787"/>
      <c r="EK24" s="787"/>
      <c r="EL24" s="787"/>
      <c r="EM24" s="787"/>
      <c r="EN24" s="787"/>
      <c r="EO24" s="787"/>
      <c r="EP24" s="787"/>
      <c r="EQ24" s="787"/>
      <c r="ER24" s="787"/>
      <c r="ES24" s="787"/>
      <c r="ET24" s="787"/>
      <c r="EU24" s="787"/>
      <c r="EV24" s="787"/>
      <c r="EW24" s="787"/>
      <c r="EX24" s="787"/>
      <c r="EY24" s="787"/>
      <c r="EZ24" s="787"/>
      <c r="FA24" s="787"/>
      <c r="FB24" s="787"/>
      <c r="FC24" s="787"/>
      <c r="FD24" s="787"/>
      <c r="FE24" s="787"/>
      <c r="FF24" s="787"/>
      <c r="FG24" s="787"/>
      <c r="FH24" s="787"/>
      <c r="FI24" s="787"/>
      <c r="FJ24" s="786"/>
      <c r="FK24" s="787"/>
      <c r="FL24" s="787"/>
      <c r="FM24" s="787"/>
      <c r="FN24" s="787"/>
      <c r="FO24" s="787"/>
      <c r="FP24" s="787"/>
      <c r="FQ24" s="787"/>
      <c r="FR24" s="787"/>
      <c r="FS24" s="787"/>
      <c r="FT24" s="787"/>
      <c r="FU24" s="787"/>
      <c r="FV24" s="787"/>
      <c r="FW24" s="787"/>
      <c r="FX24" s="787"/>
      <c r="FY24" s="787"/>
      <c r="FZ24" s="787"/>
      <c r="GA24" s="787"/>
      <c r="GB24" s="787"/>
      <c r="GC24" s="787"/>
      <c r="GD24" s="787"/>
      <c r="GE24" s="787"/>
      <c r="GF24" s="787"/>
      <c r="GG24" s="787"/>
      <c r="GH24" s="787"/>
      <c r="GI24" s="787"/>
      <c r="GJ24" s="787"/>
      <c r="GK24" s="787"/>
      <c r="GL24" s="787"/>
      <c r="GM24" s="787"/>
      <c r="GN24" s="787"/>
      <c r="GO24" s="786"/>
      <c r="GP24" s="787"/>
      <c r="GQ24" s="787"/>
      <c r="GR24" s="787"/>
      <c r="GS24" s="787"/>
      <c r="GT24" s="787"/>
      <c r="GU24" s="787"/>
      <c r="GV24" s="787"/>
      <c r="GW24" s="787"/>
      <c r="GX24" s="787"/>
      <c r="GY24" s="787"/>
      <c r="GZ24" s="787"/>
      <c r="HA24" s="787"/>
      <c r="HB24" s="787"/>
      <c r="HC24" s="787"/>
      <c r="HD24" s="787"/>
      <c r="HE24" s="787"/>
      <c r="HF24" s="787"/>
      <c r="HG24" s="787"/>
      <c r="HH24" s="787"/>
      <c r="HI24" s="787"/>
      <c r="HJ24" s="787"/>
      <c r="HK24" s="787"/>
      <c r="HL24" s="787"/>
      <c r="HM24" s="787"/>
      <c r="HN24" s="787"/>
      <c r="HO24" s="787"/>
      <c r="HP24" s="787"/>
      <c r="HQ24" s="787"/>
      <c r="HR24" s="787"/>
      <c r="HS24" s="787"/>
      <c r="HT24" s="787"/>
      <c r="HU24" s="786"/>
      <c r="HV24" s="792" t="e">
        <f>'vacaciones 2021'!#REF!</f>
        <v>#REF!</v>
      </c>
    </row>
    <row r="25" spans="1:230" ht="31.5" customHeight="1" x14ac:dyDescent="0.3">
      <c r="A25" s="297">
        <v>19</v>
      </c>
      <c r="B25" s="808" t="s">
        <v>51</v>
      </c>
      <c r="C25" s="806" t="s">
        <v>431</v>
      </c>
      <c r="D25" s="786"/>
      <c r="E25" s="786"/>
      <c r="F25" s="786"/>
      <c r="G25" s="786"/>
      <c r="H25" s="786"/>
      <c r="I25" s="786"/>
      <c r="J25" s="786"/>
      <c r="K25" s="786"/>
      <c r="L25" s="786"/>
      <c r="M25" s="786"/>
      <c r="N25" s="786"/>
      <c r="O25" s="786"/>
      <c r="P25" s="786"/>
      <c r="Q25" s="786"/>
      <c r="R25" s="786"/>
      <c r="S25" s="786"/>
      <c r="T25" s="786"/>
      <c r="U25" s="786"/>
      <c r="V25" s="786"/>
      <c r="W25" s="786"/>
      <c r="X25" s="786"/>
      <c r="Y25" s="786"/>
      <c r="Z25" s="786"/>
      <c r="AA25" s="786"/>
      <c r="AB25" s="786"/>
      <c r="AC25" s="786"/>
      <c r="AD25" s="786"/>
      <c r="AE25" s="786"/>
      <c r="AF25" s="786"/>
      <c r="AG25" s="786"/>
      <c r="AH25" s="786"/>
      <c r="AI25" s="786"/>
      <c r="AJ25" s="786"/>
      <c r="AK25" s="786"/>
      <c r="AL25" s="786"/>
      <c r="AM25" s="787">
        <f t="shared" si="0"/>
        <v>0</v>
      </c>
      <c r="AN25" s="787"/>
      <c r="AO25" s="787"/>
      <c r="AP25" s="787"/>
      <c r="AQ25" s="787"/>
      <c r="AR25" s="787"/>
      <c r="AS25" s="787"/>
      <c r="AT25" s="787"/>
      <c r="AU25" s="787"/>
      <c r="AV25" s="787"/>
      <c r="AW25" s="787"/>
      <c r="AX25" s="787"/>
      <c r="AY25" s="787"/>
      <c r="AZ25" s="787"/>
      <c r="BA25" s="787"/>
      <c r="BB25" s="787"/>
      <c r="BC25" s="787"/>
      <c r="BD25" s="787"/>
      <c r="BE25" s="787"/>
      <c r="BF25" s="787"/>
      <c r="BG25" s="787"/>
      <c r="BH25" s="787"/>
      <c r="BI25" s="787"/>
      <c r="BJ25" s="787"/>
      <c r="BK25" s="787"/>
      <c r="BL25" s="787"/>
      <c r="BM25" s="787"/>
      <c r="BN25" s="787"/>
      <c r="BO25" s="787"/>
      <c r="BP25" s="787"/>
      <c r="BQ25" s="787"/>
      <c r="BR25" s="787"/>
      <c r="BS25" s="786"/>
      <c r="BT25" s="787"/>
      <c r="BU25" s="787"/>
      <c r="BV25" s="787"/>
      <c r="BW25" s="787"/>
      <c r="BX25" s="787"/>
      <c r="BY25" s="787"/>
      <c r="BZ25" s="787"/>
      <c r="CA25" s="787"/>
      <c r="CB25" s="787"/>
      <c r="CC25" s="787"/>
      <c r="CD25" s="787"/>
      <c r="CE25" s="787"/>
      <c r="CF25" s="787"/>
      <c r="CG25" s="787"/>
      <c r="CH25" s="787"/>
      <c r="CI25" s="787"/>
      <c r="CJ25" s="787"/>
      <c r="CK25" s="787"/>
      <c r="CL25" s="787"/>
      <c r="CM25" s="787"/>
      <c r="CN25" s="787"/>
      <c r="CO25" s="787"/>
      <c r="CP25" s="787"/>
      <c r="CQ25" s="787"/>
      <c r="CR25" s="787"/>
      <c r="CS25" s="787"/>
      <c r="CT25" s="787"/>
      <c r="CU25" s="787"/>
      <c r="CV25" s="787"/>
      <c r="CW25" s="787"/>
      <c r="CX25" s="787"/>
      <c r="CY25" s="786"/>
      <c r="CZ25" s="787"/>
      <c r="DA25" s="787"/>
      <c r="DB25" s="787"/>
      <c r="DC25" s="787"/>
      <c r="DD25" s="787"/>
      <c r="DE25" s="787"/>
      <c r="DF25" s="787"/>
      <c r="DG25" s="787"/>
      <c r="DH25" s="787"/>
      <c r="DI25" s="787"/>
      <c r="DJ25" s="787"/>
      <c r="DK25" s="787"/>
      <c r="DL25" s="787"/>
      <c r="DM25" s="787"/>
      <c r="DN25" s="787"/>
      <c r="DO25" s="787"/>
      <c r="DP25" s="787"/>
      <c r="DQ25" s="787"/>
      <c r="DR25" s="787"/>
      <c r="DS25" s="787"/>
      <c r="DT25" s="787"/>
      <c r="DU25" s="787"/>
      <c r="DV25" s="787"/>
      <c r="DW25" s="787"/>
      <c r="DX25" s="787"/>
      <c r="DY25" s="787"/>
      <c r="DZ25" s="787"/>
      <c r="EA25" s="787"/>
      <c r="EB25" s="787"/>
      <c r="EC25" s="787"/>
      <c r="ED25" s="786"/>
      <c r="EE25" s="787"/>
      <c r="EF25" s="787"/>
      <c r="EG25" s="787"/>
      <c r="EH25" s="787"/>
      <c r="EI25" s="787"/>
      <c r="EJ25" s="787"/>
      <c r="EK25" s="787"/>
      <c r="EL25" s="787"/>
      <c r="EM25" s="787"/>
      <c r="EN25" s="787"/>
      <c r="EO25" s="787"/>
      <c r="EP25" s="787"/>
      <c r="EQ25" s="787"/>
      <c r="ER25" s="787"/>
      <c r="ES25" s="787"/>
      <c r="ET25" s="787"/>
      <c r="EU25" s="787"/>
      <c r="EV25" s="787"/>
      <c r="EW25" s="787"/>
      <c r="EX25" s="787"/>
      <c r="EY25" s="787"/>
      <c r="EZ25" s="787"/>
      <c r="FA25" s="787"/>
      <c r="FB25" s="787"/>
      <c r="FC25" s="787"/>
      <c r="FD25" s="787"/>
      <c r="FE25" s="787"/>
      <c r="FF25" s="787"/>
      <c r="FG25" s="787"/>
      <c r="FH25" s="787"/>
      <c r="FI25" s="787"/>
      <c r="FJ25" s="786"/>
      <c r="FK25" s="787"/>
      <c r="FL25" s="787"/>
      <c r="FM25" s="787"/>
      <c r="FN25" s="787"/>
      <c r="FO25" s="787"/>
      <c r="FP25" s="787"/>
      <c r="FQ25" s="787"/>
      <c r="FR25" s="787"/>
      <c r="FS25" s="787"/>
      <c r="FT25" s="787"/>
      <c r="FU25" s="787"/>
      <c r="FV25" s="787"/>
      <c r="FW25" s="787"/>
      <c r="FX25" s="787"/>
      <c r="FY25" s="787"/>
      <c r="FZ25" s="787"/>
      <c r="GA25" s="787"/>
      <c r="GB25" s="787"/>
      <c r="GC25" s="787"/>
      <c r="GD25" s="787"/>
      <c r="GE25" s="787"/>
      <c r="GF25" s="787"/>
      <c r="GG25" s="787"/>
      <c r="GH25" s="787"/>
      <c r="GI25" s="787"/>
      <c r="GJ25" s="787"/>
      <c r="GK25" s="787"/>
      <c r="GL25" s="787"/>
      <c r="GM25" s="787"/>
      <c r="GN25" s="787"/>
      <c r="GO25" s="786"/>
      <c r="GP25" s="787"/>
      <c r="GQ25" s="787"/>
      <c r="GR25" s="787"/>
      <c r="GS25" s="787"/>
      <c r="GT25" s="787"/>
      <c r="GU25" s="787"/>
      <c r="GV25" s="787"/>
      <c r="GW25" s="787"/>
      <c r="GX25" s="787"/>
      <c r="GY25" s="787"/>
      <c r="GZ25" s="787"/>
      <c r="HA25" s="787"/>
      <c r="HB25" s="787"/>
      <c r="HC25" s="787"/>
      <c r="HD25" s="787"/>
      <c r="HE25" s="787"/>
      <c r="HF25" s="787"/>
      <c r="HG25" s="787"/>
      <c r="HH25" s="787"/>
      <c r="HI25" s="787"/>
      <c r="HJ25" s="787"/>
      <c r="HK25" s="787"/>
      <c r="HL25" s="787"/>
      <c r="HM25" s="787"/>
      <c r="HN25" s="787"/>
      <c r="HO25" s="787"/>
      <c r="HP25" s="787"/>
      <c r="HQ25" s="787"/>
      <c r="HR25" s="787"/>
      <c r="HS25" s="787"/>
      <c r="HT25" s="787"/>
      <c r="HU25" s="786"/>
      <c r="HV25" s="792">
        <f>'vacaciones 2021'!U27</f>
        <v>0</v>
      </c>
    </row>
    <row r="26" spans="1:230" ht="31.5" customHeight="1" x14ac:dyDescent="0.3">
      <c r="A26" s="297">
        <v>20</v>
      </c>
      <c r="B26" s="807" t="s">
        <v>52</v>
      </c>
      <c r="C26" s="806" t="s">
        <v>431</v>
      </c>
      <c r="D26" s="786"/>
      <c r="E26" s="786"/>
      <c r="F26" s="786"/>
      <c r="G26" s="786"/>
      <c r="H26" s="786"/>
      <c r="I26" s="786"/>
      <c r="J26" s="786"/>
      <c r="K26" s="786"/>
      <c r="L26" s="786"/>
      <c r="M26" s="786"/>
      <c r="N26" s="786"/>
      <c r="O26" s="786"/>
      <c r="P26" s="786"/>
      <c r="Q26" s="786"/>
      <c r="R26" s="786"/>
      <c r="S26" s="786"/>
      <c r="T26" s="786"/>
      <c r="U26" s="786"/>
      <c r="V26" s="786"/>
      <c r="W26" s="786"/>
      <c r="X26" s="786"/>
      <c r="Y26" s="786"/>
      <c r="Z26" s="786"/>
      <c r="AA26" s="786"/>
      <c r="AB26" s="786"/>
      <c r="AC26" s="786"/>
      <c r="AD26" s="786"/>
      <c r="AE26" s="786"/>
      <c r="AF26" s="786"/>
      <c r="AG26" s="786"/>
      <c r="AH26" s="786"/>
      <c r="AI26" s="786"/>
      <c r="AJ26" s="786"/>
      <c r="AK26" s="786"/>
      <c r="AL26" s="786"/>
      <c r="AM26" s="787">
        <f t="shared" si="0"/>
        <v>0</v>
      </c>
      <c r="AN26" s="787"/>
      <c r="AO26" s="787"/>
      <c r="AP26" s="787"/>
      <c r="AQ26" s="787"/>
      <c r="AR26" s="787"/>
      <c r="AS26" s="787"/>
      <c r="AT26" s="787"/>
      <c r="AU26" s="787"/>
      <c r="AV26" s="787"/>
      <c r="AW26" s="787"/>
      <c r="AX26" s="787"/>
      <c r="AY26" s="787"/>
      <c r="AZ26" s="787"/>
      <c r="BA26" s="787"/>
      <c r="BB26" s="787"/>
      <c r="BC26" s="787"/>
      <c r="BD26" s="787"/>
      <c r="BE26" s="787"/>
      <c r="BF26" s="787"/>
      <c r="BG26" s="787"/>
      <c r="BH26" s="787"/>
      <c r="BI26" s="787"/>
      <c r="BJ26" s="787"/>
      <c r="BK26" s="787"/>
      <c r="BL26" s="787"/>
      <c r="BM26" s="787"/>
      <c r="BN26" s="787"/>
      <c r="BO26" s="787"/>
      <c r="BP26" s="787"/>
      <c r="BQ26" s="787"/>
      <c r="BR26" s="787"/>
      <c r="BS26" s="786"/>
      <c r="BT26" s="787"/>
      <c r="BU26" s="787"/>
      <c r="BV26" s="787"/>
      <c r="BW26" s="787"/>
      <c r="BX26" s="787"/>
      <c r="BY26" s="787"/>
      <c r="BZ26" s="787"/>
      <c r="CA26" s="787"/>
      <c r="CB26" s="787"/>
      <c r="CC26" s="787"/>
      <c r="CD26" s="787"/>
      <c r="CE26" s="787"/>
      <c r="CF26" s="787"/>
      <c r="CG26" s="787"/>
      <c r="CH26" s="787"/>
      <c r="CI26" s="787"/>
      <c r="CJ26" s="787"/>
      <c r="CK26" s="787"/>
      <c r="CL26" s="787"/>
      <c r="CM26" s="787"/>
      <c r="CN26" s="787"/>
      <c r="CO26" s="787"/>
      <c r="CP26" s="787"/>
      <c r="CQ26" s="787"/>
      <c r="CR26" s="787"/>
      <c r="CS26" s="787"/>
      <c r="CT26" s="787"/>
      <c r="CU26" s="787"/>
      <c r="CV26" s="787"/>
      <c r="CW26" s="787"/>
      <c r="CX26" s="787"/>
      <c r="CY26" s="786"/>
      <c r="CZ26" s="787"/>
      <c r="DA26" s="787"/>
      <c r="DB26" s="787"/>
      <c r="DC26" s="787"/>
      <c r="DD26" s="787"/>
      <c r="DE26" s="787"/>
      <c r="DF26" s="787"/>
      <c r="DG26" s="787"/>
      <c r="DH26" s="787"/>
      <c r="DI26" s="787"/>
      <c r="DJ26" s="787"/>
      <c r="DK26" s="787"/>
      <c r="DL26" s="787"/>
      <c r="DM26" s="787"/>
      <c r="DN26" s="787"/>
      <c r="DO26" s="787"/>
      <c r="DP26" s="787"/>
      <c r="DQ26" s="787"/>
      <c r="DR26" s="787"/>
      <c r="DS26" s="787"/>
      <c r="DT26" s="787"/>
      <c r="DU26" s="787"/>
      <c r="DV26" s="787"/>
      <c r="DW26" s="787"/>
      <c r="DX26" s="787"/>
      <c r="DY26" s="787"/>
      <c r="DZ26" s="787"/>
      <c r="EA26" s="787"/>
      <c r="EB26" s="787"/>
      <c r="EC26" s="787"/>
      <c r="ED26" s="786"/>
      <c r="EE26" s="787"/>
      <c r="EF26" s="787"/>
      <c r="EG26" s="787"/>
      <c r="EH26" s="787"/>
      <c r="EI26" s="787"/>
      <c r="EJ26" s="787"/>
      <c r="EK26" s="787"/>
      <c r="EL26" s="787"/>
      <c r="EM26" s="787"/>
      <c r="EN26" s="787"/>
      <c r="EO26" s="787"/>
      <c r="EP26" s="787"/>
      <c r="EQ26" s="787"/>
      <c r="ER26" s="787"/>
      <c r="ES26" s="787"/>
      <c r="ET26" s="787"/>
      <c r="EU26" s="787"/>
      <c r="EV26" s="787"/>
      <c r="EW26" s="787"/>
      <c r="EX26" s="787"/>
      <c r="EY26" s="787"/>
      <c r="EZ26" s="787"/>
      <c r="FA26" s="787"/>
      <c r="FB26" s="787"/>
      <c r="FC26" s="787"/>
      <c r="FD26" s="787"/>
      <c r="FE26" s="787"/>
      <c r="FF26" s="787"/>
      <c r="FG26" s="787"/>
      <c r="FH26" s="787"/>
      <c r="FI26" s="787"/>
      <c r="FJ26" s="786"/>
      <c r="FK26" s="787"/>
      <c r="FL26" s="787"/>
      <c r="FM26" s="787"/>
      <c r="FN26" s="787"/>
      <c r="FO26" s="787"/>
      <c r="FP26" s="787"/>
      <c r="FQ26" s="787"/>
      <c r="FR26" s="787"/>
      <c r="FS26" s="787"/>
      <c r="FT26" s="787"/>
      <c r="FU26" s="787"/>
      <c r="FV26" s="787"/>
      <c r="FW26" s="787"/>
      <c r="FX26" s="787"/>
      <c r="FY26" s="787"/>
      <c r="FZ26" s="787"/>
      <c r="GA26" s="787"/>
      <c r="GB26" s="787"/>
      <c r="GC26" s="787"/>
      <c r="GD26" s="787"/>
      <c r="GE26" s="787"/>
      <c r="GF26" s="787"/>
      <c r="GG26" s="787"/>
      <c r="GH26" s="787"/>
      <c r="GI26" s="787"/>
      <c r="GJ26" s="787"/>
      <c r="GK26" s="787"/>
      <c r="GL26" s="787"/>
      <c r="GM26" s="787"/>
      <c r="GN26" s="787"/>
      <c r="GO26" s="786"/>
      <c r="GP26" s="787"/>
      <c r="GQ26" s="787"/>
      <c r="GR26" s="787"/>
      <c r="GS26" s="787"/>
      <c r="GT26" s="787"/>
      <c r="GU26" s="787"/>
      <c r="GV26" s="787"/>
      <c r="GW26" s="787"/>
      <c r="GX26" s="787"/>
      <c r="GY26" s="787"/>
      <c r="GZ26" s="787"/>
      <c r="HA26" s="787"/>
      <c r="HB26" s="787"/>
      <c r="HC26" s="787"/>
      <c r="HD26" s="787"/>
      <c r="HE26" s="787"/>
      <c r="HF26" s="787"/>
      <c r="HG26" s="787"/>
      <c r="HH26" s="787"/>
      <c r="HI26" s="787"/>
      <c r="HJ26" s="787"/>
      <c r="HK26" s="787"/>
      <c r="HL26" s="787"/>
      <c r="HM26" s="787"/>
      <c r="HN26" s="787"/>
      <c r="HO26" s="787"/>
      <c r="HP26" s="787"/>
      <c r="HQ26" s="787"/>
      <c r="HR26" s="787"/>
      <c r="HS26" s="787"/>
      <c r="HT26" s="787"/>
      <c r="HU26" s="786"/>
      <c r="HV26" s="792">
        <f>'vacaciones 2021'!U29</f>
        <v>0</v>
      </c>
    </row>
    <row r="27" spans="1:230" s="254" customFormat="1" ht="31.5" customHeight="1" x14ac:dyDescent="0.3">
      <c r="A27" s="297">
        <v>21</v>
      </c>
      <c r="B27" s="884" t="s">
        <v>127</v>
      </c>
      <c r="C27" s="806" t="s">
        <v>431</v>
      </c>
      <c r="D27" s="786"/>
      <c r="E27" s="786"/>
      <c r="F27" s="786"/>
      <c r="G27" s="786"/>
      <c r="H27" s="786"/>
      <c r="I27" s="786"/>
      <c r="J27" s="786"/>
      <c r="K27" s="786"/>
      <c r="L27" s="786"/>
      <c r="M27" s="786"/>
      <c r="N27" s="786"/>
      <c r="O27" s="786"/>
      <c r="P27" s="786"/>
      <c r="Q27" s="786"/>
      <c r="R27" s="786"/>
      <c r="S27" s="786"/>
      <c r="T27" s="786"/>
      <c r="U27" s="786"/>
      <c r="V27" s="786"/>
      <c r="W27" s="786"/>
      <c r="X27" s="786"/>
      <c r="Y27" s="786"/>
      <c r="Z27" s="786"/>
      <c r="AA27" s="786"/>
      <c r="AB27" s="786"/>
      <c r="AC27" s="786"/>
      <c r="AD27" s="786"/>
      <c r="AE27" s="786"/>
      <c r="AF27" s="786"/>
      <c r="AG27" s="786"/>
      <c r="AH27" s="786"/>
      <c r="AI27" s="786"/>
      <c r="AJ27" s="786"/>
      <c r="AK27" s="786"/>
      <c r="AL27" s="786"/>
      <c r="AM27" s="787">
        <f t="shared" si="0"/>
        <v>0</v>
      </c>
      <c r="AN27" s="787"/>
      <c r="AO27" s="787"/>
      <c r="AP27" s="787"/>
      <c r="AQ27" s="787"/>
      <c r="AR27" s="787"/>
      <c r="AS27" s="787"/>
      <c r="AT27" s="787"/>
      <c r="AU27" s="787"/>
      <c r="AV27" s="787"/>
      <c r="AW27" s="787"/>
      <c r="AX27" s="787"/>
      <c r="AY27" s="787"/>
      <c r="AZ27" s="787"/>
      <c r="BA27" s="787"/>
      <c r="BB27" s="787"/>
      <c r="BC27" s="787"/>
      <c r="BD27" s="787"/>
      <c r="BE27" s="787"/>
      <c r="BF27" s="787"/>
      <c r="BG27" s="787"/>
      <c r="BH27" s="787"/>
      <c r="BI27" s="787"/>
      <c r="BJ27" s="787"/>
      <c r="BK27" s="787"/>
      <c r="BL27" s="787"/>
      <c r="BM27" s="787"/>
      <c r="BN27" s="787"/>
      <c r="BO27" s="787"/>
      <c r="BP27" s="787"/>
      <c r="BQ27" s="787"/>
      <c r="BR27" s="787"/>
      <c r="BS27" s="786"/>
      <c r="BT27" s="787"/>
      <c r="BU27" s="787"/>
      <c r="BV27" s="787"/>
      <c r="BW27" s="787"/>
      <c r="BX27" s="787"/>
      <c r="BY27" s="787"/>
      <c r="BZ27" s="787"/>
      <c r="CA27" s="787"/>
      <c r="CB27" s="787"/>
      <c r="CC27" s="787"/>
      <c r="CD27" s="787"/>
      <c r="CE27" s="787"/>
      <c r="CF27" s="787"/>
      <c r="CG27" s="787"/>
      <c r="CH27" s="787"/>
      <c r="CI27" s="787"/>
      <c r="CJ27" s="787"/>
      <c r="CK27" s="787"/>
      <c r="CL27" s="787"/>
      <c r="CM27" s="787"/>
      <c r="CN27" s="787"/>
      <c r="CO27" s="787"/>
      <c r="CP27" s="787"/>
      <c r="CQ27" s="787"/>
      <c r="CR27" s="787"/>
      <c r="CS27" s="787"/>
      <c r="CT27" s="787"/>
      <c r="CU27" s="787"/>
      <c r="CV27" s="787"/>
      <c r="CW27" s="787"/>
      <c r="CX27" s="787"/>
      <c r="CY27" s="786"/>
      <c r="CZ27" s="787"/>
      <c r="DA27" s="787"/>
      <c r="DB27" s="787"/>
      <c r="DC27" s="787"/>
      <c r="DD27" s="787"/>
      <c r="DE27" s="787"/>
      <c r="DF27" s="787"/>
      <c r="DG27" s="787"/>
      <c r="DH27" s="787"/>
      <c r="DI27" s="787"/>
      <c r="DJ27" s="787"/>
      <c r="DK27" s="787"/>
      <c r="DL27" s="787"/>
      <c r="DM27" s="787"/>
      <c r="DN27" s="787"/>
      <c r="DO27" s="787"/>
      <c r="DP27" s="787"/>
      <c r="DQ27" s="787"/>
      <c r="DR27" s="787"/>
      <c r="DS27" s="787"/>
      <c r="DT27" s="787"/>
      <c r="DU27" s="787"/>
      <c r="DV27" s="787"/>
      <c r="DW27" s="787"/>
      <c r="DX27" s="787"/>
      <c r="DY27" s="787"/>
      <c r="DZ27" s="787"/>
      <c r="EA27" s="787"/>
      <c r="EB27" s="787"/>
      <c r="EC27" s="787"/>
      <c r="ED27" s="786"/>
      <c r="EE27" s="787"/>
      <c r="EF27" s="787"/>
      <c r="EG27" s="787"/>
      <c r="EH27" s="787"/>
      <c r="EI27" s="787"/>
      <c r="EJ27" s="787"/>
      <c r="EK27" s="787"/>
      <c r="EL27" s="787"/>
      <c r="EM27" s="787"/>
      <c r="EN27" s="787"/>
      <c r="EO27" s="787"/>
      <c r="EP27" s="787"/>
      <c r="EQ27" s="787"/>
      <c r="ER27" s="787"/>
      <c r="ES27" s="787"/>
      <c r="ET27" s="787"/>
      <c r="EU27" s="787"/>
      <c r="EV27" s="787"/>
      <c r="EW27" s="787"/>
      <c r="EX27" s="787"/>
      <c r="EY27" s="787"/>
      <c r="EZ27" s="787"/>
      <c r="FA27" s="787"/>
      <c r="FB27" s="787"/>
      <c r="FC27" s="787"/>
      <c r="FD27" s="787"/>
      <c r="FE27" s="787"/>
      <c r="FF27" s="787"/>
      <c r="FG27" s="787"/>
      <c r="FH27" s="787"/>
      <c r="FI27" s="787"/>
      <c r="FJ27" s="786"/>
      <c r="FK27" s="787"/>
      <c r="FL27" s="787"/>
      <c r="FM27" s="787"/>
      <c r="FN27" s="787"/>
      <c r="FO27" s="787"/>
      <c r="FP27" s="787"/>
      <c r="FQ27" s="787"/>
      <c r="FR27" s="787"/>
      <c r="FS27" s="787"/>
      <c r="FT27" s="787"/>
      <c r="FU27" s="787"/>
      <c r="FV27" s="787"/>
      <c r="FW27" s="787"/>
      <c r="FX27" s="787"/>
      <c r="FY27" s="787"/>
      <c r="FZ27" s="787"/>
      <c r="GA27" s="787"/>
      <c r="GB27" s="787"/>
      <c r="GC27" s="787"/>
      <c r="GD27" s="787"/>
      <c r="GE27" s="787"/>
      <c r="GF27" s="787"/>
      <c r="GG27" s="787"/>
      <c r="GH27" s="787"/>
      <c r="GI27" s="787"/>
      <c r="GJ27" s="787"/>
      <c r="GK27" s="787"/>
      <c r="GL27" s="787"/>
      <c r="GM27" s="787"/>
      <c r="GN27" s="787"/>
      <c r="GO27" s="786"/>
      <c r="GP27" s="787"/>
      <c r="GQ27" s="787"/>
      <c r="GR27" s="787"/>
      <c r="GS27" s="787"/>
      <c r="GT27" s="787"/>
      <c r="GU27" s="787"/>
      <c r="GV27" s="787"/>
      <c r="GW27" s="787"/>
      <c r="GX27" s="787"/>
      <c r="GY27" s="787"/>
      <c r="GZ27" s="787"/>
      <c r="HA27" s="787"/>
      <c r="HB27" s="787"/>
      <c r="HC27" s="787"/>
      <c r="HD27" s="787"/>
      <c r="HE27" s="787"/>
      <c r="HF27" s="787"/>
      <c r="HG27" s="787"/>
      <c r="HH27" s="787"/>
      <c r="HI27" s="787"/>
      <c r="HJ27" s="787"/>
      <c r="HK27" s="787"/>
      <c r="HL27" s="787"/>
      <c r="HM27" s="787"/>
      <c r="HN27" s="787"/>
      <c r="HO27" s="787"/>
      <c r="HP27" s="787"/>
      <c r="HQ27" s="787"/>
      <c r="HR27" s="787"/>
      <c r="HS27" s="787"/>
      <c r="HT27" s="787"/>
      <c r="HU27" s="786"/>
      <c r="HV27" s="792">
        <f>'vacaciones 2021'!U32</f>
        <v>0</v>
      </c>
    </row>
    <row r="28" spans="1:230" s="254" customFormat="1" ht="31.5" customHeight="1" x14ac:dyDescent="0.3">
      <c r="A28" s="297">
        <v>22</v>
      </c>
      <c r="B28" s="808" t="s">
        <v>379</v>
      </c>
      <c r="C28" s="806" t="s">
        <v>435</v>
      </c>
      <c r="D28" s="786"/>
      <c r="E28" s="786"/>
      <c r="F28" s="786"/>
      <c r="G28" s="786"/>
      <c r="H28" s="786"/>
      <c r="I28" s="786"/>
      <c r="J28" s="786"/>
      <c r="K28" s="786"/>
      <c r="L28" s="786"/>
      <c r="M28" s="786"/>
      <c r="N28" s="786"/>
      <c r="O28" s="786"/>
      <c r="P28" s="786"/>
      <c r="Q28" s="786"/>
      <c r="R28" s="786"/>
      <c r="S28" s="786"/>
      <c r="T28" s="786"/>
      <c r="U28" s="786"/>
      <c r="V28" s="786"/>
      <c r="W28" s="786"/>
      <c r="X28" s="786"/>
      <c r="Y28" s="786"/>
      <c r="Z28" s="786"/>
      <c r="AA28" s="786"/>
      <c r="AB28" s="786"/>
      <c r="AC28" s="786"/>
      <c r="AD28" s="786"/>
      <c r="AE28" s="786"/>
      <c r="AF28" s="786"/>
      <c r="AG28" s="786"/>
      <c r="AH28" s="786"/>
      <c r="AI28" s="786"/>
      <c r="AJ28" s="786"/>
      <c r="AK28" s="786"/>
      <c r="AL28" s="786"/>
      <c r="AM28" s="787">
        <f t="shared" si="0"/>
        <v>0</v>
      </c>
      <c r="AN28" s="787"/>
      <c r="AO28" s="787"/>
      <c r="AP28" s="787"/>
      <c r="AQ28" s="787"/>
      <c r="AR28" s="787"/>
      <c r="AS28" s="787"/>
      <c r="AT28" s="787"/>
      <c r="AU28" s="787"/>
      <c r="AV28" s="787"/>
      <c r="AW28" s="787"/>
      <c r="AX28" s="787"/>
      <c r="AY28" s="787"/>
      <c r="AZ28" s="787"/>
      <c r="BA28" s="787"/>
      <c r="BB28" s="787"/>
      <c r="BC28" s="787"/>
      <c r="BD28" s="787"/>
      <c r="BE28" s="787"/>
      <c r="BF28" s="787"/>
      <c r="BG28" s="787"/>
      <c r="BH28" s="787"/>
      <c r="BI28" s="787"/>
      <c r="BJ28" s="787"/>
      <c r="BK28" s="787"/>
      <c r="BL28" s="787"/>
      <c r="BM28" s="787"/>
      <c r="BN28" s="787"/>
      <c r="BO28" s="787"/>
      <c r="BP28" s="787"/>
      <c r="BQ28" s="787"/>
      <c r="BR28" s="787"/>
      <c r="BS28" s="786"/>
      <c r="BT28" s="787"/>
      <c r="BU28" s="787"/>
      <c r="BV28" s="787"/>
      <c r="BW28" s="787"/>
      <c r="BX28" s="787"/>
      <c r="BY28" s="787"/>
      <c r="BZ28" s="787"/>
      <c r="CA28" s="787"/>
      <c r="CB28" s="787"/>
      <c r="CC28" s="787"/>
      <c r="CD28" s="787"/>
      <c r="CE28" s="787"/>
      <c r="CF28" s="787"/>
      <c r="CG28" s="787"/>
      <c r="CH28" s="787"/>
      <c r="CI28" s="787"/>
      <c r="CJ28" s="787"/>
      <c r="CK28" s="787"/>
      <c r="CL28" s="787"/>
      <c r="CM28" s="787"/>
      <c r="CN28" s="787"/>
      <c r="CO28" s="787"/>
      <c r="CP28" s="787"/>
      <c r="CQ28" s="787"/>
      <c r="CR28" s="787"/>
      <c r="CS28" s="787"/>
      <c r="CT28" s="787"/>
      <c r="CU28" s="787"/>
      <c r="CV28" s="787"/>
      <c r="CW28" s="787"/>
      <c r="CX28" s="787"/>
      <c r="CY28" s="786"/>
      <c r="CZ28" s="787"/>
      <c r="DA28" s="787"/>
      <c r="DB28" s="787"/>
      <c r="DC28" s="787"/>
      <c r="DD28" s="787"/>
      <c r="DE28" s="787"/>
      <c r="DF28" s="787"/>
      <c r="DG28" s="787"/>
      <c r="DH28" s="787"/>
      <c r="DI28" s="787"/>
      <c r="DJ28" s="787"/>
      <c r="DK28" s="787"/>
      <c r="DL28" s="787"/>
      <c r="DM28" s="787"/>
      <c r="DN28" s="787"/>
      <c r="DO28" s="787"/>
      <c r="DP28" s="787"/>
      <c r="DQ28" s="787"/>
      <c r="DR28" s="787"/>
      <c r="DS28" s="787"/>
      <c r="DT28" s="787"/>
      <c r="DU28" s="787"/>
      <c r="DV28" s="787"/>
      <c r="DW28" s="787"/>
      <c r="DX28" s="787"/>
      <c r="DY28" s="787"/>
      <c r="DZ28" s="787"/>
      <c r="EA28" s="787"/>
      <c r="EB28" s="787"/>
      <c r="EC28" s="787"/>
      <c r="ED28" s="786"/>
      <c r="EE28" s="787"/>
      <c r="EF28" s="787"/>
      <c r="EG28" s="787"/>
      <c r="EH28" s="787"/>
      <c r="EI28" s="787"/>
      <c r="EJ28" s="787"/>
      <c r="EK28" s="787"/>
      <c r="EL28" s="787"/>
      <c r="EM28" s="787"/>
      <c r="EN28" s="787"/>
      <c r="EO28" s="787"/>
      <c r="EP28" s="787"/>
      <c r="EQ28" s="787"/>
      <c r="ER28" s="787"/>
      <c r="ES28" s="787"/>
      <c r="ET28" s="787"/>
      <c r="EU28" s="787"/>
      <c r="EV28" s="787"/>
      <c r="EW28" s="787"/>
      <c r="EX28" s="787"/>
      <c r="EY28" s="787"/>
      <c r="EZ28" s="787"/>
      <c r="FA28" s="787"/>
      <c r="FB28" s="787"/>
      <c r="FC28" s="787"/>
      <c r="FD28" s="787"/>
      <c r="FE28" s="787"/>
      <c r="FF28" s="787"/>
      <c r="FG28" s="787"/>
      <c r="FH28" s="787"/>
      <c r="FI28" s="787"/>
      <c r="FJ28" s="786"/>
      <c r="FK28" s="787"/>
      <c r="FL28" s="787"/>
      <c r="FM28" s="787"/>
      <c r="FN28" s="787"/>
      <c r="FO28" s="787"/>
      <c r="FP28" s="787"/>
      <c r="FQ28" s="787"/>
      <c r="FR28" s="787"/>
      <c r="FS28" s="787"/>
      <c r="FT28" s="787"/>
      <c r="FU28" s="787"/>
      <c r="FV28" s="787"/>
      <c r="FW28" s="787"/>
      <c r="FX28" s="787"/>
      <c r="FY28" s="787"/>
      <c r="FZ28" s="787"/>
      <c r="GA28" s="787"/>
      <c r="GB28" s="787"/>
      <c r="GC28" s="787"/>
      <c r="GD28" s="787"/>
      <c r="GE28" s="787"/>
      <c r="GF28" s="787"/>
      <c r="GG28" s="787"/>
      <c r="GH28" s="787"/>
      <c r="GI28" s="787"/>
      <c r="GJ28" s="787"/>
      <c r="GK28" s="787"/>
      <c r="GL28" s="787"/>
      <c r="GM28" s="787"/>
      <c r="GN28" s="787"/>
      <c r="GO28" s="786"/>
      <c r="GP28" s="787"/>
      <c r="GQ28" s="787"/>
      <c r="GR28" s="787"/>
      <c r="GS28" s="787"/>
      <c r="GT28" s="787"/>
      <c r="GU28" s="787"/>
      <c r="GV28" s="787"/>
      <c r="GW28" s="787"/>
      <c r="GX28" s="787"/>
      <c r="GY28" s="787"/>
      <c r="GZ28" s="787"/>
      <c r="HA28" s="787"/>
      <c r="HB28" s="787"/>
      <c r="HC28" s="787"/>
      <c r="HD28" s="787"/>
      <c r="HE28" s="787"/>
      <c r="HF28" s="787"/>
      <c r="HG28" s="787"/>
      <c r="HH28" s="787"/>
      <c r="HI28" s="787"/>
      <c r="HJ28" s="787"/>
      <c r="HK28" s="787"/>
      <c r="HL28" s="787"/>
      <c r="HM28" s="787"/>
      <c r="HN28" s="787"/>
      <c r="HO28" s="787"/>
      <c r="HP28" s="787"/>
      <c r="HQ28" s="787"/>
      <c r="HR28" s="787"/>
      <c r="HS28" s="787"/>
      <c r="HT28" s="787"/>
      <c r="HU28" s="786"/>
      <c r="HV28" s="792" t="e">
        <f>'vacaciones 2021'!#REF!</f>
        <v>#REF!</v>
      </c>
    </row>
    <row r="29" spans="1:230" ht="31.5" customHeight="1" x14ac:dyDescent="0.3">
      <c r="A29" s="297">
        <v>23</v>
      </c>
      <c r="B29" s="884" t="s">
        <v>151</v>
      </c>
      <c r="C29" s="806" t="s">
        <v>435</v>
      </c>
      <c r="D29" s="786"/>
      <c r="E29" s="786"/>
      <c r="F29" s="786"/>
      <c r="G29" s="786"/>
      <c r="H29" s="786"/>
      <c r="I29" s="786"/>
      <c r="J29" s="786"/>
      <c r="K29" s="786"/>
      <c r="L29" s="786"/>
      <c r="M29" s="786"/>
      <c r="N29" s="786"/>
      <c r="O29" s="786"/>
      <c r="P29" s="786"/>
      <c r="Q29" s="786"/>
      <c r="R29" s="786"/>
      <c r="S29" s="786"/>
      <c r="T29" s="786"/>
      <c r="U29" s="786"/>
      <c r="V29" s="786"/>
      <c r="W29" s="786"/>
      <c r="X29" s="786"/>
      <c r="Y29" s="786"/>
      <c r="Z29" s="786"/>
      <c r="AA29" s="786"/>
      <c r="AB29" s="786"/>
      <c r="AC29" s="786"/>
      <c r="AD29" s="786"/>
      <c r="AE29" s="786"/>
      <c r="AF29" s="786"/>
      <c r="AG29" s="786"/>
      <c r="AH29" s="786"/>
      <c r="AI29" s="786"/>
      <c r="AJ29" s="786"/>
      <c r="AK29" s="786"/>
      <c r="AL29" s="897">
        <v>1</v>
      </c>
      <c r="AM29" s="787">
        <f>SUM(I29:AL29)</f>
        <v>1</v>
      </c>
      <c r="AN29" s="898">
        <v>1</v>
      </c>
      <c r="AO29" s="898">
        <v>1</v>
      </c>
      <c r="AP29" s="898">
        <v>1</v>
      </c>
      <c r="AQ29" s="898">
        <v>1</v>
      </c>
      <c r="AR29" s="898">
        <v>1</v>
      </c>
      <c r="AS29" s="898">
        <v>1</v>
      </c>
      <c r="AT29" s="787"/>
      <c r="AU29" s="787"/>
      <c r="AV29" s="787"/>
      <c r="AW29" s="787"/>
      <c r="AX29" s="787"/>
      <c r="AY29" s="787"/>
      <c r="AZ29" s="787"/>
      <c r="BA29" s="787"/>
      <c r="BB29" s="787"/>
      <c r="BC29" s="787"/>
      <c r="BD29" s="787"/>
      <c r="BE29" s="787"/>
      <c r="BF29" s="787"/>
      <c r="BG29" s="787"/>
      <c r="BH29" s="787"/>
      <c r="BI29" s="787"/>
      <c r="BJ29" s="787"/>
      <c r="BK29" s="787"/>
      <c r="BL29" s="787"/>
      <c r="BM29" s="787"/>
      <c r="BN29" s="787"/>
      <c r="BO29" s="787"/>
      <c r="BP29" s="787"/>
      <c r="BQ29" s="787"/>
      <c r="BR29" s="787"/>
      <c r="BS29" s="786"/>
      <c r="BT29" s="787"/>
      <c r="BU29" s="787"/>
      <c r="BV29" s="787"/>
      <c r="BW29" s="787"/>
      <c r="BX29" s="787"/>
      <c r="BY29" s="787"/>
      <c r="BZ29" s="787"/>
      <c r="CA29" s="787"/>
      <c r="CB29" s="787"/>
      <c r="CC29" s="787"/>
      <c r="CD29" s="787"/>
      <c r="CE29" s="787"/>
      <c r="CF29" s="787"/>
      <c r="CG29" s="787"/>
      <c r="CH29" s="787"/>
      <c r="CI29" s="787"/>
      <c r="CJ29" s="787"/>
      <c r="CK29" s="787"/>
      <c r="CL29" s="787"/>
      <c r="CM29" s="787"/>
      <c r="CN29" s="787"/>
      <c r="CO29" s="787"/>
      <c r="CP29" s="787"/>
      <c r="CQ29" s="787"/>
      <c r="CR29" s="787"/>
      <c r="CS29" s="787"/>
      <c r="CT29" s="787"/>
      <c r="CU29" s="787"/>
      <c r="CV29" s="787"/>
      <c r="CW29" s="787"/>
      <c r="CX29" s="787"/>
      <c r="CY29" s="786"/>
      <c r="CZ29" s="787"/>
      <c r="DA29" s="787"/>
      <c r="DB29" s="787"/>
      <c r="DC29" s="787"/>
      <c r="DD29" s="787"/>
      <c r="DE29" s="787"/>
      <c r="DF29" s="787"/>
      <c r="DG29" s="787"/>
      <c r="DH29" s="787"/>
      <c r="DI29" s="787"/>
      <c r="DJ29" s="787"/>
      <c r="DK29" s="787"/>
      <c r="DL29" s="787"/>
      <c r="DM29" s="787"/>
      <c r="DN29" s="787"/>
      <c r="DO29" s="787"/>
      <c r="DP29" s="787"/>
      <c r="DQ29" s="787"/>
      <c r="DR29" s="787"/>
      <c r="DS29" s="787"/>
      <c r="DT29" s="787"/>
      <c r="DU29" s="787"/>
      <c r="DV29" s="787"/>
      <c r="DW29" s="787"/>
      <c r="DX29" s="787"/>
      <c r="DY29" s="787"/>
      <c r="DZ29" s="787"/>
      <c r="EA29" s="787"/>
      <c r="EB29" s="787"/>
      <c r="EC29" s="787"/>
      <c r="ED29" s="786"/>
      <c r="EE29" s="787"/>
      <c r="EF29" s="787"/>
      <c r="EG29" s="787"/>
      <c r="EH29" s="787"/>
      <c r="EI29" s="787"/>
      <c r="EJ29" s="787"/>
      <c r="EK29" s="787"/>
      <c r="EL29" s="787"/>
      <c r="EM29" s="787"/>
      <c r="EN29" s="787"/>
      <c r="EO29" s="787"/>
      <c r="EP29" s="787"/>
      <c r="EQ29" s="787"/>
      <c r="ER29" s="787"/>
      <c r="ES29" s="787"/>
      <c r="ET29" s="787"/>
      <c r="EU29" s="787"/>
      <c r="EV29" s="787"/>
      <c r="EW29" s="787"/>
      <c r="EX29" s="787"/>
      <c r="EY29" s="787"/>
      <c r="EZ29" s="787"/>
      <c r="FA29" s="787"/>
      <c r="FB29" s="787"/>
      <c r="FC29" s="787"/>
      <c r="FD29" s="787"/>
      <c r="FE29" s="787"/>
      <c r="FF29" s="787"/>
      <c r="FG29" s="787"/>
      <c r="FH29" s="787"/>
      <c r="FI29" s="787"/>
      <c r="FJ29" s="786"/>
      <c r="FK29" s="787"/>
      <c r="FL29" s="787"/>
      <c r="FM29" s="787"/>
      <c r="FN29" s="787"/>
      <c r="FO29" s="787"/>
      <c r="FP29" s="787"/>
      <c r="FQ29" s="787"/>
      <c r="FR29" s="787"/>
      <c r="FS29" s="787"/>
      <c r="FT29" s="787"/>
      <c r="FU29" s="787"/>
      <c r="FV29" s="787"/>
      <c r="FW29" s="787"/>
      <c r="FX29" s="787"/>
      <c r="FY29" s="787"/>
      <c r="FZ29" s="787"/>
      <c r="GA29" s="787"/>
      <c r="GB29" s="787"/>
      <c r="GC29" s="787"/>
      <c r="GD29" s="787"/>
      <c r="GE29" s="787"/>
      <c r="GF29" s="787"/>
      <c r="GG29" s="787"/>
      <c r="GH29" s="787"/>
      <c r="GI29" s="787"/>
      <c r="GJ29" s="787"/>
      <c r="GK29" s="787"/>
      <c r="GL29" s="787"/>
      <c r="GM29" s="787"/>
      <c r="GN29" s="787"/>
      <c r="GO29" s="786"/>
      <c r="GP29" s="787"/>
      <c r="GQ29" s="787"/>
      <c r="GR29" s="787"/>
      <c r="GS29" s="787"/>
      <c r="GT29" s="787"/>
      <c r="GU29" s="787"/>
      <c r="GV29" s="787"/>
      <c r="GW29" s="787"/>
      <c r="GX29" s="787"/>
      <c r="GY29" s="787"/>
      <c r="GZ29" s="787"/>
      <c r="HA29" s="787"/>
      <c r="HB29" s="787"/>
      <c r="HC29" s="787"/>
      <c r="HD29" s="787"/>
      <c r="HE29" s="787"/>
      <c r="HF29" s="787"/>
      <c r="HG29" s="787"/>
      <c r="HH29" s="787"/>
      <c r="HI29" s="787"/>
      <c r="HJ29" s="787"/>
      <c r="HK29" s="787"/>
      <c r="HL29" s="787"/>
      <c r="HM29" s="787"/>
      <c r="HN29" s="787"/>
      <c r="HO29" s="787"/>
      <c r="HP29" s="787"/>
      <c r="HQ29" s="787"/>
      <c r="HR29" s="787"/>
      <c r="HS29" s="787"/>
      <c r="HT29" s="787"/>
      <c r="HU29" s="786"/>
      <c r="HV29" s="792">
        <f>'vacaciones 2021'!U34</f>
        <v>0</v>
      </c>
    </row>
    <row r="30" spans="1:230" ht="31.5" customHeight="1" x14ac:dyDescent="0.3">
      <c r="A30" s="297">
        <v>24</v>
      </c>
      <c r="B30" s="884" t="s">
        <v>152</v>
      </c>
      <c r="C30" s="806" t="s">
        <v>435</v>
      </c>
      <c r="D30" s="786"/>
      <c r="E30" s="786"/>
      <c r="F30" s="786"/>
      <c r="G30" s="786"/>
      <c r="H30" s="786"/>
      <c r="I30" s="786"/>
      <c r="J30" s="786"/>
      <c r="K30" s="786"/>
      <c r="L30" s="786"/>
      <c r="M30" s="786"/>
      <c r="N30" s="786"/>
      <c r="O30" s="786"/>
      <c r="P30" s="786"/>
      <c r="Q30" s="786"/>
      <c r="R30" s="786"/>
      <c r="S30" s="786"/>
      <c r="T30" s="786"/>
      <c r="U30" s="786"/>
      <c r="V30" s="786"/>
      <c r="W30" s="786"/>
      <c r="X30" s="786"/>
      <c r="Y30" s="786"/>
      <c r="Z30" s="786"/>
      <c r="AA30" s="786"/>
      <c r="AB30" s="786"/>
      <c r="AC30" s="786"/>
      <c r="AD30" s="786"/>
      <c r="AE30" s="786"/>
      <c r="AF30" s="786"/>
      <c r="AG30" s="786"/>
      <c r="AH30" s="786"/>
      <c r="AI30" s="786"/>
      <c r="AJ30" s="786"/>
      <c r="AK30" s="786"/>
      <c r="AL30" s="786"/>
      <c r="AM30" s="787">
        <f t="shared" si="0"/>
        <v>0</v>
      </c>
      <c r="AN30" s="787"/>
      <c r="AO30" s="787"/>
      <c r="AP30" s="787"/>
      <c r="AQ30" s="787"/>
      <c r="AR30" s="787"/>
      <c r="AS30" s="787"/>
      <c r="AT30" s="787"/>
      <c r="AU30" s="787"/>
      <c r="AV30" s="787"/>
      <c r="AW30" s="787"/>
      <c r="AX30" s="787"/>
      <c r="AY30" s="787"/>
      <c r="AZ30" s="787"/>
      <c r="BA30" s="787"/>
      <c r="BB30" s="787"/>
      <c r="BC30" s="787"/>
      <c r="BD30" s="787"/>
      <c r="BE30" s="787"/>
      <c r="BF30" s="787"/>
      <c r="BG30" s="787"/>
      <c r="BH30" s="787"/>
      <c r="BI30" s="787"/>
      <c r="BJ30" s="787"/>
      <c r="BK30" s="787"/>
      <c r="BL30" s="787"/>
      <c r="BM30" s="787"/>
      <c r="BN30" s="787"/>
      <c r="BO30" s="787"/>
      <c r="BP30" s="787"/>
      <c r="BQ30" s="787"/>
      <c r="BR30" s="787"/>
      <c r="BS30" s="786"/>
      <c r="BT30" s="787"/>
      <c r="BU30" s="787"/>
      <c r="BV30" s="787"/>
      <c r="BW30" s="787"/>
      <c r="BX30" s="787"/>
      <c r="BY30" s="787"/>
      <c r="BZ30" s="787"/>
      <c r="CA30" s="787"/>
      <c r="CB30" s="787"/>
      <c r="CC30" s="787"/>
      <c r="CD30" s="787"/>
      <c r="CE30" s="787"/>
      <c r="CF30" s="787"/>
      <c r="CG30" s="787"/>
      <c r="CH30" s="787"/>
      <c r="CI30" s="787"/>
      <c r="CJ30" s="787"/>
      <c r="CK30" s="787"/>
      <c r="CL30" s="787"/>
      <c r="CM30" s="787"/>
      <c r="CN30" s="787"/>
      <c r="CO30" s="787"/>
      <c r="CP30" s="787"/>
      <c r="CQ30" s="787"/>
      <c r="CR30" s="787"/>
      <c r="CS30" s="787"/>
      <c r="CT30" s="787"/>
      <c r="CU30" s="787"/>
      <c r="CV30" s="787"/>
      <c r="CW30" s="787"/>
      <c r="CX30" s="787"/>
      <c r="CY30" s="786"/>
      <c r="CZ30" s="787"/>
      <c r="DA30" s="787"/>
      <c r="DB30" s="787"/>
      <c r="DC30" s="787"/>
      <c r="DD30" s="787"/>
      <c r="DE30" s="787"/>
      <c r="DF30" s="787"/>
      <c r="DG30" s="787"/>
      <c r="DH30" s="787"/>
      <c r="DI30" s="787"/>
      <c r="DJ30" s="787"/>
      <c r="DK30" s="787"/>
      <c r="DL30" s="787"/>
      <c r="DM30" s="787"/>
      <c r="DN30" s="787"/>
      <c r="DO30" s="787"/>
      <c r="DP30" s="787"/>
      <c r="DQ30" s="787"/>
      <c r="DR30" s="787"/>
      <c r="DS30" s="787"/>
      <c r="DT30" s="787"/>
      <c r="DU30" s="787"/>
      <c r="DV30" s="787"/>
      <c r="DW30" s="787"/>
      <c r="DX30" s="787"/>
      <c r="DY30" s="787"/>
      <c r="DZ30" s="787"/>
      <c r="EA30" s="787"/>
      <c r="EB30" s="787"/>
      <c r="EC30" s="787"/>
      <c r="ED30" s="786"/>
      <c r="EE30" s="787"/>
      <c r="EF30" s="787"/>
      <c r="EG30" s="787"/>
      <c r="EH30" s="787"/>
      <c r="EI30" s="787"/>
      <c r="EJ30" s="787"/>
      <c r="EK30" s="787"/>
      <c r="EL30" s="787"/>
      <c r="EM30" s="787"/>
      <c r="EN30" s="787"/>
      <c r="EO30" s="787"/>
      <c r="EP30" s="787"/>
      <c r="EQ30" s="787"/>
      <c r="ER30" s="787"/>
      <c r="ES30" s="787"/>
      <c r="ET30" s="787"/>
      <c r="EU30" s="787"/>
      <c r="EV30" s="787"/>
      <c r="EW30" s="787"/>
      <c r="EX30" s="787"/>
      <c r="EY30" s="787"/>
      <c r="EZ30" s="787"/>
      <c r="FA30" s="787"/>
      <c r="FB30" s="787"/>
      <c r="FC30" s="787"/>
      <c r="FD30" s="787"/>
      <c r="FE30" s="787"/>
      <c r="FF30" s="787"/>
      <c r="FG30" s="787"/>
      <c r="FH30" s="787"/>
      <c r="FI30" s="787"/>
      <c r="FJ30" s="786"/>
      <c r="FK30" s="787"/>
      <c r="FL30" s="787"/>
      <c r="FM30" s="787"/>
      <c r="FN30" s="787"/>
      <c r="FO30" s="787"/>
      <c r="FP30" s="787"/>
      <c r="FQ30" s="787"/>
      <c r="FR30" s="787"/>
      <c r="FS30" s="787"/>
      <c r="FT30" s="787"/>
      <c r="FU30" s="787"/>
      <c r="FV30" s="787"/>
      <c r="FW30" s="787"/>
      <c r="FX30" s="787"/>
      <c r="FY30" s="787"/>
      <c r="FZ30" s="787"/>
      <c r="GA30" s="787"/>
      <c r="GB30" s="787"/>
      <c r="GC30" s="787"/>
      <c r="GD30" s="787"/>
      <c r="GE30" s="787"/>
      <c r="GF30" s="787"/>
      <c r="GG30" s="787"/>
      <c r="GH30" s="787"/>
      <c r="GI30" s="787"/>
      <c r="GJ30" s="787"/>
      <c r="GK30" s="787"/>
      <c r="GL30" s="787"/>
      <c r="GM30" s="787"/>
      <c r="GN30" s="787"/>
      <c r="GO30" s="786"/>
      <c r="GP30" s="787"/>
      <c r="GQ30" s="787"/>
      <c r="GR30" s="787"/>
      <c r="GS30" s="787"/>
      <c r="GT30" s="787"/>
      <c r="GU30" s="787"/>
      <c r="GV30" s="787"/>
      <c r="GW30" s="787"/>
      <c r="GX30" s="787"/>
      <c r="GY30" s="787"/>
      <c r="GZ30" s="787"/>
      <c r="HA30" s="787"/>
      <c r="HB30" s="787"/>
      <c r="HC30" s="787"/>
      <c r="HD30" s="787"/>
      <c r="HE30" s="787"/>
      <c r="HF30" s="787"/>
      <c r="HG30" s="787"/>
      <c r="HH30" s="787"/>
      <c r="HI30" s="787"/>
      <c r="HJ30" s="787"/>
      <c r="HK30" s="787"/>
      <c r="HL30" s="787"/>
      <c r="HM30" s="787"/>
      <c r="HN30" s="787"/>
      <c r="HO30" s="787"/>
      <c r="HP30" s="787"/>
      <c r="HQ30" s="787"/>
      <c r="HR30" s="787"/>
      <c r="HS30" s="787"/>
      <c r="HT30" s="787"/>
      <c r="HU30" s="786"/>
      <c r="HV30" s="792">
        <f>'vacaciones 2021'!U35</f>
        <v>0</v>
      </c>
    </row>
    <row r="31" spans="1:230" s="254" customFormat="1" ht="31.5" customHeight="1" x14ac:dyDescent="0.3">
      <c r="A31" s="297">
        <v>25</v>
      </c>
      <c r="B31" s="808" t="s">
        <v>96</v>
      </c>
      <c r="C31" s="806" t="s">
        <v>431</v>
      </c>
      <c r="D31" s="786"/>
      <c r="E31" s="786"/>
      <c r="F31" s="786"/>
      <c r="G31" s="786"/>
      <c r="H31" s="786"/>
      <c r="I31" s="786"/>
      <c r="J31" s="786"/>
      <c r="K31" s="786"/>
      <c r="L31" s="786"/>
      <c r="M31" s="891" t="s">
        <v>459</v>
      </c>
      <c r="N31" s="891" t="s">
        <v>459</v>
      </c>
      <c r="O31" s="891" t="s">
        <v>459</v>
      </c>
      <c r="P31" s="891" t="s">
        <v>459</v>
      </c>
      <c r="Q31" s="786"/>
      <c r="R31" s="786"/>
      <c r="S31" s="786"/>
      <c r="T31" s="786"/>
      <c r="U31" s="786"/>
      <c r="V31" s="786"/>
      <c r="W31" s="786"/>
      <c r="X31" s="786"/>
      <c r="Y31" s="786"/>
      <c r="Z31" s="786"/>
      <c r="AA31" s="786"/>
      <c r="AB31" s="786"/>
      <c r="AC31" s="786"/>
      <c r="AD31" s="786"/>
      <c r="AE31" s="786"/>
      <c r="AF31" s="786"/>
      <c r="AG31" s="786"/>
      <c r="AH31" s="786"/>
      <c r="AI31" s="786"/>
      <c r="AJ31" s="786"/>
      <c r="AK31" s="786"/>
      <c r="AL31" s="786"/>
      <c r="AM31" s="787">
        <f>M31+N31+O31+P31</f>
        <v>4</v>
      </c>
      <c r="AN31" s="787"/>
      <c r="AO31" s="787"/>
      <c r="AP31" s="787"/>
      <c r="AQ31" s="787"/>
      <c r="AR31" s="787"/>
      <c r="AS31" s="787"/>
      <c r="AT31" s="787"/>
      <c r="AU31" s="787"/>
      <c r="AV31" s="787"/>
      <c r="AW31" s="787"/>
      <c r="AX31" s="787"/>
      <c r="AY31" s="787"/>
      <c r="AZ31" s="787"/>
      <c r="BA31" s="787"/>
      <c r="BB31" s="787"/>
      <c r="BC31" s="787"/>
      <c r="BD31" s="787"/>
      <c r="BE31" s="787"/>
      <c r="BF31" s="787"/>
      <c r="BG31" s="787"/>
      <c r="BH31" s="787"/>
      <c r="BI31" s="787"/>
      <c r="BJ31" s="787"/>
      <c r="BK31" s="787"/>
      <c r="BL31" s="787"/>
      <c r="BM31" s="787"/>
      <c r="BN31" s="787"/>
      <c r="BO31" s="787"/>
      <c r="BP31" s="787"/>
      <c r="BQ31" s="787"/>
      <c r="BR31" s="787"/>
      <c r="BS31" s="786"/>
      <c r="BT31" s="787"/>
      <c r="BU31" s="787"/>
      <c r="BV31" s="787"/>
      <c r="BW31" s="787"/>
      <c r="BX31" s="787"/>
      <c r="BY31" s="787"/>
      <c r="BZ31" s="787"/>
      <c r="CA31" s="787"/>
      <c r="CB31" s="787"/>
      <c r="CC31" s="787"/>
      <c r="CD31" s="787"/>
      <c r="CE31" s="787"/>
      <c r="CF31" s="787"/>
      <c r="CG31" s="787"/>
      <c r="CH31" s="787"/>
      <c r="CI31" s="787"/>
      <c r="CJ31" s="787"/>
      <c r="CK31" s="787"/>
      <c r="CL31" s="787"/>
      <c r="CM31" s="787"/>
      <c r="CN31" s="787"/>
      <c r="CO31" s="787"/>
      <c r="CP31" s="787"/>
      <c r="CQ31" s="787"/>
      <c r="CR31" s="787"/>
      <c r="CS31" s="787"/>
      <c r="CT31" s="787"/>
      <c r="CU31" s="787"/>
      <c r="CV31" s="787"/>
      <c r="CW31" s="787"/>
      <c r="CX31" s="787"/>
      <c r="CY31" s="786"/>
      <c r="CZ31" s="787"/>
      <c r="DA31" s="787"/>
      <c r="DB31" s="787"/>
      <c r="DC31" s="787"/>
      <c r="DD31" s="787"/>
      <c r="DE31" s="787"/>
      <c r="DF31" s="787"/>
      <c r="DG31" s="787"/>
      <c r="DH31" s="787"/>
      <c r="DI31" s="787"/>
      <c r="DJ31" s="787"/>
      <c r="DK31" s="787"/>
      <c r="DL31" s="787"/>
      <c r="DM31" s="787"/>
      <c r="DN31" s="787"/>
      <c r="DO31" s="787"/>
      <c r="DP31" s="787"/>
      <c r="DQ31" s="787"/>
      <c r="DR31" s="787"/>
      <c r="DS31" s="787"/>
      <c r="DT31" s="787"/>
      <c r="DU31" s="787"/>
      <c r="DV31" s="787"/>
      <c r="DW31" s="787"/>
      <c r="DX31" s="787"/>
      <c r="DY31" s="787"/>
      <c r="DZ31" s="787"/>
      <c r="EA31" s="787"/>
      <c r="EB31" s="787"/>
      <c r="EC31" s="787"/>
      <c r="ED31" s="786"/>
      <c r="EE31" s="787"/>
      <c r="EF31" s="787"/>
      <c r="EG31" s="787"/>
      <c r="EH31" s="787"/>
      <c r="EI31" s="787"/>
      <c r="EJ31" s="787"/>
      <c r="EK31" s="787"/>
      <c r="EL31" s="787"/>
      <c r="EM31" s="787"/>
      <c r="EN31" s="787"/>
      <c r="EO31" s="787"/>
      <c r="EP31" s="787"/>
      <c r="EQ31" s="787"/>
      <c r="ER31" s="787"/>
      <c r="ES31" s="787"/>
      <c r="ET31" s="787"/>
      <c r="EU31" s="787"/>
      <c r="EV31" s="787"/>
      <c r="EW31" s="787"/>
      <c r="EX31" s="787"/>
      <c r="EY31" s="787"/>
      <c r="EZ31" s="787"/>
      <c r="FA31" s="787"/>
      <c r="FB31" s="787"/>
      <c r="FC31" s="787"/>
      <c r="FD31" s="787"/>
      <c r="FE31" s="787"/>
      <c r="FF31" s="787"/>
      <c r="FG31" s="787"/>
      <c r="FH31" s="787"/>
      <c r="FI31" s="787"/>
      <c r="FJ31" s="786"/>
      <c r="FK31" s="787"/>
      <c r="FL31" s="787"/>
      <c r="FM31" s="787"/>
      <c r="FN31" s="787"/>
      <c r="FO31" s="787"/>
      <c r="FP31" s="787"/>
      <c r="FQ31" s="787"/>
      <c r="FR31" s="787"/>
      <c r="FS31" s="787"/>
      <c r="FT31" s="787"/>
      <c r="FU31" s="787"/>
      <c r="FV31" s="787"/>
      <c r="FW31" s="787"/>
      <c r="FX31" s="787"/>
      <c r="FY31" s="787"/>
      <c r="FZ31" s="787"/>
      <c r="GA31" s="787"/>
      <c r="GB31" s="787"/>
      <c r="GC31" s="787"/>
      <c r="GD31" s="787"/>
      <c r="GE31" s="787"/>
      <c r="GF31" s="787"/>
      <c r="GG31" s="787"/>
      <c r="GH31" s="787"/>
      <c r="GI31" s="787"/>
      <c r="GJ31" s="787"/>
      <c r="GK31" s="787"/>
      <c r="GL31" s="787"/>
      <c r="GM31" s="787"/>
      <c r="GN31" s="787"/>
      <c r="GO31" s="786"/>
      <c r="GP31" s="787"/>
      <c r="GQ31" s="787"/>
      <c r="GR31" s="787"/>
      <c r="GS31" s="787"/>
      <c r="GT31" s="787"/>
      <c r="GU31" s="787"/>
      <c r="GV31" s="787"/>
      <c r="GW31" s="787"/>
      <c r="GX31" s="787"/>
      <c r="GY31" s="787"/>
      <c r="GZ31" s="787"/>
      <c r="HA31" s="787"/>
      <c r="HB31" s="787"/>
      <c r="HC31" s="787"/>
      <c r="HD31" s="787"/>
      <c r="HE31" s="787"/>
      <c r="HF31" s="787"/>
      <c r="HG31" s="787"/>
      <c r="HH31" s="787"/>
      <c r="HI31" s="787"/>
      <c r="HJ31" s="787"/>
      <c r="HK31" s="787"/>
      <c r="HL31" s="787"/>
      <c r="HM31" s="787"/>
      <c r="HN31" s="787"/>
      <c r="HO31" s="787"/>
      <c r="HP31" s="787"/>
      <c r="HQ31" s="787"/>
      <c r="HR31" s="787"/>
      <c r="HS31" s="787"/>
      <c r="HT31" s="787"/>
      <c r="HU31" s="786"/>
      <c r="HV31" s="792" t="e">
        <f>'vacaciones 2021'!#REF!</f>
        <v>#REF!</v>
      </c>
    </row>
    <row r="32" spans="1:230" s="254" customFormat="1" ht="31.5" customHeight="1" x14ac:dyDescent="0.3">
      <c r="A32" s="297"/>
      <c r="B32" s="881" t="s">
        <v>445</v>
      </c>
      <c r="C32" s="882"/>
      <c r="D32" s="888"/>
      <c r="E32" s="889"/>
      <c r="F32" s="889"/>
      <c r="G32" s="889"/>
      <c r="H32" s="889"/>
      <c r="I32" s="889"/>
      <c r="J32" s="889"/>
      <c r="K32" s="889"/>
      <c r="L32" s="889"/>
      <c r="M32" s="889"/>
      <c r="N32" s="889"/>
      <c r="O32" s="889"/>
      <c r="P32" s="889"/>
      <c r="Q32" s="889"/>
      <c r="R32" s="889"/>
      <c r="S32" s="889"/>
      <c r="T32" s="889"/>
      <c r="U32" s="889"/>
      <c r="V32" s="889"/>
      <c r="W32" s="889"/>
      <c r="X32" s="889"/>
      <c r="Y32" s="889"/>
      <c r="Z32" s="889"/>
      <c r="AA32" s="889"/>
      <c r="AB32" s="889"/>
      <c r="AC32" s="889"/>
      <c r="AD32" s="889"/>
      <c r="AE32" s="889"/>
      <c r="AF32" s="889"/>
      <c r="AG32" s="889"/>
      <c r="AH32" s="889"/>
      <c r="AI32" s="889"/>
      <c r="AJ32" s="889"/>
      <c r="AK32" s="889"/>
      <c r="AL32" s="889"/>
      <c r="AM32" s="895"/>
      <c r="AN32" s="895"/>
      <c r="AO32" s="895"/>
      <c r="AP32" s="895"/>
      <c r="AQ32" s="895"/>
      <c r="AR32" s="895"/>
      <c r="AS32" s="895"/>
      <c r="AT32" s="895"/>
      <c r="AU32" s="895"/>
      <c r="AV32" s="895"/>
      <c r="AW32" s="895"/>
      <c r="AX32" s="895"/>
      <c r="AY32" s="895"/>
      <c r="AZ32" s="895"/>
      <c r="BA32" s="895"/>
      <c r="BB32" s="895"/>
      <c r="BC32" s="895"/>
      <c r="BD32" s="895"/>
      <c r="BE32" s="895"/>
      <c r="BF32" s="895"/>
      <c r="BG32" s="895"/>
      <c r="BH32" s="895"/>
      <c r="BI32" s="895"/>
      <c r="BJ32" s="895"/>
      <c r="BK32" s="895"/>
      <c r="BL32" s="895"/>
      <c r="BM32" s="895"/>
      <c r="BN32" s="895"/>
      <c r="BO32" s="895"/>
      <c r="BP32" s="895"/>
      <c r="BQ32" s="895"/>
      <c r="BR32" s="895"/>
      <c r="BS32" s="889"/>
      <c r="BT32" s="895"/>
      <c r="BU32" s="895"/>
      <c r="BV32" s="895"/>
      <c r="BW32" s="895"/>
      <c r="BX32" s="895"/>
      <c r="BY32" s="895"/>
      <c r="BZ32" s="895"/>
      <c r="CA32" s="895"/>
      <c r="CB32" s="895"/>
      <c r="CC32" s="895"/>
      <c r="CD32" s="895"/>
      <c r="CE32" s="895"/>
      <c r="CF32" s="895"/>
      <c r="CG32" s="895"/>
      <c r="CH32" s="895"/>
      <c r="CI32" s="895"/>
      <c r="CJ32" s="895"/>
      <c r="CK32" s="895"/>
      <c r="CL32" s="895"/>
      <c r="CM32" s="895"/>
      <c r="CN32" s="895"/>
      <c r="CO32" s="895"/>
      <c r="CP32" s="895"/>
      <c r="CQ32" s="895"/>
      <c r="CR32" s="895"/>
      <c r="CS32" s="895"/>
      <c r="CT32" s="895"/>
      <c r="CU32" s="895"/>
      <c r="CV32" s="895"/>
      <c r="CW32" s="895"/>
      <c r="CX32" s="895"/>
      <c r="CY32" s="889"/>
      <c r="CZ32" s="895"/>
      <c r="DA32" s="895"/>
      <c r="DB32" s="895"/>
      <c r="DC32" s="895"/>
      <c r="DD32" s="895"/>
      <c r="DE32" s="895"/>
      <c r="DF32" s="895"/>
      <c r="DG32" s="895"/>
      <c r="DH32" s="895"/>
      <c r="DI32" s="895"/>
      <c r="DJ32" s="895"/>
      <c r="DK32" s="895"/>
      <c r="DL32" s="895"/>
      <c r="DM32" s="895"/>
      <c r="DN32" s="895"/>
      <c r="DO32" s="895"/>
      <c r="DP32" s="895"/>
      <c r="DQ32" s="895"/>
      <c r="DR32" s="895"/>
      <c r="DS32" s="895"/>
      <c r="DT32" s="895"/>
      <c r="DU32" s="895"/>
      <c r="DV32" s="895"/>
      <c r="DW32" s="895"/>
      <c r="DX32" s="895"/>
      <c r="DY32" s="895"/>
      <c r="DZ32" s="895"/>
      <c r="EA32" s="895"/>
      <c r="EB32" s="895"/>
      <c r="EC32" s="895"/>
      <c r="ED32" s="889"/>
      <c r="EE32" s="895"/>
      <c r="EF32" s="895"/>
      <c r="EG32" s="895"/>
      <c r="EH32" s="895"/>
      <c r="EI32" s="895"/>
      <c r="EJ32" s="895"/>
      <c r="EK32" s="895"/>
      <c r="EL32" s="895"/>
      <c r="EM32" s="895"/>
      <c r="EN32" s="895"/>
      <c r="EO32" s="895"/>
      <c r="EP32" s="895"/>
      <c r="EQ32" s="895"/>
      <c r="ER32" s="895"/>
      <c r="ES32" s="895"/>
      <c r="ET32" s="895"/>
      <c r="EU32" s="895"/>
      <c r="EV32" s="895"/>
      <c r="EW32" s="895"/>
      <c r="EX32" s="895"/>
      <c r="EY32" s="895"/>
      <c r="EZ32" s="895"/>
      <c r="FA32" s="895"/>
      <c r="FB32" s="895"/>
      <c r="FC32" s="895"/>
      <c r="FD32" s="895"/>
      <c r="FE32" s="895"/>
      <c r="FF32" s="895"/>
      <c r="FG32" s="895"/>
      <c r="FH32" s="895"/>
      <c r="FI32" s="895"/>
      <c r="FJ32" s="889"/>
      <c r="FK32" s="895"/>
      <c r="FL32" s="895"/>
      <c r="FM32" s="895"/>
      <c r="FN32" s="895"/>
      <c r="FO32" s="895"/>
      <c r="FP32" s="895"/>
      <c r="FQ32" s="895"/>
      <c r="FR32" s="895"/>
      <c r="FS32" s="895"/>
      <c r="FT32" s="895"/>
      <c r="FU32" s="895"/>
      <c r="FV32" s="895"/>
      <c r="FW32" s="895"/>
      <c r="FX32" s="895"/>
      <c r="FY32" s="895"/>
      <c r="FZ32" s="895"/>
      <c r="GA32" s="895"/>
      <c r="GB32" s="895"/>
      <c r="GC32" s="895"/>
      <c r="GD32" s="895"/>
      <c r="GE32" s="895"/>
      <c r="GF32" s="895"/>
      <c r="GG32" s="895"/>
      <c r="GH32" s="895"/>
      <c r="GI32" s="895"/>
      <c r="GJ32" s="895"/>
      <c r="GK32" s="895"/>
      <c r="GL32" s="895"/>
      <c r="GM32" s="895"/>
      <c r="GN32" s="895"/>
      <c r="GO32" s="889"/>
      <c r="GP32" s="895"/>
      <c r="GQ32" s="895"/>
      <c r="GR32" s="895"/>
      <c r="GS32" s="895"/>
      <c r="GT32" s="895"/>
      <c r="GU32" s="895"/>
      <c r="GV32" s="895"/>
      <c r="GW32" s="895"/>
      <c r="GX32" s="895"/>
      <c r="GY32" s="895"/>
      <c r="GZ32" s="895"/>
      <c r="HA32" s="895"/>
      <c r="HB32" s="895"/>
      <c r="HC32" s="895"/>
      <c r="HD32" s="895"/>
      <c r="HE32" s="895"/>
      <c r="HF32" s="895"/>
      <c r="HG32" s="895"/>
      <c r="HH32" s="895"/>
      <c r="HI32" s="895"/>
      <c r="HJ32" s="895"/>
      <c r="HK32" s="895"/>
      <c r="HL32" s="895"/>
      <c r="HM32" s="895"/>
      <c r="HN32" s="895"/>
      <c r="HO32" s="895"/>
      <c r="HP32" s="895"/>
      <c r="HQ32" s="895"/>
      <c r="HR32" s="895"/>
      <c r="HS32" s="895"/>
      <c r="HT32" s="895"/>
      <c r="HU32" s="889"/>
      <c r="HV32" s="883"/>
    </row>
    <row r="33" spans="1:230" s="254" customFormat="1" ht="31.5" customHeight="1" x14ac:dyDescent="0.3">
      <c r="A33" s="297">
        <v>27</v>
      </c>
      <c r="B33" s="886" t="s">
        <v>18</v>
      </c>
      <c r="C33" s="850" t="s">
        <v>433</v>
      </c>
      <c r="D33" s="786"/>
      <c r="E33" s="786"/>
      <c r="F33" s="786"/>
      <c r="G33" s="786"/>
      <c r="H33" s="786">
        <v>1</v>
      </c>
      <c r="I33" s="891">
        <v>1</v>
      </c>
      <c r="J33" s="891">
        <v>1</v>
      </c>
      <c r="K33" s="891">
        <v>1</v>
      </c>
      <c r="L33" s="891">
        <v>1</v>
      </c>
      <c r="M33" s="891">
        <v>1</v>
      </c>
      <c r="N33" s="891">
        <v>1</v>
      </c>
      <c r="O33" s="786"/>
      <c r="P33" s="786"/>
      <c r="Q33" s="786"/>
      <c r="R33" s="786"/>
      <c r="S33" s="786"/>
      <c r="T33" s="786"/>
      <c r="U33" s="786"/>
      <c r="V33" s="786"/>
      <c r="W33" s="786"/>
      <c r="X33" s="786"/>
      <c r="Y33" s="786"/>
      <c r="Z33" s="786"/>
      <c r="AA33" s="786"/>
      <c r="AB33" s="786"/>
      <c r="AC33" s="786"/>
      <c r="AD33" s="786"/>
      <c r="AE33" s="786"/>
      <c r="AF33" s="786"/>
      <c r="AG33" s="786"/>
      <c r="AH33" s="786"/>
      <c r="AI33" s="786"/>
      <c r="AJ33" s="786"/>
      <c r="AK33" s="786"/>
      <c r="AL33" s="786"/>
      <c r="AM33" s="787">
        <f t="shared" si="0"/>
        <v>6</v>
      </c>
      <c r="AN33" s="787"/>
      <c r="AO33" s="787"/>
      <c r="AP33" s="787"/>
      <c r="AQ33" s="787"/>
      <c r="AR33" s="787"/>
      <c r="AS33" s="787"/>
      <c r="AT33" s="787"/>
      <c r="AU33" s="787"/>
      <c r="AV33" s="787"/>
      <c r="AW33" s="787"/>
      <c r="AX33" s="787"/>
      <c r="AY33" s="787"/>
      <c r="AZ33" s="787"/>
      <c r="BA33" s="787"/>
      <c r="BB33" s="787"/>
      <c r="BC33" s="787"/>
      <c r="BD33" s="787"/>
      <c r="BE33" s="787"/>
      <c r="BF33" s="787"/>
      <c r="BG33" s="787"/>
      <c r="BH33" s="787"/>
      <c r="BI33" s="787"/>
      <c r="BJ33" s="787"/>
      <c r="BK33" s="787"/>
      <c r="BL33" s="787"/>
      <c r="BM33" s="787"/>
      <c r="BN33" s="787"/>
      <c r="BO33" s="787"/>
      <c r="BP33" s="787"/>
      <c r="BQ33" s="787"/>
      <c r="BR33" s="787"/>
      <c r="BS33" s="786"/>
      <c r="BT33" s="787"/>
      <c r="BU33" s="787"/>
      <c r="BV33" s="787"/>
      <c r="BW33" s="787"/>
      <c r="BX33" s="787"/>
      <c r="BY33" s="787"/>
      <c r="BZ33" s="787"/>
      <c r="CA33" s="787"/>
      <c r="CB33" s="787"/>
      <c r="CC33" s="787"/>
      <c r="CD33" s="787"/>
      <c r="CE33" s="787"/>
      <c r="CF33" s="787"/>
      <c r="CG33" s="787"/>
      <c r="CH33" s="787"/>
      <c r="CI33" s="787"/>
      <c r="CJ33" s="787"/>
      <c r="CK33" s="787"/>
      <c r="CL33" s="787"/>
      <c r="CM33" s="787"/>
      <c r="CN33" s="787"/>
      <c r="CO33" s="787"/>
      <c r="CP33" s="787"/>
      <c r="CQ33" s="787"/>
      <c r="CR33" s="787"/>
      <c r="CS33" s="787"/>
      <c r="CT33" s="787"/>
      <c r="CU33" s="787"/>
      <c r="CV33" s="787"/>
      <c r="CW33" s="787"/>
      <c r="CX33" s="787"/>
      <c r="CY33" s="786"/>
      <c r="CZ33" s="787"/>
      <c r="DA33" s="787"/>
      <c r="DB33" s="787"/>
      <c r="DC33" s="787"/>
      <c r="DD33" s="787"/>
      <c r="DE33" s="787"/>
      <c r="DF33" s="787"/>
      <c r="DG33" s="787"/>
      <c r="DH33" s="787"/>
      <c r="DI33" s="787"/>
      <c r="DJ33" s="787"/>
      <c r="DK33" s="787"/>
      <c r="DL33" s="787"/>
      <c r="DM33" s="787"/>
      <c r="DN33" s="787"/>
      <c r="DO33" s="787"/>
      <c r="DP33" s="787"/>
      <c r="DQ33" s="787"/>
      <c r="DR33" s="787"/>
      <c r="DS33" s="787"/>
      <c r="DT33" s="787"/>
      <c r="DU33" s="787"/>
      <c r="DV33" s="787"/>
      <c r="DW33" s="787"/>
      <c r="DX33" s="787"/>
      <c r="DY33" s="787"/>
      <c r="DZ33" s="787"/>
      <c r="EA33" s="787"/>
      <c r="EB33" s="787"/>
      <c r="EC33" s="787"/>
      <c r="ED33" s="786"/>
      <c r="EE33" s="787"/>
      <c r="EF33" s="787"/>
      <c r="EG33" s="787"/>
      <c r="EH33" s="787"/>
      <c r="EI33" s="787"/>
      <c r="EJ33" s="787"/>
      <c r="EK33" s="787"/>
      <c r="EL33" s="787"/>
      <c r="EM33" s="787"/>
      <c r="EN33" s="787"/>
      <c r="EO33" s="787"/>
      <c r="EP33" s="787"/>
      <c r="EQ33" s="787"/>
      <c r="ER33" s="787"/>
      <c r="ES33" s="787"/>
      <c r="ET33" s="787"/>
      <c r="EU33" s="787"/>
      <c r="EV33" s="787"/>
      <c r="EW33" s="787"/>
      <c r="EX33" s="787"/>
      <c r="EY33" s="787"/>
      <c r="EZ33" s="787"/>
      <c r="FA33" s="787"/>
      <c r="FB33" s="787"/>
      <c r="FC33" s="787"/>
      <c r="FD33" s="787"/>
      <c r="FE33" s="787"/>
      <c r="FF33" s="787"/>
      <c r="FG33" s="787"/>
      <c r="FH33" s="787"/>
      <c r="FI33" s="787"/>
      <c r="FJ33" s="786"/>
      <c r="FK33" s="787"/>
      <c r="FL33" s="787"/>
      <c r="FM33" s="787"/>
      <c r="FN33" s="787"/>
      <c r="FO33" s="787"/>
      <c r="FP33" s="787"/>
      <c r="FQ33" s="787"/>
      <c r="FR33" s="787"/>
      <c r="FS33" s="787"/>
      <c r="FT33" s="787"/>
      <c r="FU33" s="787"/>
      <c r="FV33" s="787"/>
      <c r="FW33" s="787"/>
      <c r="FX33" s="787"/>
      <c r="FY33" s="787"/>
      <c r="FZ33" s="787"/>
      <c r="GA33" s="787"/>
      <c r="GB33" s="787"/>
      <c r="GC33" s="787"/>
      <c r="GD33" s="787"/>
      <c r="GE33" s="787"/>
      <c r="GF33" s="787"/>
      <c r="GG33" s="787"/>
      <c r="GH33" s="787"/>
      <c r="GI33" s="787"/>
      <c r="GJ33" s="787"/>
      <c r="GK33" s="787"/>
      <c r="GL33" s="787"/>
      <c r="GM33" s="787"/>
      <c r="GN33" s="787"/>
      <c r="GO33" s="786"/>
      <c r="GP33" s="787"/>
      <c r="GQ33" s="787"/>
      <c r="GR33" s="787"/>
      <c r="GS33" s="787"/>
      <c r="GT33" s="787"/>
      <c r="GU33" s="787"/>
      <c r="GV33" s="787"/>
      <c r="GW33" s="787"/>
      <c r="GX33" s="787"/>
      <c r="GY33" s="787"/>
      <c r="GZ33" s="787"/>
      <c r="HA33" s="787"/>
      <c r="HB33" s="787"/>
      <c r="HC33" s="787"/>
      <c r="HD33" s="787"/>
      <c r="HE33" s="787"/>
      <c r="HF33" s="787"/>
      <c r="HG33" s="787"/>
      <c r="HH33" s="787"/>
      <c r="HI33" s="787"/>
      <c r="HJ33" s="787"/>
      <c r="HK33" s="787"/>
      <c r="HL33" s="787"/>
      <c r="HM33" s="787"/>
      <c r="HN33" s="787"/>
      <c r="HO33" s="787"/>
      <c r="HP33" s="787"/>
      <c r="HQ33" s="787"/>
      <c r="HR33" s="787"/>
      <c r="HS33" s="787"/>
      <c r="HT33" s="787"/>
      <c r="HU33" s="786"/>
      <c r="HV33" s="792">
        <f>'vacaciones 2021'!U39</f>
        <v>42</v>
      </c>
    </row>
    <row r="34" spans="1:230" s="254" customFormat="1" ht="31.5" customHeight="1" x14ac:dyDescent="0.3">
      <c r="A34" s="297">
        <v>28</v>
      </c>
      <c r="B34" s="885" t="s">
        <v>85</v>
      </c>
      <c r="C34" s="843" t="s">
        <v>428</v>
      </c>
      <c r="D34" s="786"/>
      <c r="E34" s="786"/>
      <c r="F34" s="786"/>
      <c r="G34" s="786"/>
      <c r="H34" s="786"/>
      <c r="I34" s="786"/>
      <c r="J34" s="786"/>
      <c r="K34" s="786"/>
      <c r="L34" s="786"/>
      <c r="M34" s="786"/>
      <c r="N34" s="786"/>
      <c r="O34" s="786"/>
      <c r="P34" s="786"/>
      <c r="Q34" s="786"/>
      <c r="R34" s="786"/>
      <c r="S34" s="786"/>
      <c r="T34" s="786"/>
      <c r="U34" s="786"/>
      <c r="V34" s="786"/>
      <c r="W34" s="786"/>
      <c r="X34" s="786"/>
      <c r="Y34" s="786"/>
      <c r="Z34" s="786"/>
      <c r="AA34" s="786"/>
      <c r="AB34" s="786"/>
      <c r="AC34" s="891">
        <v>1</v>
      </c>
      <c r="AD34" s="891">
        <v>1</v>
      </c>
      <c r="AE34" s="891">
        <v>1</v>
      </c>
      <c r="AF34" s="891">
        <v>1</v>
      </c>
      <c r="AG34" s="891">
        <v>1</v>
      </c>
      <c r="AH34" s="891">
        <v>1</v>
      </c>
      <c r="AI34" s="891">
        <v>1</v>
      </c>
      <c r="AJ34" s="891">
        <v>1</v>
      </c>
      <c r="AK34" s="891">
        <v>1</v>
      </c>
      <c r="AL34" s="891">
        <v>1</v>
      </c>
      <c r="AM34" s="787">
        <f t="shared" si="0"/>
        <v>10</v>
      </c>
      <c r="AN34" s="898">
        <v>1</v>
      </c>
      <c r="AO34" s="898">
        <v>1</v>
      </c>
      <c r="AP34" s="898">
        <v>1</v>
      </c>
      <c r="AQ34" s="898">
        <v>1</v>
      </c>
      <c r="AR34" s="787"/>
      <c r="AS34" s="787"/>
      <c r="AT34" s="787"/>
      <c r="AU34" s="787"/>
      <c r="AV34" s="787"/>
      <c r="AW34" s="787"/>
      <c r="AX34" s="787"/>
      <c r="AY34" s="787"/>
      <c r="AZ34" s="787"/>
      <c r="BA34" s="787"/>
      <c r="BB34" s="787"/>
      <c r="BC34" s="787"/>
      <c r="BD34" s="787"/>
      <c r="BE34" s="787"/>
      <c r="BF34" s="787"/>
      <c r="BG34" s="787"/>
      <c r="BH34" s="787"/>
      <c r="BI34" s="787"/>
      <c r="BJ34" s="787"/>
      <c r="BK34" s="787"/>
      <c r="BL34" s="787"/>
      <c r="BM34" s="787"/>
      <c r="BN34" s="787"/>
      <c r="BO34" s="787"/>
      <c r="BP34" s="787"/>
      <c r="BQ34" s="787"/>
      <c r="BR34" s="787"/>
      <c r="BS34" s="786"/>
      <c r="BT34" s="787"/>
      <c r="BU34" s="787"/>
      <c r="BV34" s="787"/>
      <c r="BW34" s="787"/>
      <c r="BX34" s="787"/>
      <c r="BY34" s="787"/>
      <c r="BZ34" s="787"/>
      <c r="CA34" s="787"/>
      <c r="CB34" s="787"/>
      <c r="CC34" s="787"/>
      <c r="CD34" s="787"/>
      <c r="CE34" s="787"/>
      <c r="CF34" s="787"/>
      <c r="CG34" s="787"/>
      <c r="CH34" s="787"/>
      <c r="CI34" s="787"/>
      <c r="CJ34" s="787">
        <v>1</v>
      </c>
      <c r="CK34" s="787"/>
      <c r="CL34" s="787">
        <v>1</v>
      </c>
      <c r="CM34" s="787"/>
      <c r="CN34" s="787"/>
      <c r="CO34" s="787"/>
      <c r="CP34" s="787"/>
      <c r="CQ34" s="787"/>
      <c r="CR34" s="787"/>
      <c r="CS34" s="787"/>
      <c r="CT34" s="787"/>
      <c r="CU34" s="787"/>
      <c r="CV34" s="787"/>
      <c r="CW34" s="787"/>
      <c r="CX34" s="787"/>
      <c r="CY34" s="786"/>
      <c r="CZ34" s="787"/>
      <c r="DA34" s="787"/>
      <c r="DB34" s="787"/>
      <c r="DC34" s="787"/>
      <c r="DD34" s="787"/>
      <c r="DE34" s="787"/>
      <c r="DF34" s="787"/>
      <c r="DG34" s="787"/>
      <c r="DH34" s="787"/>
      <c r="DI34" s="787"/>
      <c r="DJ34" s="787"/>
      <c r="DK34" s="787"/>
      <c r="DL34" s="787"/>
      <c r="DM34" s="787"/>
      <c r="DN34" s="787"/>
      <c r="DO34" s="787"/>
      <c r="DP34" s="787"/>
      <c r="DQ34" s="787"/>
      <c r="DR34" s="787"/>
      <c r="DS34" s="787"/>
      <c r="DT34" s="787"/>
      <c r="DU34" s="787"/>
      <c r="DV34" s="787"/>
      <c r="DW34" s="787"/>
      <c r="DX34" s="787"/>
      <c r="DY34" s="787"/>
      <c r="DZ34" s="787"/>
      <c r="EA34" s="787"/>
      <c r="EB34" s="787"/>
      <c r="EC34" s="787"/>
      <c r="ED34" s="786"/>
      <c r="EE34" s="787"/>
      <c r="EF34" s="787"/>
      <c r="EG34" s="787"/>
      <c r="EH34" s="787"/>
      <c r="EI34" s="787"/>
      <c r="EJ34" s="787"/>
      <c r="EK34" s="787"/>
      <c r="EL34" s="787"/>
      <c r="EM34" s="787"/>
      <c r="EN34" s="787"/>
      <c r="EO34" s="787"/>
      <c r="EP34" s="787"/>
      <c r="EQ34" s="787"/>
      <c r="ER34" s="787"/>
      <c r="ES34" s="787"/>
      <c r="ET34" s="787"/>
      <c r="EU34" s="787"/>
      <c r="EV34" s="787"/>
      <c r="EW34" s="787"/>
      <c r="EX34" s="787"/>
      <c r="EY34" s="787"/>
      <c r="EZ34" s="787"/>
      <c r="FA34" s="787"/>
      <c r="FB34" s="787"/>
      <c r="FC34" s="787"/>
      <c r="FD34" s="787"/>
      <c r="FE34" s="787"/>
      <c r="FF34" s="787"/>
      <c r="FG34" s="787"/>
      <c r="FH34" s="787"/>
      <c r="FI34" s="787"/>
      <c r="FJ34" s="786"/>
      <c r="FK34" s="787"/>
      <c r="FL34" s="787"/>
      <c r="FM34" s="787"/>
      <c r="FN34" s="787"/>
      <c r="FO34" s="787"/>
      <c r="FP34" s="787"/>
      <c r="FQ34" s="787"/>
      <c r="FR34" s="787"/>
      <c r="FS34" s="787"/>
      <c r="FT34" s="787"/>
      <c r="FU34" s="787"/>
      <c r="FV34" s="787"/>
      <c r="FW34" s="787"/>
      <c r="FX34" s="787"/>
      <c r="FY34" s="787"/>
      <c r="FZ34" s="787"/>
      <c r="GA34" s="787"/>
      <c r="GB34" s="787"/>
      <c r="GC34" s="787"/>
      <c r="GD34" s="787"/>
      <c r="GE34" s="787"/>
      <c r="GF34" s="787"/>
      <c r="GG34" s="787"/>
      <c r="GH34" s="787"/>
      <c r="GI34" s="787"/>
      <c r="GJ34" s="787"/>
      <c r="GK34" s="787"/>
      <c r="GL34" s="787"/>
      <c r="GM34" s="787"/>
      <c r="GN34" s="787"/>
      <c r="GO34" s="786"/>
      <c r="GP34" s="787"/>
      <c r="GQ34" s="787"/>
      <c r="GR34" s="787"/>
      <c r="GS34" s="787"/>
      <c r="GT34" s="787"/>
      <c r="GU34" s="787"/>
      <c r="GV34" s="787"/>
      <c r="GW34" s="787"/>
      <c r="GX34" s="787"/>
      <c r="GY34" s="787"/>
      <c r="GZ34" s="787"/>
      <c r="HA34" s="787"/>
      <c r="HB34" s="787"/>
      <c r="HC34" s="787"/>
      <c r="HD34" s="787"/>
      <c r="HE34" s="787"/>
      <c r="HF34" s="787"/>
      <c r="HG34" s="787"/>
      <c r="HH34" s="787"/>
      <c r="HI34" s="787"/>
      <c r="HJ34" s="787"/>
      <c r="HK34" s="787"/>
      <c r="HL34" s="787"/>
      <c r="HM34" s="787"/>
      <c r="HN34" s="787"/>
      <c r="HO34" s="787"/>
      <c r="HP34" s="787"/>
      <c r="HQ34" s="787"/>
      <c r="HR34" s="787"/>
      <c r="HS34" s="787"/>
      <c r="HT34" s="787"/>
      <c r="HU34" s="786"/>
      <c r="HV34" s="792">
        <f>'vacaciones 2021'!U40</f>
        <v>44</v>
      </c>
    </row>
    <row r="35" spans="1:230" ht="31.5" customHeight="1" x14ac:dyDescent="0.3">
      <c r="A35" s="297">
        <v>29</v>
      </c>
      <c r="B35" s="843" t="s">
        <v>402</v>
      </c>
      <c r="C35" s="852" t="s">
        <v>428</v>
      </c>
      <c r="D35" s="786"/>
      <c r="E35" s="786"/>
      <c r="F35" s="786"/>
      <c r="G35" s="786"/>
      <c r="H35" s="786"/>
      <c r="I35" s="786"/>
      <c r="J35" s="786"/>
      <c r="K35" s="786"/>
      <c r="L35" s="786"/>
      <c r="M35" s="786"/>
      <c r="N35" s="786"/>
      <c r="O35" s="786"/>
      <c r="P35" s="786"/>
      <c r="Q35" s="786"/>
      <c r="R35" s="786"/>
      <c r="S35" s="786"/>
      <c r="T35" s="786"/>
      <c r="U35" s="786"/>
      <c r="V35" s="786"/>
      <c r="W35" s="786"/>
      <c r="X35" s="786"/>
      <c r="Y35" s="786"/>
      <c r="Z35" s="786"/>
      <c r="AA35" s="786"/>
      <c r="AB35" s="786"/>
      <c r="AC35" s="786"/>
      <c r="AD35" s="786"/>
      <c r="AE35" s="786"/>
      <c r="AF35" s="786"/>
      <c r="AG35" s="786"/>
      <c r="AH35" s="786"/>
      <c r="AI35" s="786"/>
      <c r="AJ35" s="786"/>
      <c r="AK35" s="786"/>
      <c r="AL35" s="786"/>
      <c r="AM35" s="787">
        <f t="shared" si="0"/>
        <v>0</v>
      </c>
      <c r="AN35" s="787"/>
      <c r="AO35" s="787"/>
      <c r="AP35" s="787"/>
      <c r="AQ35" s="787"/>
      <c r="AR35" s="787"/>
      <c r="AS35" s="787"/>
      <c r="AT35" s="787"/>
      <c r="AU35" s="787"/>
      <c r="AV35" s="787"/>
      <c r="AW35" s="787"/>
      <c r="AX35" s="787"/>
      <c r="AY35" s="787"/>
      <c r="AZ35" s="787"/>
      <c r="BA35" s="787"/>
      <c r="BB35" s="787"/>
      <c r="BC35" s="787"/>
      <c r="BD35" s="787"/>
      <c r="BE35" s="787"/>
      <c r="BF35" s="787"/>
      <c r="BG35" s="787"/>
      <c r="BH35" s="787"/>
      <c r="BI35" s="787"/>
      <c r="BJ35" s="787"/>
      <c r="BK35" s="787"/>
      <c r="BL35" s="787"/>
      <c r="BM35" s="787"/>
      <c r="BN35" s="787"/>
      <c r="BO35" s="787"/>
      <c r="BP35" s="787"/>
      <c r="BQ35" s="787"/>
      <c r="BR35" s="787"/>
      <c r="BS35" s="786"/>
      <c r="BT35" s="787"/>
      <c r="BU35" s="787"/>
      <c r="BV35" s="787"/>
      <c r="BW35" s="787"/>
      <c r="BX35" s="787"/>
      <c r="BY35" s="787"/>
      <c r="BZ35" s="787"/>
      <c r="CA35" s="787"/>
      <c r="CB35" s="787"/>
      <c r="CC35" s="787"/>
      <c r="CD35" s="787"/>
      <c r="CE35" s="787"/>
      <c r="CF35" s="787"/>
      <c r="CG35" s="787"/>
      <c r="CH35" s="787"/>
      <c r="CI35" s="787"/>
      <c r="CJ35" s="787"/>
      <c r="CK35" s="787"/>
      <c r="CL35" s="787"/>
      <c r="CM35" s="787"/>
      <c r="CN35" s="787"/>
      <c r="CO35" s="787"/>
      <c r="CP35" s="787"/>
      <c r="CQ35" s="787">
        <v>1</v>
      </c>
      <c r="CR35" s="787"/>
      <c r="CS35" s="787"/>
      <c r="CT35" s="787"/>
      <c r="CU35" s="787"/>
      <c r="CV35" s="787"/>
      <c r="CW35" s="787"/>
      <c r="CX35" s="787"/>
      <c r="CY35" s="786"/>
      <c r="CZ35" s="787"/>
      <c r="DA35" s="787"/>
      <c r="DB35" s="787"/>
      <c r="DC35" s="787"/>
      <c r="DD35" s="787"/>
      <c r="DE35" s="787"/>
      <c r="DF35" s="787"/>
      <c r="DG35" s="787"/>
      <c r="DH35" s="787"/>
      <c r="DI35" s="787"/>
      <c r="DJ35" s="787"/>
      <c r="DK35" s="787"/>
      <c r="DL35" s="787"/>
      <c r="DM35" s="787"/>
      <c r="DN35" s="787"/>
      <c r="DO35" s="787"/>
      <c r="DP35" s="787"/>
      <c r="DQ35" s="787"/>
      <c r="DR35" s="787"/>
      <c r="DS35" s="787"/>
      <c r="DT35" s="787"/>
      <c r="DU35" s="787"/>
      <c r="DV35" s="787"/>
      <c r="DW35" s="787"/>
      <c r="DX35" s="787"/>
      <c r="DY35" s="787"/>
      <c r="DZ35" s="787"/>
      <c r="EA35" s="787"/>
      <c r="EB35" s="787"/>
      <c r="EC35" s="787"/>
      <c r="ED35" s="786"/>
      <c r="EE35" s="787"/>
      <c r="EF35" s="787"/>
      <c r="EG35" s="787"/>
      <c r="EH35" s="787"/>
      <c r="EI35" s="787"/>
      <c r="EJ35" s="787"/>
      <c r="EK35" s="787"/>
      <c r="EL35" s="787"/>
      <c r="EM35" s="787"/>
      <c r="EN35" s="787"/>
      <c r="EO35" s="787"/>
      <c r="EP35" s="787"/>
      <c r="EQ35" s="787"/>
      <c r="ER35" s="787"/>
      <c r="ES35" s="787"/>
      <c r="ET35" s="787"/>
      <c r="EU35" s="787"/>
      <c r="EV35" s="787"/>
      <c r="EW35" s="787"/>
      <c r="EX35" s="787"/>
      <c r="EY35" s="787"/>
      <c r="EZ35" s="787"/>
      <c r="FA35" s="787"/>
      <c r="FB35" s="787"/>
      <c r="FC35" s="787"/>
      <c r="FD35" s="787"/>
      <c r="FE35" s="787"/>
      <c r="FF35" s="787"/>
      <c r="FG35" s="787"/>
      <c r="FH35" s="787"/>
      <c r="FI35" s="787"/>
      <c r="FJ35" s="786"/>
      <c r="FK35" s="787"/>
      <c r="FL35" s="787"/>
      <c r="FM35" s="787"/>
      <c r="FN35" s="787"/>
      <c r="FO35" s="787"/>
      <c r="FP35" s="787"/>
      <c r="FQ35" s="787"/>
      <c r="FR35" s="787"/>
      <c r="FS35" s="787"/>
      <c r="FT35" s="787"/>
      <c r="FU35" s="787"/>
      <c r="FV35" s="787"/>
      <c r="FW35" s="787"/>
      <c r="FX35" s="787"/>
      <c r="FY35" s="787"/>
      <c r="FZ35" s="787"/>
      <c r="GA35" s="787"/>
      <c r="GB35" s="787"/>
      <c r="GC35" s="787"/>
      <c r="GD35" s="787"/>
      <c r="GE35" s="787"/>
      <c r="GF35" s="787"/>
      <c r="GG35" s="787"/>
      <c r="GH35" s="787"/>
      <c r="GI35" s="787"/>
      <c r="GJ35" s="787"/>
      <c r="GK35" s="787"/>
      <c r="GL35" s="787"/>
      <c r="GM35" s="787"/>
      <c r="GN35" s="787"/>
      <c r="GO35" s="786"/>
      <c r="GP35" s="787"/>
      <c r="GQ35" s="787"/>
      <c r="GR35" s="787"/>
      <c r="GS35" s="787"/>
      <c r="GT35" s="787"/>
      <c r="GU35" s="787"/>
      <c r="GV35" s="787"/>
      <c r="GW35" s="787"/>
      <c r="GX35" s="787"/>
      <c r="GY35" s="787"/>
      <c r="GZ35" s="787"/>
      <c r="HA35" s="787"/>
      <c r="HB35" s="787"/>
      <c r="HC35" s="787"/>
      <c r="HD35" s="787"/>
      <c r="HE35" s="787"/>
      <c r="HF35" s="787"/>
      <c r="HG35" s="787"/>
      <c r="HH35" s="787"/>
      <c r="HI35" s="787"/>
      <c r="HJ35" s="787"/>
      <c r="HK35" s="787"/>
      <c r="HL35" s="787"/>
      <c r="HM35" s="787"/>
      <c r="HN35" s="787"/>
      <c r="HO35" s="787"/>
      <c r="HP35" s="787"/>
      <c r="HQ35" s="787"/>
      <c r="HR35" s="787"/>
      <c r="HS35" s="787"/>
      <c r="HT35" s="787"/>
      <c r="HU35" s="786"/>
      <c r="HV35" s="792">
        <f>'vacaciones 2021'!U41</f>
        <v>34</v>
      </c>
    </row>
    <row r="36" spans="1:230" ht="31.5" customHeight="1" x14ac:dyDescent="0.3">
      <c r="A36" s="297">
        <v>32</v>
      </c>
      <c r="B36" s="885" t="s">
        <v>86</v>
      </c>
      <c r="C36" s="859" t="s">
        <v>455</v>
      </c>
      <c r="D36" s="786"/>
      <c r="E36" s="786"/>
      <c r="F36" s="786"/>
      <c r="G36" s="786"/>
      <c r="H36" s="786"/>
      <c r="I36" s="786"/>
      <c r="J36" s="786"/>
      <c r="K36" s="786"/>
      <c r="L36" s="786"/>
      <c r="M36" s="786"/>
      <c r="N36" s="786"/>
      <c r="O36" s="786"/>
      <c r="P36" s="786"/>
      <c r="Q36" s="786"/>
      <c r="R36" s="786"/>
      <c r="S36" s="786"/>
      <c r="T36" s="786"/>
      <c r="U36" s="786"/>
      <c r="V36" s="891">
        <v>1</v>
      </c>
      <c r="W36" s="891">
        <v>1</v>
      </c>
      <c r="X36" s="891">
        <v>1</v>
      </c>
      <c r="Y36" s="891">
        <v>1</v>
      </c>
      <c r="Z36" s="891">
        <v>1</v>
      </c>
      <c r="AA36" s="891">
        <v>1</v>
      </c>
      <c r="AB36" s="891">
        <v>1</v>
      </c>
      <c r="AC36" s="891">
        <v>1</v>
      </c>
      <c r="AD36" s="891">
        <v>1</v>
      </c>
      <c r="AE36" s="891">
        <v>1</v>
      </c>
      <c r="AF36" s="891">
        <v>1</v>
      </c>
      <c r="AG36" s="891">
        <v>1</v>
      </c>
      <c r="AH36" s="891">
        <v>1</v>
      </c>
      <c r="AI36" s="891">
        <v>1</v>
      </c>
      <c r="AJ36" s="891">
        <v>1</v>
      </c>
      <c r="AK36" s="786"/>
      <c r="AL36" s="786"/>
      <c r="AM36" s="787">
        <f t="shared" si="0"/>
        <v>15</v>
      </c>
      <c r="AN36" s="787"/>
      <c r="AO36" s="787"/>
      <c r="AP36" s="787"/>
      <c r="AQ36" s="787"/>
      <c r="AR36" s="787"/>
      <c r="AS36" s="787"/>
      <c r="AT36" s="787"/>
      <c r="AU36" s="787"/>
      <c r="AV36" s="787"/>
      <c r="AW36" s="787"/>
      <c r="AX36" s="787"/>
      <c r="AY36" s="787"/>
      <c r="AZ36" s="787"/>
      <c r="BA36" s="787"/>
      <c r="BB36" s="787"/>
      <c r="BC36" s="787"/>
      <c r="BD36" s="787"/>
      <c r="BE36" s="787"/>
      <c r="BF36" s="787"/>
      <c r="BG36" s="787"/>
      <c r="BH36" s="787"/>
      <c r="BI36" s="787"/>
      <c r="BJ36" s="787"/>
      <c r="BK36" s="787"/>
      <c r="BL36" s="787"/>
      <c r="BM36" s="787"/>
      <c r="BN36" s="787"/>
      <c r="BO36" s="787"/>
      <c r="BP36" s="787"/>
      <c r="BQ36" s="787"/>
      <c r="BR36" s="787"/>
      <c r="BS36" s="786"/>
      <c r="BT36" s="787"/>
      <c r="BU36" s="787"/>
      <c r="BV36" s="787"/>
      <c r="BW36" s="787"/>
      <c r="BX36" s="787"/>
      <c r="BY36" s="787"/>
      <c r="BZ36" s="787"/>
      <c r="CA36" s="787"/>
      <c r="CB36" s="787"/>
      <c r="CC36" s="787"/>
      <c r="CD36" s="787"/>
      <c r="CE36" s="787"/>
      <c r="CF36" s="787"/>
      <c r="CG36" s="787"/>
      <c r="CH36" s="787"/>
      <c r="CI36" s="787"/>
      <c r="CJ36" s="787"/>
      <c r="CK36" s="787"/>
      <c r="CL36" s="787"/>
      <c r="CM36" s="787"/>
      <c r="CN36" s="787"/>
      <c r="CO36" s="787"/>
      <c r="CP36" s="787"/>
      <c r="CQ36" s="787"/>
      <c r="CR36" s="787">
        <v>1</v>
      </c>
      <c r="CS36" s="787"/>
      <c r="CT36" s="787"/>
      <c r="CU36" s="787"/>
      <c r="CV36" s="787"/>
      <c r="CW36" s="787"/>
      <c r="CX36" s="787"/>
      <c r="CY36" s="786"/>
      <c r="CZ36" s="787"/>
      <c r="DA36" s="787"/>
      <c r="DB36" s="787"/>
      <c r="DC36" s="787"/>
      <c r="DD36" s="787"/>
      <c r="DE36" s="787"/>
      <c r="DF36" s="787"/>
      <c r="DG36" s="787"/>
      <c r="DH36" s="787"/>
      <c r="DI36" s="787"/>
      <c r="DJ36" s="787"/>
      <c r="DK36" s="787"/>
      <c r="DL36" s="787"/>
      <c r="DM36" s="787"/>
      <c r="DN36" s="787"/>
      <c r="DO36" s="787"/>
      <c r="DP36" s="787"/>
      <c r="DQ36" s="787"/>
      <c r="DR36" s="787"/>
      <c r="DS36" s="787"/>
      <c r="DT36" s="787"/>
      <c r="DU36" s="787"/>
      <c r="DV36" s="787"/>
      <c r="DW36" s="787"/>
      <c r="DX36" s="787"/>
      <c r="DY36" s="787"/>
      <c r="DZ36" s="787"/>
      <c r="EA36" s="787"/>
      <c r="EB36" s="787"/>
      <c r="EC36" s="787"/>
      <c r="ED36" s="786"/>
      <c r="EE36" s="787"/>
      <c r="EF36" s="787"/>
      <c r="EG36" s="787"/>
      <c r="EH36" s="787"/>
      <c r="EI36" s="787"/>
      <c r="EJ36" s="787"/>
      <c r="EK36" s="787"/>
      <c r="EL36" s="787"/>
      <c r="EM36" s="787"/>
      <c r="EN36" s="787"/>
      <c r="EO36" s="787"/>
      <c r="EP36" s="787"/>
      <c r="EQ36" s="787"/>
      <c r="ER36" s="787"/>
      <c r="ES36" s="787"/>
      <c r="ET36" s="787"/>
      <c r="EU36" s="787"/>
      <c r="EV36" s="787"/>
      <c r="EW36" s="787"/>
      <c r="EX36" s="787"/>
      <c r="EY36" s="787"/>
      <c r="EZ36" s="787"/>
      <c r="FA36" s="787"/>
      <c r="FB36" s="787"/>
      <c r="FC36" s="787"/>
      <c r="FD36" s="787"/>
      <c r="FE36" s="787"/>
      <c r="FF36" s="787"/>
      <c r="FG36" s="787"/>
      <c r="FH36" s="787"/>
      <c r="FI36" s="787"/>
      <c r="FJ36" s="786"/>
      <c r="FK36" s="787"/>
      <c r="FL36" s="787"/>
      <c r="FM36" s="787"/>
      <c r="FN36" s="787"/>
      <c r="FO36" s="787"/>
      <c r="FP36" s="787"/>
      <c r="FQ36" s="787"/>
      <c r="FR36" s="787"/>
      <c r="FS36" s="787"/>
      <c r="FT36" s="787"/>
      <c r="FU36" s="787"/>
      <c r="FV36" s="787"/>
      <c r="FW36" s="787"/>
      <c r="FX36" s="787"/>
      <c r="FY36" s="787"/>
      <c r="FZ36" s="787"/>
      <c r="GA36" s="787"/>
      <c r="GB36" s="787"/>
      <c r="GC36" s="787"/>
      <c r="GD36" s="787"/>
      <c r="GE36" s="787"/>
      <c r="GF36" s="787"/>
      <c r="GG36" s="787"/>
      <c r="GH36" s="787"/>
      <c r="GI36" s="787"/>
      <c r="GJ36" s="787"/>
      <c r="GK36" s="787"/>
      <c r="GL36" s="787"/>
      <c r="GM36" s="787"/>
      <c r="GN36" s="787"/>
      <c r="GO36" s="786"/>
      <c r="GP36" s="787"/>
      <c r="GQ36" s="787"/>
      <c r="GR36" s="787"/>
      <c r="GS36" s="787"/>
      <c r="GT36" s="787"/>
      <c r="GU36" s="787"/>
      <c r="GV36" s="787"/>
      <c r="GW36" s="787"/>
      <c r="GX36" s="787"/>
      <c r="GY36" s="787"/>
      <c r="GZ36" s="787"/>
      <c r="HA36" s="787"/>
      <c r="HB36" s="787"/>
      <c r="HC36" s="787"/>
      <c r="HD36" s="787"/>
      <c r="HE36" s="787"/>
      <c r="HF36" s="787"/>
      <c r="HG36" s="787"/>
      <c r="HH36" s="787"/>
      <c r="HI36" s="787"/>
      <c r="HJ36" s="787"/>
      <c r="HK36" s="787"/>
      <c r="HL36" s="787"/>
      <c r="HM36" s="787"/>
      <c r="HN36" s="787"/>
      <c r="HO36" s="787"/>
      <c r="HP36" s="787"/>
      <c r="HQ36" s="787"/>
      <c r="HR36" s="787"/>
      <c r="HS36" s="787"/>
      <c r="HT36" s="787"/>
      <c r="HU36" s="786"/>
      <c r="HV36" s="792">
        <f>'vacaciones 2021'!U42</f>
        <v>-4</v>
      </c>
    </row>
    <row r="37" spans="1:230" ht="31.5" customHeight="1" x14ac:dyDescent="0.3">
      <c r="A37" s="297"/>
      <c r="B37" s="881" t="s">
        <v>446</v>
      </c>
      <c r="C37" s="882"/>
      <c r="D37" s="888"/>
      <c r="E37" s="889"/>
      <c r="F37" s="889"/>
      <c r="G37" s="889"/>
      <c r="H37" s="889"/>
      <c r="I37" s="889"/>
      <c r="J37" s="889"/>
      <c r="K37" s="889"/>
      <c r="L37" s="889"/>
      <c r="M37" s="889"/>
      <c r="N37" s="889"/>
      <c r="O37" s="889"/>
      <c r="P37" s="889"/>
      <c r="Q37" s="889"/>
      <c r="R37" s="889"/>
      <c r="S37" s="889"/>
      <c r="T37" s="889"/>
      <c r="U37" s="889"/>
      <c r="V37" s="889"/>
      <c r="W37" s="889"/>
      <c r="X37" s="889"/>
      <c r="Y37" s="889"/>
      <c r="Z37" s="889"/>
      <c r="AA37" s="889"/>
      <c r="AB37" s="889"/>
      <c r="AC37" s="889"/>
      <c r="AD37" s="889"/>
      <c r="AE37" s="889"/>
      <c r="AF37" s="889"/>
      <c r="AG37" s="889"/>
      <c r="AH37" s="889"/>
      <c r="AI37" s="889"/>
      <c r="AJ37" s="889"/>
      <c r="AK37" s="889"/>
      <c r="AL37" s="889"/>
      <c r="AM37" s="895">
        <f t="shared" si="0"/>
        <v>0</v>
      </c>
      <c r="AN37" s="895"/>
      <c r="AO37" s="895"/>
      <c r="AP37" s="895"/>
      <c r="AQ37" s="895"/>
      <c r="AR37" s="895"/>
      <c r="AS37" s="895"/>
      <c r="AT37" s="895"/>
      <c r="AU37" s="895"/>
      <c r="AV37" s="895"/>
      <c r="AW37" s="895"/>
      <c r="AX37" s="895"/>
      <c r="AY37" s="895"/>
      <c r="AZ37" s="895"/>
      <c r="BA37" s="895"/>
      <c r="BB37" s="895"/>
      <c r="BC37" s="895"/>
      <c r="BD37" s="895"/>
      <c r="BE37" s="895"/>
      <c r="BF37" s="895"/>
      <c r="BG37" s="895"/>
      <c r="BH37" s="895"/>
      <c r="BI37" s="895"/>
      <c r="BJ37" s="895"/>
      <c r="BK37" s="895"/>
      <c r="BL37" s="895"/>
      <c r="BM37" s="895"/>
      <c r="BN37" s="895"/>
      <c r="BO37" s="895"/>
      <c r="BP37" s="895"/>
      <c r="BQ37" s="895"/>
      <c r="BR37" s="895"/>
      <c r="BS37" s="889"/>
      <c r="BT37" s="895"/>
      <c r="BU37" s="895"/>
      <c r="BV37" s="895"/>
      <c r="BW37" s="895"/>
      <c r="BX37" s="895"/>
      <c r="BY37" s="895"/>
      <c r="BZ37" s="895"/>
      <c r="CA37" s="895"/>
      <c r="CB37" s="895"/>
      <c r="CC37" s="895"/>
      <c r="CD37" s="895"/>
      <c r="CE37" s="895"/>
      <c r="CF37" s="895"/>
      <c r="CG37" s="895"/>
      <c r="CH37" s="895"/>
      <c r="CI37" s="895"/>
      <c r="CJ37" s="895"/>
      <c r="CK37" s="895"/>
      <c r="CL37" s="895"/>
      <c r="CM37" s="895"/>
      <c r="CN37" s="895"/>
      <c r="CO37" s="895"/>
      <c r="CP37" s="895"/>
      <c r="CQ37" s="895"/>
      <c r="CR37" s="895"/>
      <c r="CS37" s="895"/>
      <c r="CT37" s="895"/>
      <c r="CU37" s="895"/>
      <c r="CV37" s="895"/>
      <c r="CW37" s="895"/>
      <c r="CX37" s="895"/>
      <c r="CY37" s="889"/>
      <c r="CZ37" s="895"/>
      <c r="DA37" s="895"/>
      <c r="DB37" s="895"/>
      <c r="DC37" s="895"/>
      <c r="DD37" s="895"/>
      <c r="DE37" s="895"/>
      <c r="DF37" s="895"/>
      <c r="DG37" s="895"/>
      <c r="DH37" s="895"/>
      <c r="DI37" s="895"/>
      <c r="DJ37" s="895"/>
      <c r="DK37" s="895"/>
      <c r="DL37" s="895"/>
      <c r="DM37" s="895"/>
      <c r="DN37" s="895"/>
      <c r="DO37" s="895"/>
      <c r="DP37" s="895"/>
      <c r="DQ37" s="895"/>
      <c r="DR37" s="895"/>
      <c r="DS37" s="895"/>
      <c r="DT37" s="895"/>
      <c r="DU37" s="895"/>
      <c r="DV37" s="895"/>
      <c r="DW37" s="895"/>
      <c r="DX37" s="895"/>
      <c r="DY37" s="895"/>
      <c r="DZ37" s="895"/>
      <c r="EA37" s="895"/>
      <c r="EB37" s="895"/>
      <c r="EC37" s="895"/>
      <c r="ED37" s="889"/>
      <c r="EE37" s="895"/>
      <c r="EF37" s="895"/>
      <c r="EG37" s="895"/>
      <c r="EH37" s="895"/>
      <c r="EI37" s="895"/>
      <c r="EJ37" s="895"/>
      <c r="EK37" s="895"/>
      <c r="EL37" s="895"/>
      <c r="EM37" s="895"/>
      <c r="EN37" s="895"/>
      <c r="EO37" s="895"/>
      <c r="EP37" s="895"/>
      <c r="EQ37" s="895"/>
      <c r="ER37" s="895"/>
      <c r="ES37" s="895"/>
      <c r="ET37" s="895"/>
      <c r="EU37" s="895"/>
      <c r="EV37" s="895"/>
      <c r="EW37" s="895"/>
      <c r="EX37" s="895"/>
      <c r="EY37" s="895"/>
      <c r="EZ37" s="895"/>
      <c r="FA37" s="895"/>
      <c r="FB37" s="895"/>
      <c r="FC37" s="895"/>
      <c r="FD37" s="895"/>
      <c r="FE37" s="895"/>
      <c r="FF37" s="895"/>
      <c r="FG37" s="895"/>
      <c r="FH37" s="895"/>
      <c r="FI37" s="895"/>
      <c r="FJ37" s="889"/>
      <c r="FK37" s="895"/>
      <c r="FL37" s="895"/>
      <c r="FM37" s="895"/>
      <c r="FN37" s="895"/>
      <c r="FO37" s="895"/>
      <c r="FP37" s="895"/>
      <c r="FQ37" s="895"/>
      <c r="FR37" s="895"/>
      <c r="FS37" s="895"/>
      <c r="FT37" s="895"/>
      <c r="FU37" s="895"/>
      <c r="FV37" s="895"/>
      <c r="FW37" s="895"/>
      <c r="FX37" s="895"/>
      <c r="FY37" s="895"/>
      <c r="FZ37" s="895"/>
      <c r="GA37" s="895"/>
      <c r="GB37" s="895"/>
      <c r="GC37" s="895"/>
      <c r="GD37" s="895"/>
      <c r="GE37" s="895"/>
      <c r="GF37" s="895"/>
      <c r="GG37" s="895"/>
      <c r="GH37" s="895"/>
      <c r="GI37" s="895"/>
      <c r="GJ37" s="895"/>
      <c r="GK37" s="895"/>
      <c r="GL37" s="895"/>
      <c r="GM37" s="895"/>
      <c r="GN37" s="895"/>
      <c r="GO37" s="889"/>
      <c r="GP37" s="895"/>
      <c r="GQ37" s="895"/>
      <c r="GR37" s="895"/>
      <c r="GS37" s="895"/>
      <c r="GT37" s="895"/>
      <c r="GU37" s="895"/>
      <c r="GV37" s="895"/>
      <c r="GW37" s="895"/>
      <c r="GX37" s="895"/>
      <c r="GY37" s="895"/>
      <c r="GZ37" s="895"/>
      <c r="HA37" s="895"/>
      <c r="HB37" s="895"/>
      <c r="HC37" s="895"/>
      <c r="HD37" s="895"/>
      <c r="HE37" s="895"/>
      <c r="HF37" s="895"/>
      <c r="HG37" s="895"/>
      <c r="HH37" s="895"/>
      <c r="HI37" s="895"/>
      <c r="HJ37" s="895"/>
      <c r="HK37" s="895"/>
      <c r="HL37" s="895"/>
      <c r="HM37" s="895"/>
      <c r="HN37" s="895"/>
      <c r="HO37" s="895"/>
      <c r="HP37" s="895"/>
      <c r="HQ37" s="895"/>
      <c r="HR37" s="895"/>
      <c r="HS37" s="895"/>
      <c r="HT37" s="895"/>
      <c r="HU37" s="889"/>
      <c r="HV37" s="883"/>
    </row>
    <row r="38" spans="1:230" ht="31.5" customHeight="1" x14ac:dyDescent="0.3">
      <c r="A38" s="297">
        <v>30</v>
      </c>
      <c r="B38" s="885" t="s">
        <v>58</v>
      </c>
      <c r="C38" s="856" t="s">
        <v>444</v>
      </c>
      <c r="D38" s="786"/>
      <c r="E38" s="786"/>
      <c r="F38" s="786"/>
      <c r="G38" s="786"/>
      <c r="H38" s="786"/>
      <c r="I38" s="786"/>
      <c r="J38" s="786"/>
      <c r="K38" s="786"/>
      <c r="L38" s="786"/>
      <c r="M38" s="786"/>
      <c r="N38" s="786"/>
      <c r="O38" s="786"/>
      <c r="P38" s="786"/>
      <c r="Q38" s="786"/>
      <c r="R38" s="786"/>
      <c r="S38" s="786"/>
      <c r="T38" s="786"/>
      <c r="U38" s="786"/>
      <c r="V38" s="786"/>
      <c r="W38" s="786"/>
      <c r="X38" s="786"/>
      <c r="Y38" s="786"/>
      <c r="Z38" s="786"/>
      <c r="AA38" s="786"/>
      <c r="AB38" s="786"/>
      <c r="AC38" s="786"/>
      <c r="AD38" s="786"/>
      <c r="AE38" s="786"/>
      <c r="AF38" s="786"/>
      <c r="AG38" s="786"/>
      <c r="AH38" s="786"/>
      <c r="AI38" s="786"/>
      <c r="AJ38" s="786"/>
      <c r="AK38" s="786"/>
      <c r="AL38" s="786"/>
      <c r="AM38" s="787">
        <f t="shared" si="0"/>
        <v>0</v>
      </c>
      <c r="AN38" s="787"/>
      <c r="AO38" s="787"/>
      <c r="AP38" s="787"/>
      <c r="AQ38" s="787"/>
      <c r="AR38" s="787"/>
      <c r="AS38" s="787"/>
      <c r="AT38" s="787"/>
      <c r="AU38" s="787"/>
      <c r="AV38" s="787"/>
      <c r="AW38" s="787"/>
      <c r="AX38" s="787"/>
      <c r="AY38" s="787"/>
      <c r="AZ38" s="787"/>
      <c r="BA38" s="787"/>
      <c r="BB38" s="787"/>
      <c r="BC38" s="787"/>
      <c r="BD38" s="787"/>
      <c r="BE38" s="787"/>
      <c r="BF38" s="787"/>
      <c r="BG38" s="787"/>
      <c r="BH38" s="787"/>
      <c r="BI38" s="787"/>
      <c r="BJ38" s="787"/>
      <c r="BK38" s="787"/>
      <c r="BL38" s="787"/>
      <c r="BM38" s="787"/>
      <c r="BN38" s="787"/>
      <c r="BO38" s="787"/>
      <c r="BP38" s="787"/>
      <c r="BQ38" s="787"/>
      <c r="BR38" s="787"/>
      <c r="BS38" s="786"/>
      <c r="BT38" s="787"/>
      <c r="BU38" s="787"/>
      <c r="BV38" s="787"/>
      <c r="BW38" s="787"/>
      <c r="BX38" s="787"/>
      <c r="BY38" s="787"/>
      <c r="BZ38" s="787"/>
      <c r="CA38" s="787"/>
      <c r="CB38" s="787"/>
      <c r="CC38" s="787"/>
      <c r="CD38" s="787"/>
      <c r="CE38" s="787"/>
      <c r="CF38" s="787"/>
      <c r="CG38" s="787"/>
      <c r="CH38" s="787"/>
      <c r="CI38" s="787"/>
      <c r="CJ38" s="787"/>
      <c r="CK38" s="787"/>
      <c r="CL38" s="787"/>
      <c r="CM38" s="787"/>
      <c r="CN38" s="787"/>
      <c r="CO38" s="787"/>
      <c r="CP38" s="787"/>
      <c r="CQ38" s="787"/>
      <c r="CR38" s="787"/>
      <c r="CS38" s="787"/>
      <c r="CT38" s="787"/>
      <c r="CU38" s="787"/>
      <c r="CV38" s="787"/>
      <c r="CW38" s="787"/>
      <c r="CX38" s="787"/>
      <c r="CY38" s="786"/>
      <c r="CZ38" s="787"/>
      <c r="DA38" s="787"/>
      <c r="DB38" s="787"/>
      <c r="DC38" s="787"/>
      <c r="DD38" s="787"/>
      <c r="DE38" s="787"/>
      <c r="DF38" s="787"/>
      <c r="DG38" s="787"/>
      <c r="DH38" s="787"/>
      <c r="DI38" s="787"/>
      <c r="DJ38" s="787"/>
      <c r="DK38" s="787"/>
      <c r="DL38" s="787"/>
      <c r="DM38" s="787"/>
      <c r="DN38" s="787"/>
      <c r="DO38" s="787"/>
      <c r="DP38" s="787"/>
      <c r="DQ38" s="787"/>
      <c r="DR38" s="787"/>
      <c r="DS38" s="787"/>
      <c r="DT38" s="787"/>
      <c r="DU38" s="787"/>
      <c r="DV38" s="787"/>
      <c r="DW38" s="787"/>
      <c r="DX38" s="787"/>
      <c r="DY38" s="787"/>
      <c r="DZ38" s="787"/>
      <c r="EA38" s="787"/>
      <c r="EB38" s="787"/>
      <c r="EC38" s="787"/>
      <c r="ED38" s="786"/>
      <c r="EE38" s="787"/>
      <c r="EF38" s="787"/>
      <c r="EG38" s="787"/>
      <c r="EH38" s="787"/>
      <c r="EI38" s="787"/>
      <c r="EJ38" s="787"/>
      <c r="EK38" s="787"/>
      <c r="EL38" s="787"/>
      <c r="EM38" s="787"/>
      <c r="EN38" s="787"/>
      <c r="EO38" s="787"/>
      <c r="EP38" s="787"/>
      <c r="EQ38" s="787"/>
      <c r="ER38" s="787"/>
      <c r="ES38" s="787"/>
      <c r="ET38" s="787"/>
      <c r="EU38" s="787"/>
      <c r="EV38" s="787"/>
      <c r="EW38" s="787"/>
      <c r="EX38" s="787"/>
      <c r="EY38" s="787"/>
      <c r="EZ38" s="787"/>
      <c r="FA38" s="787"/>
      <c r="FB38" s="787"/>
      <c r="FC38" s="787"/>
      <c r="FD38" s="787"/>
      <c r="FE38" s="787"/>
      <c r="FF38" s="787"/>
      <c r="FG38" s="787"/>
      <c r="FH38" s="787"/>
      <c r="FI38" s="787"/>
      <c r="FJ38" s="786"/>
      <c r="FK38" s="787"/>
      <c r="FL38" s="787"/>
      <c r="FM38" s="787"/>
      <c r="FN38" s="787"/>
      <c r="FO38" s="787"/>
      <c r="FP38" s="787"/>
      <c r="FQ38" s="787"/>
      <c r="FR38" s="787"/>
      <c r="FS38" s="787"/>
      <c r="FT38" s="787"/>
      <c r="FU38" s="787"/>
      <c r="FV38" s="787"/>
      <c r="FW38" s="787"/>
      <c r="FX38" s="787"/>
      <c r="FY38" s="787"/>
      <c r="FZ38" s="787"/>
      <c r="GA38" s="787"/>
      <c r="GB38" s="787"/>
      <c r="GC38" s="787"/>
      <c r="GD38" s="787"/>
      <c r="GE38" s="787"/>
      <c r="GF38" s="787"/>
      <c r="GG38" s="787"/>
      <c r="GH38" s="787"/>
      <c r="GI38" s="787"/>
      <c r="GJ38" s="787"/>
      <c r="GK38" s="787"/>
      <c r="GL38" s="787"/>
      <c r="GM38" s="787"/>
      <c r="GN38" s="787"/>
      <c r="GO38" s="786"/>
      <c r="GP38" s="787"/>
      <c r="GQ38" s="787"/>
      <c r="GR38" s="787"/>
      <c r="GS38" s="787"/>
      <c r="GT38" s="787"/>
      <c r="GU38" s="787"/>
      <c r="GV38" s="787"/>
      <c r="GW38" s="787"/>
      <c r="GX38" s="787"/>
      <c r="GY38" s="787"/>
      <c r="GZ38" s="787"/>
      <c r="HA38" s="787"/>
      <c r="HB38" s="787"/>
      <c r="HC38" s="787"/>
      <c r="HD38" s="787"/>
      <c r="HE38" s="787"/>
      <c r="HF38" s="787"/>
      <c r="HG38" s="787"/>
      <c r="HH38" s="787"/>
      <c r="HI38" s="787"/>
      <c r="HJ38" s="787"/>
      <c r="HK38" s="787"/>
      <c r="HL38" s="787"/>
      <c r="HM38" s="787"/>
      <c r="HN38" s="787"/>
      <c r="HO38" s="787"/>
      <c r="HP38" s="787"/>
      <c r="HQ38" s="787"/>
      <c r="HR38" s="787"/>
      <c r="HS38" s="787"/>
      <c r="HT38" s="787"/>
      <c r="HU38" s="786"/>
      <c r="HV38" s="792">
        <f>'vacaciones 2021'!U44</f>
        <v>149</v>
      </c>
    </row>
    <row r="39" spans="1:230" ht="31.5" customHeight="1" x14ac:dyDescent="0.3">
      <c r="A39" s="297">
        <v>31</v>
      </c>
      <c r="B39" s="807" t="s">
        <v>87</v>
      </c>
      <c r="C39" s="859" t="s">
        <v>429</v>
      </c>
      <c r="D39" s="786"/>
      <c r="E39" s="786"/>
      <c r="F39" s="786"/>
      <c r="G39" s="786"/>
      <c r="H39" s="786"/>
      <c r="I39" s="786"/>
      <c r="J39" s="786"/>
      <c r="K39" s="786"/>
      <c r="L39" s="786"/>
      <c r="M39" s="786"/>
      <c r="N39" s="786"/>
      <c r="O39" s="891">
        <v>1</v>
      </c>
      <c r="P39" s="786"/>
      <c r="Q39" s="786"/>
      <c r="R39" s="786"/>
      <c r="S39" s="786"/>
      <c r="T39" s="786"/>
      <c r="U39" s="786"/>
      <c r="V39" s="786"/>
      <c r="W39" s="786"/>
      <c r="X39" s="786"/>
      <c r="Y39" s="786"/>
      <c r="Z39" s="786"/>
      <c r="AA39" s="786"/>
      <c r="AB39" s="786"/>
      <c r="AC39" s="786"/>
      <c r="AD39" s="786">
        <v>1</v>
      </c>
      <c r="AE39" s="786"/>
      <c r="AF39" s="786"/>
      <c r="AG39" s="786"/>
      <c r="AH39" s="786"/>
      <c r="AI39" s="786"/>
      <c r="AJ39" s="786"/>
      <c r="AK39" s="786"/>
      <c r="AL39" s="786"/>
      <c r="AM39" s="787">
        <f t="shared" si="0"/>
        <v>2</v>
      </c>
      <c r="AN39" s="787"/>
      <c r="AO39" s="787"/>
      <c r="AP39" s="787"/>
      <c r="AQ39" s="787"/>
      <c r="AR39" s="787"/>
      <c r="AS39" s="787"/>
      <c r="AT39" s="787"/>
      <c r="AU39" s="787"/>
      <c r="AV39" s="787"/>
      <c r="AW39" s="787"/>
      <c r="AX39" s="787"/>
      <c r="AY39" s="787"/>
      <c r="AZ39" s="787"/>
      <c r="BA39" s="787"/>
      <c r="BB39" s="787"/>
      <c r="BC39" s="787"/>
      <c r="BD39" s="787"/>
      <c r="BE39" s="787"/>
      <c r="BF39" s="787"/>
      <c r="BG39" s="787"/>
      <c r="BH39" s="787"/>
      <c r="BI39" s="787"/>
      <c r="BJ39" s="787"/>
      <c r="BK39" s="787"/>
      <c r="BL39" s="787"/>
      <c r="BM39" s="787"/>
      <c r="BN39" s="787"/>
      <c r="BO39" s="787"/>
      <c r="BP39" s="787"/>
      <c r="BQ39" s="787"/>
      <c r="BR39" s="787"/>
      <c r="BS39" s="786"/>
      <c r="BT39" s="787"/>
      <c r="BU39" s="787"/>
      <c r="BV39" s="787"/>
      <c r="BW39" s="787"/>
      <c r="BX39" s="787"/>
      <c r="BY39" s="787"/>
      <c r="BZ39" s="787"/>
      <c r="CA39" s="787"/>
      <c r="CB39" s="787"/>
      <c r="CC39" s="787"/>
      <c r="CD39" s="787">
        <v>1</v>
      </c>
      <c r="CE39" s="787"/>
      <c r="CF39" s="787"/>
      <c r="CG39" s="787"/>
      <c r="CH39" s="787"/>
      <c r="CI39" s="787">
        <v>1</v>
      </c>
      <c r="CJ39" s="787"/>
      <c r="CK39" s="787"/>
      <c r="CL39" s="787"/>
      <c r="CM39" s="787"/>
      <c r="CN39" s="787"/>
      <c r="CO39" s="787"/>
      <c r="CP39" s="787">
        <v>1</v>
      </c>
      <c r="CQ39" s="787"/>
      <c r="CR39" s="787"/>
      <c r="CS39" s="787"/>
      <c r="CT39" s="787"/>
      <c r="CU39" s="787"/>
      <c r="CV39" s="787"/>
      <c r="CW39" s="787"/>
      <c r="CX39" s="787"/>
      <c r="CY39" s="786"/>
      <c r="CZ39" s="787"/>
      <c r="DA39" s="787"/>
      <c r="DB39" s="787"/>
      <c r="DC39" s="787"/>
      <c r="DD39" s="787"/>
      <c r="DE39" s="787">
        <v>1</v>
      </c>
      <c r="DF39" s="787"/>
      <c r="DG39" s="787"/>
      <c r="DH39" s="787"/>
      <c r="DI39" s="787"/>
      <c r="DJ39" s="787"/>
      <c r="DK39" s="787"/>
      <c r="DL39" s="787"/>
      <c r="DM39" s="787"/>
      <c r="DN39" s="787"/>
      <c r="DO39" s="787"/>
      <c r="DP39" s="787"/>
      <c r="DQ39" s="787"/>
      <c r="DR39" s="787"/>
      <c r="DS39" s="787"/>
      <c r="DT39" s="787"/>
      <c r="DU39" s="787"/>
      <c r="DV39" s="787"/>
      <c r="DW39" s="787"/>
      <c r="DX39" s="787"/>
      <c r="DY39" s="787"/>
      <c r="DZ39" s="787"/>
      <c r="EA39" s="787"/>
      <c r="EB39" s="787"/>
      <c r="EC39" s="787"/>
      <c r="ED39" s="786"/>
      <c r="EE39" s="787"/>
      <c r="EF39" s="787"/>
      <c r="EG39" s="787"/>
      <c r="EH39" s="787"/>
      <c r="EI39" s="787"/>
      <c r="EJ39" s="787"/>
      <c r="EK39" s="787"/>
      <c r="EL39" s="787"/>
      <c r="EM39" s="787"/>
      <c r="EN39" s="787"/>
      <c r="EO39" s="787"/>
      <c r="EP39" s="787"/>
      <c r="EQ39" s="787"/>
      <c r="ER39" s="787"/>
      <c r="ES39" s="787"/>
      <c r="ET39" s="787"/>
      <c r="EU39" s="787"/>
      <c r="EV39" s="787"/>
      <c r="EW39" s="787"/>
      <c r="EX39" s="787"/>
      <c r="EY39" s="787"/>
      <c r="EZ39" s="787"/>
      <c r="FA39" s="787"/>
      <c r="FB39" s="787"/>
      <c r="FC39" s="787"/>
      <c r="FD39" s="787"/>
      <c r="FE39" s="787"/>
      <c r="FF39" s="787"/>
      <c r="FG39" s="787"/>
      <c r="FH39" s="787"/>
      <c r="FI39" s="787"/>
      <c r="FJ39" s="786"/>
      <c r="FK39" s="787"/>
      <c r="FL39" s="787"/>
      <c r="FM39" s="787"/>
      <c r="FN39" s="787"/>
      <c r="FO39" s="787"/>
      <c r="FP39" s="787"/>
      <c r="FQ39" s="787"/>
      <c r="FR39" s="787"/>
      <c r="FS39" s="787"/>
      <c r="FT39" s="787"/>
      <c r="FU39" s="787"/>
      <c r="FV39" s="787"/>
      <c r="FW39" s="787"/>
      <c r="FX39" s="787"/>
      <c r="FY39" s="787"/>
      <c r="FZ39" s="787"/>
      <c r="GA39" s="787"/>
      <c r="GB39" s="787"/>
      <c r="GC39" s="787"/>
      <c r="GD39" s="787"/>
      <c r="GE39" s="787"/>
      <c r="GF39" s="787"/>
      <c r="GG39" s="787"/>
      <c r="GH39" s="787"/>
      <c r="GI39" s="787"/>
      <c r="GJ39" s="787"/>
      <c r="GK39" s="787"/>
      <c r="GL39" s="787"/>
      <c r="GM39" s="787"/>
      <c r="GN39" s="787"/>
      <c r="GO39" s="786"/>
      <c r="GP39" s="787"/>
      <c r="GQ39" s="787"/>
      <c r="GR39" s="787"/>
      <c r="GS39" s="787"/>
      <c r="GT39" s="787"/>
      <c r="GU39" s="787"/>
      <c r="GV39" s="787"/>
      <c r="GW39" s="787"/>
      <c r="GX39" s="787"/>
      <c r="GY39" s="787"/>
      <c r="GZ39" s="787"/>
      <c r="HA39" s="787"/>
      <c r="HB39" s="787"/>
      <c r="HC39" s="787"/>
      <c r="HD39" s="787"/>
      <c r="HE39" s="787"/>
      <c r="HF39" s="787"/>
      <c r="HG39" s="787"/>
      <c r="HH39" s="787"/>
      <c r="HI39" s="787"/>
      <c r="HJ39" s="787"/>
      <c r="HK39" s="787"/>
      <c r="HL39" s="787"/>
      <c r="HM39" s="787"/>
      <c r="HN39" s="787"/>
      <c r="HO39" s="787"/>
      <c r="HP39" s="787"/>
      <c r="HQ39" s="787"/>
      <c r="HR39" s="787"/>
      <c r="HS39" s="787"/>
      <c r="HT39" s="787"/>
      <c r="HU39" s="786"/>
      <c r="HV39" s="792">
        <f>'vacaciones 2021'!U47</f>
        <v>0</v>
      </c>
    </row>
    <row r="40" spans="1:230" ht="31.5" customHeight="1" x14ac:dyDescent="0.3">
      <c r="A40" s="297"/>
      <c r="B40" s="881" t="s">
        <v>447</v>
      </c>
      <c r="C40" s="882"/>
      <c r="D40" s="888"/>
      <c r="E40" s="889"/>
      <c r="F40" s="889"/>
      <c r="G40" s="889"/>
      <c r="H40" s="889"/>
      <c r="I40" s="889"/>
      <c r="J40" s="889"/>
      <c r="K40" s="889"/>
      <c r="L40" s="889"/>
      <c r="M40" s="889"/>
      <c r="N40" s="889"/>
      <c r="O40" s="889"/>
      <c r="P40" s="889"/>
      <c r="Q40" s="889"/>
      <c r="R40" s="889"/>
      <c r="S40" s="889"/>
      <c r="T40" s="889"/>
      <c r="U40" s="889"/>
      <c r="V40" s="889"/>
      <c r="W40" s="889"/>
      <c r="X40" s="889"/>
      <c r="Y40" s="889"/>
      <c r="Z40" s="889"/>
      <c r="AA40" s="889"/>
      <c r="AB40" s="889"/>
      <c r="AC40" s="889"/>
      <c r="AD40" s="889"/>
      <c r="AE40" s="889"/>
      <c r="AF40" s="889"/>
      <c r="AG40" s="889"/>
      <c r="AH40" s="889"/>
      <c r="AI40" s="889"/>
      <c r="AJ40" s="889"/>
      <c r="AK40" s="889"/>
      <c r="AL40" s="889"/>
      <c r="AM40" s="895"/>
      <c r="AN40" s="895"/>
      <c r="AO40" s="895"/>
      <c r="AP40" s="895"/>
      <c r="AQ40" s="895"/>
      <c r="AR40" s="895"/>
      <c r="AS40" s="895"/>
      <c r="AT40" s="895"/>
      <c r="AU40" s="895"/>
      <c r="AV40" s="895"/>
      <c r="AW40" s="895"/>
      <c r="AX40" s="895"/>
      <c r="AY40" s="895"/>
      <c r="AZ40" s="895"/>
      <c r="BA40" s="895"/>
      <c r="BB40" s="895"/>
      <c r="BC40" s="895"/>
      <c r="BD40" s="895"/>
      <c r="BE40" s="895"/>
      <c r="BF40" s="895"/>
      <c r="BG40" s="895"/>
      <c r="BH40" s="895"/>
      <c r="BI40" s="895"/>
      <c r="BJ40" s="895"/>
      <c r="BK40" s="895"/>
      <c r="BL40" s="895"/>
      <c r="BM40" s="895"/>
      <c r="BN40" s="895"/>
      <c r="BO40" s="895"/>
      <c r="BP40" s="895"/>
      <c r="BQ40" s="895"/>
      <c r="BR40" s="895"/>
      <c r="BS40" s="889"/>
      <c r="BT40" s="895"/>
      <c r="BU40" s="895"/>
      <c r="BV40" s="895"/>
      <c r="BW40" s="895"/>
      <c r="BX40" s="895"/>
      <c r="BY40" s="895"/>
      <c r="BZ40" s="895"/>
      <c r="CA40" s="895"/>
      <c r="CB40" s="895"/>
      <c r="CC40" s="895"/>
      <c r="CD40" s="895"/>
      <c r="CE40" s="895"/>
      <c r="CF40" s="895"/>
      <c r="CG40" s="895"/>
      <c r="CH40" s="895"/>
      <c r="CI40" s="895"/>
      <c r="CJ40" s="895"/>
      <c r="CK40" s="895"/>
      <c r="CL40" s="895"/>
      <c r="CM40" s="895"/>
      <c r="CN40" s="895"/>
      <c r="CO40" s="895"/>
      <c r="CP40" s="895"/>
      <c r="CQ40" s="895"/>
      <c r="CR40" s="895"/>
      <c r="CS40" s="895"/>
      <c r="CT40" s="895"/>
      <c r="CU40" s="895"/>
      <c r="CV40" s="895"/>
      <c r="CW40" s="895"/>
      <c r="CX40" s="895"/>
      <c r="CY40" s="889"/>
      <c r="CZ40" s="895"/>
      <c r="DA40" s="895"/>
      <c r="DB40" s="895"/>
      <c r="DC40" s="895"/>
      <c r="DD40" s="895"/>
      <c r="DE40" s="895"/>
      <c r="DF40" s="895"/>
      <c r="DG40" s="895"/>
      <c r="DH40" s="895"/>
      <c r="DI40" s="895"/>
      <c r="DJ40" s="895"/>
      <c r="DK40" s="895"/>
      <c r="DL40" s="895"/>
      <c r="DM40" s="895"/>
      <c r="DN40" s="895"/>
      <c r="DO40" s="895"/>
      <c r="DP40" s="895"/>
      <c r="DQ40" s="895"/>
      <c r="DR40" s="895"/>
      <c r="DS40" s="895"/>
      <c r="DT40" s="895"/>
      <c r="DU40" s="895"/>
      <c r="DV40" s="895"/>
      <c r="DW40" s="895"/>
      <c r="DX40" s="895"/>
      <c r="DY40" s="895"/>
      <c r="DZ40" s="895"/>
      <c r="EA40" s="895"/>
      <c r="EB40" s="895"/>
      <c r="EC40" s="895"/>
      <c r="ED40" s="889"/>
      <c r="EE40" s="895"/>
      <c r="EF40" s="895"/>
      <c r="EG40" s="895"/>
      <c r="EH40" s="895"/>
      <c r="EI40" s="895"/>
      <c r="EJ40" s="895"/>
      <c r="EK40" s="895"/>
      <c r="EL40" s="895"/>
      <c r="EM40" s="895"/>
      <c r="EN40" s="895"/>
      <c r="EO40" s="895"/>
      <c r="EP40" s="895"/>
      <c r="EQ40" s="895"/>
      <c r="ER40" s="895"/>
      <c r="ES40" s="895"/>
      <c r="ET40" s="895"/>
      <c r="EU40" s="895"/>
      <c r="EV40" s="895"/>
      <c r="EW40" s="895"/>
      <c r="EX40" s="895"/>
      <c r="EY40" s="895"/>
      <c r="EZ40" s="895"/>
      <c r="FA40" s="895"/>
      <c r="FB40" s="895"/>
      <c r="FC40" s="895"/>
      <c r="FD40" s="895"/>
      <c r="FE40" s="895"/>
      <c r="FF40" s="895"/>
      <c r="FG40" s="895"/>
      <c r="FH40" s="895"/>
      <c r="FI40" s="895"/>
      <c r="FJ40" s="889"/>
      <c r="FK40" s="895"/>
      <c r="FL40" s="895"/>
      <c r="FM40" s="895"/>
      <c r="FN40" s="895"/>
      <c r="FO40" s="895"/>
      <c r="FP40" s="895"/>
      <c r="FQ40" s="895"/>
      <c r="FR40" s="895"/>
      <c r="FS40" s="895"/>
      <c r="FT40" s="895"/>
      <c r="FU40" s="895"/>
      <c r="FV40" s="895"/>
      <c r="FW40" s="895"/>
      <c r="FX40" s="895"/>
      <c r="FY40" s="895"/>
      <c r="FZ40" s="895"/>
      <c r="GA40" s="895"/>
      <c r="GB40" s="895"/>
      <c r="GC40" s="895"/>
      <c r="GD40" s="895"/>
      <c r="GE40" s="895"/>
      <c r="GF40" s="895"/>
      <c r="GG40" s="895"/>
      <c r="GH40" s="895"/>
      <c r="GI40" s="895"/>
      <c r="GJ40" s="895"/>
      <c r="GK40" s="895"/>
      <c r="GL40" s="895"/>
      <c r="GM40" s="895"/>
      <c r="GN40" s="895"/>
      <c r="GO40" s="889"/>
      <c r="GP40" s="895"/>
      <c r="GQ40" s="895"/>
      <c r="GR40" s="895"/>
      <c r="GS40" s="895"/>
      <c r="GT40" s="895"/>
      <c r="GU40" s="895"/>
      <c r="GV40" s="895"/>
      <c r="GW40" s="895"/>
      <c r="GX40" s="895"/>
      <c r="GY40" s="895"/>
      <c r="GZ40" s="895"/>
      <c r="HA40" s="895"/>
      <c r="HB40" s="895"/>
      <c r="HC40" s="895"/>
      <c r="HD40" s="895"/>
      <c r="HE40" s="895"/>
      <c r="HF40" s="895"/>
      <c r="HG40" s="895"/>
      <c r="HH40" s="895"/>
      <c r="HI40" s="895"/>
      <c r="HJ40" s="895"/>
      <c r="HK40" s="895"/>
      <c r="HL40" s="895"/>
      <c r="HM40" s="895"/>
      <c r="HN40" s="895"/>
      <c r="HO40" s="895"/>
      <c r="HP40" s="895"/>
      <c r="HQ40" s="895"/>
      <c r="HR40" s="895"/>
      <c r="HS40" s="895"/>
      <c r="HT40" s="895"/>
      <c r="HU40" s="889"/>
      <c r="HV40" s="883"/>
    </row>
    <row r="41" spans="1:230" ht="31.5" customHeight="1" x14ac:dyDescent="0.3">
      <c r="A41" s="297">
        <v>33</v>
      </c>
      <c r="B41" s="808" t="s">
        <v>20</v>
      </c>
      <c r="C41" s="856" t="s">
        <v>434</v>
      </c>
      <c r="D41" s="786"/>
      <c r="E41" s="786"/>
      <c r="F41" s="786"/>
      <c r="G41" s="786"/>
      <c r="H41" s="786"/>
      <c r="I41" s="786"/>
      <c r="J41" s="786"/>
      <c r="K41" s="786"/>
      <c r="L41" s="786"/>
      <c r="M41" s="786"/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786"/>
      <c r="Y41" s="786"/>
      <c r="Z41" s="786"/>
      <c r="AA41" s="786"/>
      <c r="AB41" s="786"/>
      <c r="AC41" s="786"/>
      <c r="AD41" s="786"/>
      <c r="AE41" s="786"/>
      <c r="AF41" s="786"/>
      <c r="AG41" s="786"/>
      <c r="AH41" s="786"/>
      <c r="AI41" s="786"/>
      <c r="AJ41" s="786"/>
      <c r="AK41" s="786"/>
      <c r="AL41" s="786"/>
      <c r="AM41" s="787">
        <f t="shared" si="0"/>
        <v>0</v>
      </c>
      <c r="AN41" s="787"/>
      <c r="AO41" s="787"/>
      <c r="AP41" s="787"/>
      <c r="AQ41" s="787"/>
      <c r="AR41" s="787"/>
      <c r="AS41" s="787"/>
      <c r="AT41" s="787"/>
      <c r="AU41" s="787"/>
      <c r="AV41" s="787"/>
      <c r="AW41" s="787"/>
      <c r="AX41" s="787"/>
      <c r="AY41" s="787"/>
      <c r="AZ41" s="787"/>
      <c r="BA41" s="787"/>
      <c r="BB41" s="787"/>
      <c r="BC41" s="787"/>
      <c r="BD41" s="787"/>
      <c r="BE41" s="787"/>
      <c r="BF41" s="787"/>
      <c r="BG41" s="787"/>
      <c r="BH41" s="787"/>
      <c r="BI41" s="787"/>
      <c r="BJ41" s="787"/>
      <c r="BK41" s="787"/>
      <c r="BL41" s="787"/>
      <c r="BM41" s="787"/>
      <c r="BN41" s="787"/>
      <c r="BO41" s="787"/>
      <c r="BP41" s="787"/>
      <c r="BQ41" s="787"/>
      <c r="BR41" s="787"/>
      <c r="BS41" s="786"/>
      <c r="BT41" s="787"/>
      <c r="BU41" s="787"/>
      <c r="BV41" s="787"/>
      <c r="BW41" s="787"/>
      <c r="BX41" s="787"/>
      <c r="BY41" s="787"/>
      <c r="BZ41" s="787"/>
      <c r="CA41" s="787"/>
      <c r="CB41" s="787"/>
      <c r="CC41" s="787"/>
      <c r="CD41" s="787"/>
      <c r="CE41" s="787"/>
      <c r="CF41" s="787"/>
      <c r="CG41" s="787"/>
      <c r="CH41" s="787"/>
      <c r="CI41" s="787"/>
      <c r="CJ41" s="787"/>
      <c r="CK41" s="787"/>
      <c r="CL41" s="787"/>
      <c r="CM41" s="787"/>
      <c r="CN41" s="787"/>
      <c r="CO41" s="787"/>
      <c r="CP41" s="787"/>
      <c r="CQ41" s="787"/>
      <c r="CR41" s="787"/>
      <c r="CS41" s="787"/>
      <c r="CT41" s="787"/>
      <c r="CU41" s="787"/>
      <c r="CV41" s="787"/>
      <c r="CW41" s="787"/>
      <c r="CX41" s="787"/>
      <c r="CY41" s="786"/>
      <c r="CZ41" s="787"/>
      <c r="DA41" s="787"/>
      <c r="DB41" s="787"/>
      <c r="DC41" s="787"/>
      <c r="DD41" s="787"/>
      <c r="DE41" s="787"/>
      <c r="DF41" s="787"/>
      <c r="DG41" s="787"/>
      <c r="DH41" s="787"/>
      <c r="DI41" s="787"/>
      <c r="DJ41" s="787"/>
      <c r="DK41" s="787"/>
      <c r="DL41" s="787"/>
      <c r="DM41" s="787"/>
      <c r="DN41" s="787"/>
      <c r="DO41" s="787"/>
      <c r="DP41" s="787"/>
      <c r="DQ41" s="787"/>
      <c r="DR41" s="787"/>
      <c r="DS41" s="787"/>
      <c r="DT41" s="787"/>
      <c r="DU41" s="787"/>
      <c r="DV41" s="787"/>
      <c r="DW41" s="787"/>
      <c r="DX41" s="787"/>
      <c r="DY41" s="787"/>
      <c r="DZ41" s="787"/>
      <c r="EA41" s="787"/>
      <c r="EB41" s="787"/>
      <c r="EC41" s="787"/>
      <c r="ED41" s="786"/>
      <c r="EE41" s="787"/>
      <c r="EF41" s="787"/>
      <c r="EG41" s="787"/>
      <c r="EH41" s="787"/>
      <c r="EI41" s="787"/>
      <c r="EJ41" s="787"/>
      <c r="EK41" s="787"/>
      <c r="EL41" s="787"/>
      <c r="EM41" s="787"/>
      <c r="EN41" s="787"/>
      <c r="EO41" s="787"/>
      <c r="EP41" s="787"/>
      <c r="EQ41" s="787"/>
      <c r="ER41" s="787"/>
      <c r="ES41" s="787"/>
      <c r="ET41" s="787"/>
      <c r="EU41" s="787"/>
      <c r="EV41" s="787"/>
      <c r="EW41" s="787"/>
      <c r="EX41" s="787"/>
      <c r="EY41" s="787"/>
      <c r="EZ41" s="787"/>
      <c r="FA41" s="787"/>
      <c r="FB41" s="787"/>
      <c r="FC41" s="787"/>
      <c r="FD41" s="787"/>
      <c r="FE41" s="787"/>
      <c r="FF41" s="787"/>
      <c r="FG41" s="787"/>
      <c r="FH41" s="787"/>
      <c r="FI41" s="787"/>
      <c r="FJ41" s="786"/>
      <c r="FK41" s="787"/>
      <c r="FL41" s="787"/>
      <c r="FM41" s="787"/>
      <c r="FN41" s="787"/>
      <c r="FO41" s="787"/>
      <c r="FP41" s="787"/>
      <c r="FQ41" s="787"/>
      <c r="FR41" s="787"/>
      <c r="FS41" s="787"/>
      <c r="FT41" s="787"/>
      <c r="FU41" s="787"/>
      <c r="FV41" s="787"/>
      <c r="FW41" s="787"/>
      <c r="FX41" s="787"/>
      <c r="FY41" s="787"/>
      <c r="FZ41" s="787"/>
      <c r="GA41" s="787"/>
      <c r="GB41" s="787"/>
      <c r="GC41" s="787"/>
      <c r="GD41" s="787"/>
      <c r="GE41" s="787"/>
      <c r="GF41" s="787"/>
      <c r="GG41" s="787"/>
      <c r="GH41" s="787"/>
      <c r="GI41" s="787"/>
      <c r="GJ41" s="787"/>
      <c r="GK41" s="787"/>
      <c r="GL41" s="787"/>
      <c r="GM41" s="787"/>
      <c r="GN41" s="787"/>
      <c r="GO41" s="786"/>
      <c r="GP41" s="787"/>
      <c r="GQ41" s="787"/>
      <c r="GR41" s="787"/>
      <c r="GS41" s="787"/>
      <c r="GT41" s="787"/>
      <c r="GU41" s="787"/>
      <c r="GV41" s="787"/>
      <c r="GW41" s="787"/>
      <c r="GX41" s="787"/>
      <c r="GY41" s="787"/>
      <c r="GZ41" s="787"/>
      <c r="HA41" s="787"/>
      <c r="HB41" s="787"/>
      <c r="HC41" s="787"/>
      <c r="HD41" s="787"/>
      <c r="HE41" s="787"/>
      <c r="HF41" s="787"/>
      <c r="HG41" s="787"/>
      <c r="HH41" s="787"/>
      <c r="HI41" s="787"/>
      <c r="HJ41" s="787"/>
      <c r="HK41" s="787"/>
      <c r="HL41" s="787"/>
      <c r="HM41" s="787"/>
      <c r="HN41" s="787"/>
      <c r="HO41" s="787"/>
      <c r="HP41" s="787"/>
      <c r="HQ41" s="787"/>
      <c r="HR41" s="787"/>
      <c r="HS41" s="787"/>
      <c r="HT41" s="787"/>
      <c r="HU41" s="786"/>
      <c r="HV41" s="792">
        <f>'vacaciones 2021'!U49</f>
        <v>202</v>
      </c>
    </row>
    <row r="42" spans="1:230" ht="31.5" customHeight="1" x14ac:dyDescent="0.3">
      <c r="A42" s="297">
        <v>34</v>
      </c>
      <c r="B42" s="808" t="s">
        <v>50</v>
      </c>
      <c r="C42" s="806" t="s">
        <v>434</v>
      </c>
      <c r="D42" s="786"/>
      <c r="E42" s="786"/>
      <c r="F42" s="786"/>
      <c r="G42" s="786"/>
      <c r="H42" s="786"/>
      <c r="I42" s="786"/>
      <c r="J42" s="786"/>
      <c r="K42" s="786"/>
      <c r="L42" s="786"/>
      <c r="M42" s="786"/>
      <c r="N42" s="786"/>
      <c r="O42" s="786"/>
      <c r="P42" s="786"/>
      <c r="Q42" s="786"/>
      <c r="R42" s="786"/>
      <c r="S42" s="786"/>
      <c r="T42" s="786"/>
      <c r="U42" s="786"/>
      <c r="V42" s="786"/>
      <c r="W42" s="786"/>
      <c r="X42" s="786"/>
      <c r="Y42" s="786"/>
      <c r="Z42" s="786"/>
      <c r="AA42" s="786"/>
      <c r="AB42" s="786"/>
      <c r="AC42" s="786"/>
      <c r="AD42" s="786"/>
      <c r="AE42" s="786"/>
      <c r="AF42" s="786"/>
      <c r="AG42" s="786"/>
      <c r="AH42" s="786"/>
      <c r="AI42" s="786"/>
      <c r="AJ42" s="786"/>
      <c r="AK42" s="786"/>
      <c r="AL42" s="786"/>
      <c r="AM42" s="787">
        <f t="shared" si="0"/>
        <v>0</v>
      </c>
      <c r="AN42" s="787"/>
      <c r="AO42" s="787"/>
      <c r="AP42" s="787"/>
      <c r="AQ42" s="787"/>
      <c r="AR42" s="787"/>
      <c r="AS42" s="787"/>
      <c r="AT42" s="787"/>
      <c r="AU42" s="787"/>
      <c r="AV42" s="787"/>
      <c r="AW42" s="787"/>
      <c r="AX42" s="787"/>
      <c r="AY42" s="787"/>
      <c r="AZ42" s="787"/>
      <c r="BA42" s="787"/>
      <c r="BB42" s="787"/>
      <c r="BC42" s="787"/>
      <c r="BD42" s="787"/>
      <c r="BE42" s="787"/>
      <c r="BF42" s="787"/>
      <c r="BG42" s="787"/>
      <c r="BH42" s="787"/>
      <c r="BI42" s="787"/>
      <c r="BJ42" s="787"/>
      <c r="BK42" s="787"/>
      <c r="BL42" s="787"/>
      <c r="BM42" s="787"/>
      <c r="BN42" s="787"/>
      <c r="BO42" s="787"/>
      <c r="BP42" s="787"/>
      <c r="BQ42" s="787"/>
      <c r="BR42" s="787"/>
      <c r="BS42" s="786"/>
      <c r="BT42" s="787"/>
      <c r="BU42" s="787"/>
      <c r="BV42" s="787"/>
      <c r="BW42" s="787"/>
      <c r="BX42" s="787"/>
      <c r="BY42" s="787"/>
      <c r="BZ42" s="787"/>
      <c r="CA42" s="787"/>
      <c r="CB42" s="787"/>
      <c r="CC42" s="787"/>
      <c r="CD42" s="787"/>
      <c r="CE42" s="787"/>
      <c r="CF42" s="787"/>
      <c r="CG42" s="787"/>
      <c r="CH42" s="787"/>
      <c r="CI42" s="787">
        <v>1</v>
      </c>
      <c r="CJ42" s="787">
        <v>1</v>
      </c>
      <c r="CK42" s="787">
        <v>1</v>
      </c>
      <c r="CL42" s="787">
        <v>1</v>
      </c>
      <c r="CM42" s="787">
        <v>1</v>
      </c>
      <c r="CN42" s="787">
        <v>1</v>
      </c>
      <c r="CO42" s="787">
        <v>1</v>
      </c>
      <c r="CP42" s="787">
        <v>1</v>
      </c>
      <c r="CQ42" s="787">
        <v>1</v>
      </c>
      <c r="CR42" s="787">
        <v>1</v>
      </c>
      <c r="CS42" s="787">
        <v>1</v>
      </c>
      <c r="CT42" s="787">
        <v>1</v>
      </c>
      <c r="CU42" s="787">
        <v>1</v>
      </c>
      <c r="CV42" s="787">
        <v>1</v>
      </c>
      <c r="CW42" s="787">
        <v>1</v>
      </c>
      <c r="CX42" s="787"/>
      <c r="CY42" s="786"/>
      <c r="CZ42" s="787"/>
      <c r="DA42" s="787"/>
      <c r="DB42" s="787"/>
      <c r="DC42" s="787"/>
      <c r="DD42" s="787"/>
      <c r="DE42" s="787"/>
      <c r="DF42" s="787"/>
      <c r="DG42" s="787"/>
      <c r="DH42" s="787"/>
      <c r="DI42" s="787"/>
      <c r="DJ42" s="787"/>
      <c r="DK42" s="787"/>
      <c r="DL42" s="787"/>
      <c r="DM42" s="787"/>
      <c r="DN42" s="787"/>
      <c r="DO42" s="787"/>
      <c r="DP42" s="787"/>
      <c r="DQ42" s="787"/>
      <c r="DR42" s="787"/>
      <c r="DS42" s="787"/>
      <c r="DT42" s="787"/>
      <c r="DU42" s="787"/>
      <c r="DV42" s="787"/>
      <c r="DW42" s="787"/>
      <c r="DX42" s="787"/>
      <c r="DY42" s="787"/>
      <c r="DZ42" s="787"/>
      <c r="EA42" s="787"/>
      <c r="EB42" s="787"/>
      <c r="EC42" s="787"/>
      <c r="ED42" s="786"/>
      <c r="EE42" s="787"/>
      <c r="EF42" s="787"/>
      <c r="EG42" s="787"/>
      <c r="EH42" s="787"/>
      <c r="EI42" s="787"/>
      <c r="EJ42" s="787"/>
      <c r="EK42" s="787"/>
      <c r="EL42" s="787"/>
      <c r="EM42" s="787"/>
      <c r="EN42" s="787"/>
      <c r="EO42" s="787"/>
      <c r="EP42" s="787"/>
      <c r="EQ42" s="787"/>
      <c r="ER42" s="787"/>
      <c r="ES42" s="787"/>
      <c r="ET42" s="787"/>
      <c r="EU42" s="787"/>
      <c r="EV42" s="787"/>
      <c r="EW42" s="787"/>
      <c r="EX42" s="787"/>
      <c r="EY42" s="787"/>
      <c r="EZ42" s="787"/>
      <c r="FA42" s="787"/>
      <c r="FB42" s="787"/>
      <c r="FC42" s="787"/>
      <c r="FD42" s="787"/>
      <c r="FE42" s="787"/>
      <c r="FF42" s="787"/>
      <c r="FG42" s="787"/>
      <c r="FH42" s="787"/>
      <c r="FI42" s="787"/>
      <c r="FJ42" s="786"/>
      <c r="FK42" s="787"/>
      <c r="FL42" s="787"/>
      <c r="FM42" s="787"/>
      <c r="FN42" s="787"/>
      <c r="FO42" s="787"/>
      <c r="FP42" s="787"/>
      <c r="FQ42" s="787"/>
      <c r="FR42" s="787"/>
      <c r="FS42" s="787"/>
      <c r="FT42" s="787"/>
      <c r="FU42" s="787"/>
      <c r="FV42" s="787"/>
      <c r="FW42" s="787"/>
      <c r="FX42" s="787"/>
      <c r="FY42" s="787"/>
      <c r="FZ42" s="787"/>
      <c r="GA42" s="787"/>
      <c r="GB42" s="787"/>
      <c r="GC42" s="787"/>
      <c r="GD42" s="787"/>
      <c r="GE42" s="787"/>
      <c r="GF42" s="787"/>
      <c r="GG42" s="787"/>
      <c r="GH42" s="787"/>
      <c r="GI42" s="787"/>
      <c r="GJ42" s="787"/>
      <c r="GK42" s="787"/>
      <c r="GL42" s="787"/>
      <c r="GM42" s="787"/>
      <c r="GN42" s="787"/>
      <c r="GO42" s="786"/>
      <c r="GP42" s="787"/>
      <c r="GQ42" s="787"/>
      <c r="GR42" s="787"/>
      <c r="GS42" s="787"/>
      <c r="GT42" s="787"/>
      <c r="GU42" s="787"/>
      <c r="GV42" s="787"/>
      <c r="GW42" s="787"/>
      <c r="GX42" s="787"/>
      <c r="GY42" s="787"/>
      <c r="GZ42" s="787"/>
      <c r="HA42" s="787"/>
      <c r="HB42" s="787"/>
      <c r="HC42" s="787"/>
      <c r="HD42" s="787"/>
      <c r="HE42" s="787"/>
      <c r="HF42" s="787"/>
      <c r="HG42" s="787"/>
      <c r="HH42" s="787"/>
      <c r="HI42" s="787"/>
      <c r="HJ42" s="787"/>
      <c r="HK42" s="787"/>
      <c r="HL42" s="787"/>
      <c r="HM42" s="787"/>
      <c r="HN42" s="787"/>
      <c r="HO42" s="787"/>
      <c r="HP42" s="787"/>
      <c r="HQ42" s="787"/>
      <c r="HR42" s="787"/>
      <c r="HS42" s="787"/>
      <c r="HT42" s="787"/>
      <c r="HU42" s="786"/>
      <c r="HV42" s="792">
        <f>'vacaciones 2021'!U50</f>
        <v>143</v>
      </c>
    </row>
    <row r="43" spans="1:230" ht="31.5" customHeight="1" x14ac:dyDescent="0.3">
      <c r="A43" s="297">
        <v>35</v>
      </c>
      <c r="B43" s="808" t="s">
        <v>49</v>
      </c>
      <c r="C43" s="806" t="s">
        <v>143</v>
      </c>
      <c r="D43" s="786"/>
      <c r="E43" s="786"/>
      <c r="F43" s="786"/>
      <c r="G43" s="786"/>
      <c r="H43" s="786"/>
      <c r="I43" s="786"/>
      <c r="J43" s="786"/>
      <c r="K43" s="786"/>
      <c r="L43" s="786"/>
      <c r="M43" s="786"/>
      <c r="N43" s="786"/>
      <c r="O43" s="786"/>
      <c r="P43" s="786"/>
      <c r="Q43" s="786"/>
      <c r="R43" s="786"/>
      <c r="S43" s="786"/>
      <c r="T43" s="786"/>
      <c r="U43" s="786"/>
      <c r="V43" s="786"/>
      <c r="W43" s="786"/>
      <c r="X43" s="786"/>
      <c r="Y43" s="786"/>
      <c r="Z43" s="786"/>
      <c r="AA43" s="786"/>
      <c r="AB43" s="786"/>
      <c r="AC43" s="786"/>
      <c r="AD43" s="786"/>
      <c r="AE43" s="786"/>
      <c r="AF43" s="786"/>
      <c r="AG43" s="786"/>
      <c r="AH43" s="786"/>
      <c r="AI43" s="786"/>
      <c r="AJ43" s="786"/>
      <c r="AK43" s="786"/>
      <c r="AL43" s="786"/>
      <c r="AM43" s="787">
        <f t="shared" si="0"/>
        <v>0</v>
      </c>
      <c r="AN43" s="787"/>
      <c r="AO43" s="787"/>
      <c r="AP43" s="787"/>
      <c r="AQ43" s="787"/>
      <c r="AR43" s="787"/>
      <c r="AS43" s="787"/>
      <c r="AT43" s="787"/>
      <c r="AU43" s="787"/>
      <c r="AV43" s="787"/>
      <c r="AW43" s="787"/>
      <c r="AX43" s="787"/>
      <c r="AY43" s="787"/>
      <c r="AZ43" s="787"/>
      <c r="BA43" s="787"/>
      <c r="BB43" s="787"/>
      <c r="BC43" s="787"/>
      <c r="BD43" s="787"/>
      <c r="BE43" s="787"/>
      <c r="BF43" s="787"/>
      <c r="BG43" s="787"/>
      <c r="BH43" s="787"/>
      <c r="BI43" s="787"/>
      <c r="BJ43" s="787"/>
      <c r="BK43" s="787"/>
      <c r="BL43" s="787"/>
      <c r="BM43" s="787"/>
      <c r="BN43" s="787"/>
      <c r="BO43" s="787"/>
      <c r="BP43" s="787"/>
      <c r="BQ43" s="787"/>
      <c r="BR43" s="787"/>
      <c r="BS43" s="786"/>
      <c r="BT43" s="787"/>
      <c r="BU43" s="787"/>
      <c r="BV43" s="787"/>
      <c r="BW43" s="787"/>
      <c r="BX43" s="787"/>
      <c r="BY43" s="787"/>
      <c r="BZ43" s="787"/>
      <c r="CA43" s="787"/>
      <c r="CB43" s="787"/>
      <c r="CC43" s="787"/>
      <c r="CD43" s="787"/>
      <c r="CE43" s="787"/>
      <c r="CF43" s="787"/>
      <c r="CG43" s="787"/>
      <c r="CH43" s="787"/>
      <c r="CI43" s="787"/>
      <c r="CJ43" s="787"/>
      <c r="CK43" s="787"/>
      <c r="CL43" s="787"/>
      <c r="CM43" s="787"/>
      <c r="CN43" s="787"/>
      <c r="CO43" s="787"/>
      <c r="CP43" s="787"/>
      <c r="CQ43" s="787"/>
      <c r="CR43" s="787"/>
      <c r="CS43" s="787"/>
      <c r="CT43" s="787"/>
      <c r="CU43" s="787"/>
      <c r="CV43" s="787"/>
      <c r="CW43" s="787"/>
      <c r="CX43" s="787"/>
      <c r="CY43" s="786"/>
      <c r="CZ43" s="787"/>
      <c r="DA43" s="787"/>
      <c r="DB43" s="787"/>
      <c r="DC43" s="787"/>
      <c r="DD43" s="787"/>
      <c r="DE43" s="787"/>
      <c r="DF43" s="787"/>
      <c r="DG43" s="787"/>
      <c r="DH43" s="787"/>
      <c r="DI43" s="787"/>
      <c r="DJ43" s="787"/>
      <c r="DK43" s="787"/>
      <c r="DL43" s="787"/>
      <c r="DM43" s="787"/>
      <c r="DN43" s="787"/>
      <c r="DO43" s="787"/>
      <c r="DP43" s="787"/>
      <c r="DQ43" s="787"/>
      <c r="DR43" s="787"/>
      <c r="DS43" s="787"/>
      <c r="DT43" s="787"/>
      <c r="DU43" s="787"/>
      <c r="DV43" s="787"/>
      <c r="DW43" s="787"/>
      <c r="DX43" s="787"/>
      <c r="DY43" s="787"/>
      <c r="DZ43" s="787"/>
      <c r="EA43" s="787"/>
      <c r="EB43" s="787"/>
      <c r="EC43" s="787"/>
      <c r="ED43" s="786"/>
      <c r="EE43" s="787"/>
      <c r="EF43" s="787"/>
      <c r="EG43" s="787"/>
      <c r="EH43" s="787"/>
      <c r="EI43" s="787"/>
      <c r="EJ43" s="787"/>
      <c r="EK43" s="787"/>
      <c r="EL43" s="787"/>
      <c r="EM43" s="787"/>
      <c r="EN43" s="787"/>
      <c r="EO43" s="787"/>
      <c r="EP43" s="787"/>
      <c r="EQ43" s="787"/>
      <c r="ER43" s="787"/>
      <c r="ES43" s="787"/>
      <c r="ET43" s="787"/>
      <c r="EU43" s="787"/>
      <c r="EV43" s="787"/>
      <c r="EW43" s="787"/>
      <c r="EX43" s="787"/>
      <c r="EY43" s="787"/>
      <c r="EZ43" s="787"/>
      <c r="FA43" s="787"/>
      <c r="FB43" s="787"/>
      <c r="FC43" s="787"/>
      <c r="FD43" s="787"/>
      <c r="FE43" s="787"/>
      <c r="FF43" s="787"/>
      <c r="FG43" s="787"/>
      <c r="FH43" s="787"/>
      <c r="FI43" s="787"/>
      <c r="FJ43" s="786"/>
      <c r="FK43" s="787"/>
      <c r="FL43" s="787"/>
      <c r="FM43" s="787"/>
      <c r="FN43" s="787"/>
      <c r="FO43" s="787"/>
      <c r="FP43" s="787"/>
      <c r="FQ43" s="787"/>
      <c r="FR43" s="787"/>
      <c r="FS43" s="787"/>
      <c r="FT43" s="787"/>
      <c r="FU43" s="787"/>
      <c r="FV43" s="787"/>
      <c r="FW43" s="787"/>
      <c r="FX43" s="787"/>
      <c r="FY43" s="787"/>
      <c r="FZ43" s="787"/>
      <c r="GA43" s="787"/>
      <c r="GB43" s="787"/>
      <c r="GC43" s="787"/>
      <c r="GD43" s="787"/>
      <c r="GE43" s="787"/>
      <c r="GF43" s="787"/>
      <c r="GG43" s="787"/>
      <c r="GH43" s="787"/>
      <c r="GI43" s="787"/>
      <c r="GJ43" s="787"/>
      <c r="GK43" s="787"/>
      <c r="GL43" s="787"/>
      <c r="GM43" s="787"/>
      <c r="GN43" s="787"/>
      <c r="GO43" s="786"/>
      <c r="GP43" s="787"/>
      <c r="GQ43" s="787"/>
      <c r="GR43" s="787"/>
      <c r="GS43" s="787"/>
      <c r="GT43" s="787"/>
      <c r="GU43" s="787"/>
      <c r="GV43" s="787"/>
      <c r="GW43" s="787"/>
      <c r="GX43" s="787"/>
      <c r="GY43" s="787"/>
      <c r="GZ43" s="787"/>
      <c r="HA43" s="787"/>
      <c r="HB43" s="787"/>
      <c r="HC43" s="787"/>
      <c r="HD43" s="787"/>
      <c r="HE43" s="787"/>
      <c r="HF43" s="787"/>
      <c r="HG43" s="787"/>
      <c r="HH43" s="787"/>
      <c r="HI43" s="787"/>
      <c r="HJ43" s="787"/>
      <c r="HK43" s="787"/>
      <c r="HL43" s="787"/>
      <c r="HM43" s="787"/>
      <c r="HN43" s="787"/>
      <c r="HO43" s="787"/>
      <c r="HP43" s="787"/>
      <c r="HQ43" s="787"/>
      <c r="HR43" s="787"/>
      <c r="HS43" s="787"/>
      <c r="HT43" s="787"/>
      <c r="HU43" s="786"/>
      <c r="HV43" s="792">
        <f>'vacaciones 2021'!U51</f>
        <v>30</v>
      </c>
    </row>
    <row r="44" spans="1:230" ht="31.5" customHeight="1" x14ac:dyDescent="0.3">
      <c r="A44" s="297">
        <v>36</v>
      </c>
      <c r="B44" s="807" t="s">
        <v>53</v>
      </c>
      <c r="C44" s="852" t="s">
        <v>143</v>
      </c>
      <c r="D44" s="786"/>
      <c r="E44" s="786"/>
      <c r="F44" s="786"/>
      <c r="G44" s="786"/>
      <c r="H44" s="786"/>
      <c r="I44" s="786"/>
      <c r="J44" s="786"/>
      <c r="K44" s="786"/>
      <c r="L44" s="786"/>
      <c r="M44" s="786"/>
      <c r="N44" s="786"/>
      <c r="O44" s="786"/>
      <c r="P44" s="786"/>
      <c r="Q44" s="786"/>
      <c r="R44" s="786"/>
      <c r="S44" s="786"/>
      <c r="T44" s="786"/>
      <c r="U44" s="786"/>
      <c r="V44" s="786"/>
      <c r="W44" s="786"/>
      <c r="X44" s="786"/>
      <c r="Y44" s="786"/>
      <c r="Z44" s="786"/>
      <c r="AA44" s="786"/>
      <c r="AB44" s="786"/>
      <c r="AC44" s="786"/>
      <c r="AD44" s="786"/>
      <c r="AE44" s="786"/>
      <c r="AF44" s="786"/>
      <c r="AG44" s="786"/>
      <c r="AH44" s="786"/>
      <c r="AI44" s="786"/>
      <c r="AJ44" s="786"/>
      <c r="AK44" s="786"/>
      <c r="AL44" s="786"/>
      <c r="AM44" s="787">
        <f t="shared" si="0"/>
        <v>0</v>
      </c>
      <c r="AN44" s="787"/>
      <c r="AO44" s="787"/>
      <c r="AP44" s="787"/>
      <c r="AQ44" s="787"/>
      <c r="AR44" s="787"/>
      <c r="AS44" s="787"/>
      <c r="AT44" s="787"/>
      <c r="AU44" s="787"/>
      <c r="AV44" s="787"/>
      <c r="AW44" s="787"/>
      <c r="AX44" s="787"/>
      <c r="AY44" s="787"/>
      <c r="AZ44" s="787"/>
      <c r="BA44" s="787"/>
      <c r="BB44" s="787"/>
      <c r="BC44" s="787"/>
      <c r="BD44" s="787"/>
      <c r="BE44" s="787"/>
      <c r="BF44" s="787"/>
      <c r="BG44" s="787"/>
      <c r="BH44" s="787"/>
      <c r="BI44" s="787"/>
      <c r="BJ44" s="787"/>
      <c r="BK44" s="787"/>
      <c r="BL44" s="787"/>
      <c r="BM44" s="787"/>
      <c r="BN44" s="787"/>
      <c r="BO44" s="787"/>
      <c r="BP44" s="787"/>
      <c r="BQ44" s="787"/>
      <c r="BR44" s="787"/>
      <c r="BS44" s="786"/>
      <c r="BT44" s="787"/>
      <c r="BU44" s="787"/>
      <c r="BV44" s="787"/>
      <c r="BW44" s="787"/>
      <c r="BX44" s="787"/>
      <c r="BY44" s="787"/>
      <c r="BZ44" s="787"/>
      <c r="CA44" s="787"/>
      <c r="CB44" s="787"/>
      <c r="CC44" s="787"/>
      <c r="CD44" s="787"/>
      <c r="CE44" s="787"/>
      <c r="CF44" s="787"/>
      <c r="CG44" s="787"/>
      <c r="CH44" s="787"/>
      <c r="CI44" s="787"/>
      <c r="CJ44" s="787"/>
      <c r="CK44" s="787"/>
      <c r="CL44" s="787"/>
      <c r="CM44" s="787"/>
      <c r="CN44" s="787"/>
      <c r="CO44" s="787"/>
      <c r="CP44" s="787"/>
      <c r="CQ44" s="787"/>
      <c r="CR44" s="787"/>
      <c r="CS44" s="787"/>
      <c r="CT44" s="787"/>
      <c r="CU44" s="787"/>
      <c r="CV44" s="787"/>
      <c r="CW44" s="787"/>
      <c r="CX44" s="787"/>
      <c r="CY44" s="786"/>
      <c r="CZ44" s="787"/>
      <c r="DA44" s="787"/>
      <c r="DB44" s="787"/>
      <c r="DC44" s="787"/>
      <c r="DD44" s="787"/>
      <c r="DE44" s="787"/>
      <c r="DF44" s="787"/>
      <c r="DG44" s="787"/>
      <c r="DH44" s="787"/>
      <c r="DI44" s="787"/>
      <c r="DJ44" s="787"/>
      <c r="DK44" s="787"/>
      <c r="DL44" s="787"/>
      <c r="DM44" s="787"/>
      <c r="DN44" s="787"/>
      <c r="DO44" s="787"/>
      <c r="DP44" s="787"/>
      <c r="DQ44" s="787"/>
      <c r="DR44" s="787"/>
      <c r="DS44" s="787"/>
      <c r="DT44" s="787"/>
      <c r="DU44" s="787"/>
      <c r="DV44" s="787"/>
      <c r="DW44" s="787"/>
      <c r="DX44" s="787"/>
      <c r="DY44" s="787"/>
      <c r="DZ44" s="787"/>
      <c r="EA44" s="787"/>
      <c r="EB44" s="787"/>
      <c r="EC44" s="787"/>
      <c r="ED44" s="786"/>
      <c r="EE44" s="787"/>
      <c r="EF44" s="787"/>
      <c r="EG44" s="787"/>
      <c r="EH44" s="787"/>
      <c r="EI44" s="787"/>
      <c r="EJ44" s="787"/>
      <c r="EK44" s="787"/>
      <c r="EL44" s="787"/>
      <c r="EM44" s="787"/>
      <c r="EN44" s="787"/>
      <c r="EO44" s="787"/>
      <c r="EP44" s="787"/>
      <c r="EQ44" s="787"/>
      <c r="ER44" s="787"/>
      <c r="ES44" s="787"/>
      <c r="ET44" s="787"/>
      <c r="EU44" s="787"/>
      <c r="EV44" s="787"/>
      <c r="EW44" s="787"/>
      <c r="EX44" s="787"/>
      <c r="EY44" s="787"/>
      <c r="EZ44" s="787"/>
      <c r="FA44" s="787"/>
      <c r="FB44" s="787"/>
      <c r="FC44" s="787"/>
      <c r="FD44" s="787"/>
      <c r="FE44" s="787"/>
      <c r="FF44" s="787"/>
      <c r="FG44" s="787"/>
      <c r="FH44" s="787"/>
      <c r="FI44" s="787"/>
      <c r="FJ44" s="786"/>
      <c r="FK44" s="787"/>
      <c r="FL44" s="787"/>
      <c r="FM44" s="787"/>
      <c r="FN44" s="787"/>
      <c r="FO44" s="787"/>
      <c r="FP44" s="787"/>
      <c r="FQ44" s="787"/>
      <c r="FR44" s="787"/>
      <c r="FS44" s="787"/>
      <c r="FT44" s="787"/>
      <c r="FU44" s="787"/>
      <c r="FV44" s="787"/>
      <c r="FW44" s="787"/>
      <c r="FX44" s="787"/>
      <c r="FY44" s="787"/>
      <c r="FZ44" s="787"/>
      <c r="GA44" s="787"/>
      <c r="GB44" s="787"/>
      <c r="GC44" s="787"/>
      <c r="GD44" s="787"/>
      <c r="GE44" s="787"/>
      <c r="GF44" s="787"/>
      <c r="GG44" s="787"/>
      <c r="GH44" s="787"/>
      <c r="GI44" s="787"/>
      <c r="GJ44" s="787"/>
      <c r="GK44" s="787"/>
      <c r="GL44" s="787"/>
      <c r="GM44" s="787"/>
      <c r="GN44" s="787"/>
      <c r="GO44" s="786"/>
      <c r="GP44" s="787"/>
      <c r="GQ44" s="787"/>
      <c r="GR44" s="787"/>
      <c r="GS44" s="787"/>
      <c r="GT44" s="787"/>
      <c r="GU44" s="787"/>
      <c r="GV44" s="787"/>
      <c r="GW44" s="787"/>
      <c r="GX44" s="787"/>
      <c r="GY44" s="787"/>
      <c r="GZ44" s="787"/>
      <c r="HA44" s="787"/>
      <c r="HB44" s="787"/>
      <c r="HC44" s="787"/>
      <c r="HD44" s="787"/>
      <c r="HE44" s="787"/>
      <c r="HF44" s="787"/>
      <c r="HG44" s="787"/>
      <c r="HH44" s="787"/>
      <c r="HI44" s="787"/>
      <c r="HJ44" s="787"/>
      <c r="HK44" s="787"/>
      <c r="HL44" s="787"/>
      <c r="HM44" s="787"/>
      <c r="HN44" s="787"/>
      <c r="HO44" s="787"/>
      <c r="HP44" s="787"/>
      <c r="HQ44" s="787"/>
      <c r="HR44" s="787"/>
      <c r="HS44" s="787"/>
      <c r="HT44" s="787"/>
      <c r="HU44" s="786"/>
      <c r="HV44" s="792">
        <f>'vacaciones 2021'!U52</f>
        <v>7</v>
      </c>
    </row>
    <row r="45" spans="1:230" ht="31.5" customHeight="1" x14ac:dyDescent="0.3">
      <c r="A45" s="297"/>
      <c r="B45" s="881" t="s">
        <v>448</v>
      </c>
      <c r="C45" s="882"/>
      <c r="D45" s="888"/>
      <c r="E45" s="889"/>
      <c r="F45" s="889"/>
      <c r="G45" s="889"/>
      <c r="H45" s="889"/>
      <c r="I45" s="889"/>
      <c r="J45" s="889"/>
      <c r="K45" s="889"/>
      <c r="L45" s="889"/>
      <c r="M45" s="889"/>
      <c r="N45" s="889"/>
      <c r="O45" s="889"/>
      <c r="P45" s="889"/>
      <c r="Q45" s="889"/>
      <c r="R45" s="889"/>
      <c r="S45" s="889"/>
      <c r="T45" s="889"/>
      <c r="U45" s="889"/>
      <c r="V45" s="889"/>
      <c r="W45" s="889"/>
      <c r="X45" s="889"/>
      <c r="Y45" s="889"/>
      <c r="Z45" s="889"/>
      <c r="AA45" s="889"/>
      <c r="AB45" s="889"/>
      <c r="AC45" s="889"/>
      <c r="AD45" s="889"/>
      <c r="AE45" s="889"/>
      <c r="AF45" s="889"/>
      <c r="AG45" s="889"/>
      <c r="AH45" s="889"/>
      <c r="AI45" s="889"/>
      <c r="AJ45" s="889"/>
      <c r="AK45" s="889"/>
      <c r="AL45" s="889"/>
      <c r="AM45" s="895"/>
      <c r="AN45" s="895"/>
      <c r="AO45" s="895"/>
      <c r="AP45" s="895"/>
      <c r="AQ45" s="895"/>
      <c r="AR45" s="895"/>
      <c r="AS45" s="895"/>
      <c r="AT45" s="895"/>
      <c r="AU45" s="895"/>
      <c r="AV45" s="895"/>
      <c r="AW45" s="895"/>
      <c r="AX45" s="895"/>
      <c r="AY45" s="895"/>
      <c r="AZ45" s="895"/>
      <c r="BA45" s="895"/>
      <c r="BB45" s="895"/>
      <c r="BC45" s="895"/>
      <c r="BD45" s="895"/>
      <c r="BE45" s="895"/>
      <c r="BF45" s="895"/>
      <c r="BG45" s="895"/>
      <c r="BH45" s="895"/>
      <c r="BI45" s="895"/>
      <c r="BJ45" s="895"/>
      <c r="BK45" s="895"/>
      <c r="BL45" s="895"/>
      <c r="BM45" s="895"/>
      <c r="BN45" s="895"/>
      <c r="BO45" s="895"/>
      <c r="BP45" s="895"/>
      <c r="BQ45" s="895"/>
      <c r="BR45" s="895"/>
      <c r="BS45" s="889"/>
      <c r="BT45" s="895"/>
      <c r="BU45" s="895"/>
      <c r="BV45" s="895"/>
      <c r="BW45" s="895"/>
      <c r="BX45" s="895"/>
      <c r="BY45" s="895"/>
      <c r="BZ45" s="895"/>
      <c r="CA45" s="895"/>
      <c r="CB45" s="895"/>
      <c r="CC45" s="895"/>
      <c r="CD45" s="895"/>
      <c r="CE45" s="895"/>
      <c r="CF45" s="895"/>
      <c r="CG45" s="895"/>
      <c r="CH45" s="895"/>
      <c r="CI45" s="895"/>
      <c r="CJ45" s="895"/>
      <c r="CK45" s="895"/>
      <c r="CL45" s="895"/>
      <c r="CM45" s="895"/>
      <c r="CN45" s="895"/>
      <c r="CO45" s="895"/>
      <c r="CP45" s="895"/>
      <c r="CQ45" s="895"/>
      <c r="CR45" s="895"/>
      <c r="CS45" s="895"/>
      <c r="CT45" s="895"/>
      <c r="CU45" s="895"/>
      <c r="CV45" s="895"/>
      <c r="CW45" s="895"/>
      <c r="CX45" s="895"/>
      <c r="CY45" s="889"/>
      <c r="CZ45" s="895"/>
      <c r="DA45" s="895"/>
      <c r="DB45" s="895"/>
      <c r="DC45" s="895"/>
      <c r="DD45" s="895"/>
      <c r="DE45" s="895"/>
      <c r="DF45" s="895"/>
      <c r="DG45" s="895"/>
      <c r="DH45" s="895"/>
      <c r="DI45" s="895"/>
      <c r="DJ45" s="895"/>
      <c r="DK45" s="895"/>
      <c r="DL45" s="895"/>
      <c r="DM45" s="895"/>
      <c r="DN45" s="895"/>
      <c r="DO45" s="895"/>
      <c r="DP45" s="895"/>
      <c r="DQ45" s="895"/>
      <c r="DR45" s="895"/>
      <c r="DS45" s="895"/>
      <c r="DT45" s="895"/>
      <c r="DU45" s="895"/>
      <c r="DV45" s="895"/>
      <c r="DW45" s="895"/>
      <c r="DX45" s="895"/>
      <c r="DY45" s="895"/>
      <c r="DZ45" s="895"/>
      <c r="EA45" s="895"/>
      <c r="EB45" s="895"/>
      <c r="EC45" s="895"/>
      <c r="ED45" s="889"/>
      <c r="EE45" s="895"/>
      <c r="EF45" s="895"/>
      <c r="EG45" s="895"/>
      <c r="EH45" s="895"/>
      <c r="EI45" s="895"/>
      <c r="EJ45" s="895"/>
      <c r="EK45" s="895"/>
      <c r="EL45" s="895"/>
      <c r="EM45" s="895"/>
      <c r="EN45" s="895"/>
      <c r="EO45" s="895"/>
      <c r="EP45" s="895"/>
      <c r="EQ45" s="895"/>
      <c r="ER45" s="895"/>
      <c r="ES45" s="895"/>
      <c r="ET45" s="895"/>
      <c r="EU45" s="895"/>
      <c r="EV45" s="895"/>
      <c r="EW45" s="895"/>
      <c r="EX45" s="895"/>
      <c r="EY45" s="895"/>
      <c r="EZ45" s="895"/>
      <c r="FA45" s="895"/>
      <c r="FB45" s="895"/>
      <c r="FC45" s="895"/>
      <c r="FD45" s="895"/>
      <c r="FE45" s="895"/>
      <c r="FF45" s="895"/>
      <c r="FG45" s="895"/>
      <c r="FH45" s="895"/>
      <c r="FI45" s="895"/>
      <c r="FJ45" s="889"/>
      <c r="FK45" s="895"/>
      <c r="FL45" s="895"/>
      <c r="FM45" s="895"/>
      <c r="FN45" s="895"/>
      <c r="FO45" s="895"/>
      <c r="FP45" s="895"/>
      <c r="FQ45" s="895"/>
      <c r="FR45" s="895"/>
      <c r="FS45" s="895"/>
      <c r="FT45" s="895"/>
      <c r="FU45" s="895"/>
      <c r="FV45" s="895"/>
      <c r="FW45" s="895"/>
      <c r="FX45" s="895"/>
      <c r="FY45" s="895"/>
      <c r="FZ45" s="895"/>
      <c r="GA45" s="895"/>
      <c r="GB45" s="895"/>
      <c r="GC45" s="895"/>
      <c r="GD45" s="895"/>
      <c r="GE45" s="895"/>
      <c r="GF45" s="895"/>
      <c r="GG45" s="895"/>
      <c r="GH45" s="895"/>
      <c r="GI45" s="895"/>
      <c r="GJ45" s="895"/>
      <c r="GK45" s="895"/>
      <c r="GL45" s="895"/>
      <c r="GM45" s="895"/>
      <c r="GN45" s="895"/>
      <c r="GO45" s="889"/>
      <c r="GP45" s="895"/>
      <c r="GQ45" s="895"/>
      <c r="GR45" s="895"/>
      <c r="GS45" s="895"/>
      <c r="GT45" s="895"/>
      <c r="GU45" s="895"/>
      <c r="GV45" s="895"/>
      <c r="GW45" s="895"/>
      <c r="GX45" s="895"/>
      <c r="GY45" s="895"/>
      <c r="GZ45" s="895"/>
      <c r="HA45" s="895"/>
      <c r="HB45" s="895"/>
      <c r="HC45" s="895"/>
      <c r="HD45" s="895"/>
      <c r="HE45" s="895"/>
      <c r="HF45" s="895"/>
      <c r="HG45" s="895"/>
      <c r="HH45" s="895"/>
      <c r="HI45" s="895"/>
      <c r="HJ45" s="895"/>
      <c r="HK45" s="895"/>
      <c r="HL45" s="895"/>
      <c r="HM45" s="895"/>
      <c r="HN45" s="895"/>
      <c r="HO45" s="895"/>
      <c r="HP45" s="895"/>
      <c r="HQ45" s="895"/>
      <c r="HR45" s="895"/>
      <c r="HS45" s="895"/>
      <c r="HT45" s="895"/>
      <c r="HU45" s="889"/>
      <c r="HV45" s="883"/>
    </row>
    <row r="46" spans="1:230" ht="31.5" customHeight="1" x14ac:dyDescent="0.3">
      <c r="A46" s="297">
        <v>37</v>
      </c>
      <c r="B46" s="884" t="s">
        <v>56</v>
      </c>
      <c r="C46" s="860" t="s">
        <v>438</v>
      </c>
      <c r="D46" s="786"/>
      <c r="E46" s="786"/>
      <c r="F46" s="786"/>
      <c r="G46" s="786"/>
      <c r="H46" s="786"/>
      <c r="I46" s="786"/>
      <c r="J46" s="786"/>
      <c r="K46" s="786"/>
      <c r="L46" s="891">
        <v>1</v>
      </c>
      <c r="M46" s="786"/>
      <c r="N46" s="786"/>
      <c r="O46" s="786"/>
      <c r="P46" s="786"/>
      <c r="Q46" s="786"/>
      <c r="R46" s="786"/>
      <c r="S46" s="786"/>
      <c r="T46" s="786"/>
      <c r="U46" s="786"/>
      <c r="V46" s="786"/>
      <c r="W46" s="786"/>
      <c r="X46" s="786"/>
      <c r="Y46" s="897">
        <v>1</v>
      </c>
      <c r="Z46" s="897">
        <v>1</v>
      </c>
      <c r="AA46" s="897">
        <v>1</v>
      </c>
      <c r="AB46" s="897">
        <v>1</v>
      </c>
      <c r="AC46" s="897">
        <v>1</v>
      </c>
      <c r="AD46" s="897">
        <v>1</v>
      </c>
      <c r="AE46" s="897">
        <v>1</v>
      </c>
      <c r="AF46" s="897">
        <v>1</v>
      </c>
      <c r="AG46" s="897">
        <v>1</v>
      </c>
      <c r="AH46" s="897">
        <v>1</v>
      </c>
      <c r="AI46" s="897">
        <v>1</v>
      </c>
      <c r="AJ46" s="897">
        <v>1</v>
      </c>
      <c r="AK46" s="897">
        <v>1</v>
      </c>
      <c r="AL46" s="897">
        <v>1</v>
      </c>
      <c r="AM46" s="787">
        <f t="shared" si="0"/>
        <v>15</v>
      </c>
      <c r="AN46" s="787"/>
      <c r="AO46" s="787"/>
      <c r="AP46" s="787"/>
      <c r="AQ46" s="787"/>
      <c r="AR46" s="787"/>
      <c r="AS46" s="787"/>
      <c r="AT46" s="787"/>
      <c r="AU46" s="787"/>
      <c r="AV46" s="787"/>
      <c r="AW46" s="787"/>
      <c r="AX46" s="787"/>
      <c r="AY46" s="787"/>
      <c r="AZ46" s="787"/>
      <c r="BA46" s="787"/>
      <c r="BB46" s="787"/>
      <c r="BC46" s="787"/>
      <c r="BD46" s="787">
        <v>1</v>
      </c>
      <c r="BE46" s="787">
        <v>1</v>
      </c>
      <c r="BF46" s="787">
        <v>1</v>
      </c>
      <c r="BG46" s="787">
        <v>1</v>
      </c>
      <c r="BH46" s="787">
        <v>1</v>
      </c>
      <c r="BI46" s="787">
        <v>1</v>
      </c>
      <c r="BJ46" s="787">
        <v>1</v>
      </c>
      <c r="BK46" s="787">
        <v>1</v>
      </c>
      <c r="BL46" s="787">
        <v>1</v>
      </c>
      <c r="BM46" s="787">
        <v>1</v>
      </c>
      <c r="BN46" s="787">
        <v>1</v>
      </c>
      <c r="BO46" s="787">
        <v>1</v>
      </c>
      <c r="BP46" s="787">
        <v>1</v>
      </c>
      <c r="BQ46" s="787">
        <v>1</v>
      </c>
      <c r="BR46" s="787"/>
      <c r="BS46" s="786"/>
      <c r="BT46" s="787"/>
      <c r="BU46" s="787"/>
      <c r="BV46" s="787"/>
      <c r="BW46" s="787"/>
      <c r="BX46" s="787"/>
      <c r="BY46" s="787"/>
      <c r="BZ46" s="787"/>
      <c r="CA46" s="787"/>
      <c r="CB46" s="787"/>
      <c r="CC46" s="787"/>
      <c r="CD46" s="787"/>
      <c r="CE46" s="787"/>
      <c r="CF46" s="787"/>
      <c r="CG46" s="787"/>
      <c r="CH46" s="787"/>
      <c r="CI46" s="787"/>
      <c r="CJ46" s="787"/>
      <c r="CK46" s="787"/>
      <c r="CL46" s="787"/>
      <c r="CM46" s="787"/>
      <c r="CN46" s="787"/>
      <c r="CO46" s="787"/>
      <c r="CP46" s="787"/>
      <c r="CQ46" s="787"/>
      <c r="CR46" s="787"/>
      <c r="CS46" s="787"/>
      <c r="CT46" s="787"/>
      <c r="CU46" s="787"/>
      <c r="CV46" s="787"/>
      <c r="CW46" s="787"/>
      <c r="CX46" s="787"/>
      <c r="CY46" s="786"/>
      <c r="CZ46" s="787"/>
      <c r="DA46" s="787"/>
      <c r="DB46" s="787"/>
      <c r="DC46" s="787"/>
      <c r="DD46" s="787"/>
      <c r="DE46" s="787"/>
      <c r="DF46" s="787"/>
      <c r="DG46" s="787"/>
      <c r="DH46" s="787"/>
      <c r="DI46" s="787"/>
      <c r="DJ46" s="787"/>
      <c r="DK46" s="787"/>
      <c r="DL46" s="787"/>
      <c r="DM46" s="787"/>
      <c r="DN46" s="787"/>
      <c r="DO46" s="787"/>
      <c r="DP46" s="787"/>
      <c r="DQ46" s="787"/>
      <c r="DR46" s="787"/>
      <c r="DS46" s="787"/>
      <c r="DT46" s="787"/>
      <c r="DU46" s="787"/>
      <c r="DV46" s="787"/>
      <c r="DW46" s="787"/>
      <c r="DX46" s="787"/>
      <c r="DY46" s="787"/>
      <c r="DZ46" s="787"/>
      <c r="EA46" s="787"/>
      <c r="EB46" s="787"/>
      <c r="EC46" s="787"/>
      <c r="ED46" s="786"/>
      <c r="EE46" s="787"/>
      <c r="EF46" s="787"/>
      <c r="EG46" s="787"/>
      <c r="EH46" s="787"/>
      <c r="EI46" s="787"/>
      <c r="EJ46" s="787"/>
      <c r="EK46" s="787"/>
      <c r="EL46" s="787"/>
      <c r="EM46" s="787"/>
      <c r="EN46" s="787"/>
      <c r="EO46" s="787"/>
      <c r="EP46" s="787"/>
      <c r="EQ46" s="787"/>
      <c r="ER46" s="787"/>
      <c r="ES46" s="787"/>
      <c r="ET46" s="787"/>
      <c r="EU46" s="787"/>
      <c r="EV46" s="787"/>
      <c r="EW46" s="787"/>
      <c r="EX46" s="787"/>
      <c r="EY46" s="787"/>
      <c r="EZ46" s="787"/>
      <c r="FA46" s="787"/>
      <c r="FB46" s="787"/>
      <c r="FC46" s="787"/>
      <c r="FD46" s="787"/>
      <c r="FE46" s="787"/>
      <c r="FF46" s="787"/>
      <c r="FG46" s="787"/>
      <c r="FH46" s="787"/>
      <c r="FI46" s="787"/>
      <c r="FJ46" s="786"/>
      <c r="FK46" s="787"/>
      <c r="FL46" s="787"/>
      <c r="FM46" s="787"/>
      <c r="FN46" s="787"/>
      <c r="FO46" s="787"/>
      <c r="FP46" s="787"/>
      <c r="FQ46" s="787"/>
      <c r="FR46" s="787"/>
      <c r="FS46" s="787"/>
      <c r="FT46" s="787"/>
      <c r="FU46" s="787"/>
      <c r="FV46" s="787"/>
      <c r="FW46" s="787"/>
      <c r="FX46" s="787"/>
      <c r="FY46" s="787"/>
      <c r="FZ46" s="787"/>
      <c r="GA46" s="787"/>
      <c r="GB46" s="787"/>
      <c r="GC46" s="787"/>
      <c r="GD46" s="787"/>
      <c r="GE46" s="787"/>
      <c r="GF46" s="787"/>
      <c r="GG46" s="787"/>
      <c r="GH46" s="787"/>
      <c r="GI46" s="787"/>
      <c r="GJ46" s="787"/>
      <c r="GK46" s="787"/>
      <c r="GL46" s="787"/>
      <c r="GM46" s="787"/>
      <c r="GN46" s="787"/>
      <c r="GO46" s="786"/>
      <c r="GP46" s="787"/>
      <c r="GQ46" s="787"/>
      <c r="GR46" s="787"/>
      <c r="GS46" s="787"/>
      <c r="GT46" s="787"/>
      <c r="GU46" s="787"/>
      <c r="GV46" s="787"/>
      <c r="GW46" s="787"/>
      <c r="GX46" s="787"/>
      <c r="GY46" s="787"/>
      <c r="GZ46" s="787"/>
      <c r="HA46" s="787"/>
      <c r="HB46" s="787"/>
      <c r="HC46" s="787"/>
      <c r="HD46" s="787"/>
      <c r="HE46" s="787"/>
      <c r="HF46" s="787"/>
      <c r="HG46" s="787"/>
      <c r="HH46" s="787"/>
      <c r="HI46" s="787"/>
      <c r="HJ46" s="787"/>
      <c r="HK46" s="787"/>
      <c r="HL46" s="787"/>
      <c r="HM46" s="787"/>
      <c r="HN46" s="787"/>
      <c r="HO46" s="787"/>
      <c r="HP46" s="787"/>
      <c r="HQ46" s="787"/>
      <c r="HR46" s="787"/>
      <c r="HS46" s="787"/>
      <c r="HT46" s="787"/>
      <c r="HU46" s="786"/>
      <c r="HV46" s="792">
        <f>'vacaciones 2021'!U55</f>
        <v>76</v>
      </c>
    </row>
    <row r="47" spans="1:230" ht="31.5" customHeight="1" x14ac:dyDescent="0.3">
      <c r="A47" s="297"/>
      <c r="B47" s="881" t="s">
        <v>452</v>
      </c>
      <c r="C47" s="882"/>
      <c r="D47" s="888"/>
      <c r="E47" s="889"/>
      <c r="F47" s="889"/>
      <c r="G47" s="889"/>
      <c r="H47" s="889"/>
      <c r="I47" s="889"/>
      <c r="J47" s="889"/>
      <c r="K47" s="889"/>
      <c r="L47" s="889"/>
      <c r="M47" s="889"/>
      <c r="N47" s="889"/>
      <c r="O47" s="889"/>
      <c r="P47" s="889"/>
      <c r="Q47" s="889"/>
      <c r="R47" s="889"/>
      <c r="S47" s="889"/>
      <c r="T47" s="889"/>
      <c r="U47" s="889"/>
      <c r="V47" s="889"/>
      <c r="W47" s="889"/>
      <c r="X47" s="889"/>
      <c r="Y47" s="889"/>
      <c r="Z47" s="889"/>
      <c r="AA47" s="889"/>
      <c r="AB47" s="889"/>
      <c r="AC47" s="889"/>
      <c r="AD47" s="889"/>
      <c r="AE47" s="889"/>
      <c r="AF47" s="889"/>
      <c r="AG47" s="889"/>
      <c r="AH47" s="889"/>
      <c r="AI47" s="889"/>
      <c r="AJ47" s="889"/>
      <c r="AK47" s="889"/>
      <c r="AL47" s="889"/>
      <c r="AM47" s="895"/>
      <c r="AN47" s="895"/>
      <c r="AO47" s="895"/>
      <c r="AP47" s="895"/>
      <c r="AQ47" s="895"/>
      <c r="AR47" s="895"/>
      <c r="AS47" s="895"/>
      <c r="AT47" s="895"/>
      <c r="AU47" s="895"/>
      <c r="AV47" s="895"/>
      <c r="AW47" s="895"/>
      <c r="AX47" s="895"/>
      <c r="AY47" s="895"/>
      <c r="AZ47" s="895"/>
      <c r="BA47" s="895"/>
      <c r="BB47" s="895"/>
      <c r="BC47" s="895"/>
      <c r="BD47" s="895"/>
      <c r="BE47" s="895"/>
      <c r="BF47" s="895"/>
      <c r="BG47" s="895"/>
      <c r="BH47" s="895"/>
      <c r="BI47" s="895"/>
      <c r="BJ47" s="895"/>
      <c r="BK47" s="895"/>
      <c r="BL47" s="895"/>
      <c r="BM47" s="895"/>
      <c r="BN47" s="895"/>
      <c r="BO47" s="895"/>
      <c r="BP47" s="895"/>
      <c r="BQ47" s="895"/>
      <c r="BR47" s="895"/>
      <c r="BS47" s="889"/>
      <c r="BT47" s="895"/>
      <c r="BU47" s="895"/>
      <c r="BV47" s="895"/>
      <c r="BW47" s="895"/>
      <c r="BX47" s="895"/>
      <c r="BY47" s="895"/>
      <c r="BZ47" s="895"/>
      <c r="CA47" s="895"/>
      <c r="CB47" s="895"/>
      <c r="CC47" s="895"/>
      <c r="CD47" s="895"/>
      <c r="CE47" s="895"/>
      <c r="CF47" s="895"/>
      <c r="CG47" s="895"/>
      <c r="CH47" s="895"/>
      <c r="CI47" s="895"/>
      <c r="CJ47" s="895"/>
      <c r="CK47" s="895"/>
      <c r="CL47" s="895"/>
      <c r="CM47" s="895"/>
      <c r="CN47" s="895"/>
      <c r="CO47" s="895"/>
      <c r="CP47" s="895"/>
      <c r="CQ47" s="895"/>
      <c r="CR47" s="895"/>
      <c r="CS47" s="895"/>
      <c r="CT47" s="895"/>
      <c r="CU47" s="895"/>
      <c r="CV47" s="895"/>
      <c r="CW47" s="895"/>
      <c r="CX47" s="895"/>
      <c r="CY47" s="889"/>
      <c r="CZ47" s="895"/>
      <c r="DA47" s="895"/>
      <c r="DB47" s="895"/>
      <c r="DC47" s="895"/>
      <c r="DD47" s="895"/>
      <c r="DE47" s="895"/>
      <c r="DF47" s="895"/>
      <c r="DG47" s="895"/>
      <c r="DH47" s="895"/>
      <c r="DI47" s="895"/>
      <c r="DJ47" s="895"/>
      <c r="DK47" s="895"/>
      <c r="DL47" s="895"/>
      <c r="DM47" s="895"/>
      <c r="DN47" s="895"/>
      <c r="DO47" s="895"/>
      <c r="DP47" s="895"/>
      <c r="DQ47" s="895"/>
      <c r="DR47" s="895"/>
      <c r="DS47" s="895"/>
      <c r="DT47" s="895"/>
      <c r="DU47" s="895"/>
      <c r="DV47" s="895"/>
      <c r="DW47" s="895"/>
      <c r="DX47" s="895"/>
      <c r="DY47" s="895"/>
      <c r="DZ47" s="895"/>
      <c r="EA47" s="895"/>
      <c r="EB47" s="895"/>
      <c r="EC47" s="895"/>
      <c r="ED47" s="889"/>
      <c r="EE47" s="895"/>
      <c r="EF47" s="895"/>
      <c r="EG47" s="895"/>
      <c r="EH47" s="895"/>
      <c r="EI47" s="895"/>
      <c r="EJ47" s="895"/>
      <c r="EK47" s="895"/>
      <c r="EL47" s="895"/>
      <c r="EM47" s="895"/>
      <c r="EN47" s="895"/>
      <c r="EO47" s="895"/>
      <c r="EP47" s="895"/>
      <c r="EQ47" s="895"/>
      <c r="ER47" s="895"/>
      <c r="ES47" s="895"/>
      <c r="ET47" s="895"/>
      <c r="EU47" s="895"/>
      <c r="EV47" s="895"/>
      <c r="EW47" s="895"/>
      <c r="EX47" s="895"/>
      <c r="EY47" s="895"/>
      <c r="EZ47" s="895"/>
      <c r="FA47" s="895"/>
      <c r="FB47" s="895"/>
      <c r="FC47" s="895"/>
      <c r="FD47" s="895"/>
      <c r="FE47" s="895"/>
      <c r="FF47" s="895"/>
      <c r="FG47" s="895"/>
      <c r="FH47" s="895"/>
      <c r="FI47" s="895"/>
      <c r="FJ47" s="889"/>
      <c r="FK47" s="895"/>
      <c r="FL47" s="895"/>
      <c r="FM47" s="895"/>
      <c r="FN47" s="895"/>
      <c r="FO47" s="895"/>
      <c r="FP47" s="895"/>
      <c r="FQ47" s="895"/>
      <c r="FR47" s="895"/>
      <c r="FS47" s="895"/>
      <c r="FT47" s="895"/>
      <c r="FU47" s="895"/>
      <c r="FV47" s="895"/>
      <c r="FW47" s="895"/>
      <c r="FX47" s="895"/>
      <c r="FY47" s="895"/>
      <c r="FZ47" s="895"/>
      <c r="GA47" s="895"/>
      <c r="GB47" s="895"/>
      <c r="GC47" s="895"/>
      <c r="GD47" s="895"/>
      <c r="GE47" s="895"/>
      <c r="GF47" s="895"/>
      <c r="GG47" s="895"/>
      <c r="GH47" s="895"/>
      <c r="GI47" s="895"/>
      <c r="GJ47" s="895"/>
      <c r="GK47" s="895"/>
      <c r="GL47" s="895"/>
      <c r="GM47" s="895"/>
      <c r="GN47" s="895"/>
      <c r="GO47" s="889"/>
      <c r="GP47" s="895"/>
      <c r="GQ47" s="895"/>
      <c r="GR47" s="895"/>
      <c r="GS47" s="895"/>
      <c r="GT47" s="895"/>
      <c r="GU47" s="895"/>
      <c r="GV47" s="895"/>
      <c r="GW47" s="895"/>
      <c r="GX47" s="895"/>
      <c r="GY47" s="895"/>
      <c r="GZ47" s="895"/>
      <c r="HA47" s="895"/>
      <c r="HB47" s="895"/>
      <c r="HC47" s="895"/>
      <c r="HD47" s="895"/>
      <c r="HE47" s="895"/>
      <c r="HF47" s="895"/>
      <c r="HG47" s="895"/>
      <c r="HH47" s="895"/>
      <c r="HI47" s="895"/>
      <c r="HJ47" s="895"/>
      <c r="HK47" s="895"/>
      <c r="HL47" s="895"/>
      <c r="HM47" s="895"/>
      <c r="HN47" s="895"/>
      <c r="HO47" s="895"/>
      <c r="HP47" s="895"/>
      <c r="HQ47" s="895"/>
      <c r="HR47" s="895"/>
      <c r="HS47" s="895"/>
      <c r="HT47" s="895"/>
      <c r="HU47" s="889"/>
      <c r="HV47" s="883"/>
    </row>
    <row r="48" spans="1:230" ht="31.5" customHeight="1" x14ac:dyDescent="0.3">
      <c r="A48" s="297">
        <v>38</v>
      </c>
      <c r="B48" s="884" t="s">
        <v>59</v>
      </c>
      <c r="C48" s="806" t="s">
        <v>440</v>
      </c>
      <c r="D48" s="786"/>
      <c r="E48" s="786"/>
      <c r="F48" s="786"/>
      <c r="G48" s="786"/>
      <c r="H48" s="786"/>
      <c r="I48" s="786"/>
      <c r="J48" s="786"/>
      <c r="K48" s="786"/>
      <c r="L48" s="786"/>
      <c r="M48" s="786"/>
      <c r="N48" s="786"/>
      <c r="O48" s="786"/>
      <c r="P48" s="786"/>
      <c r="Q48" s="786"/>
      <c r="R48" s="786"/>
      <c r="S48" s="786"/>
      <c r="T48" s="786"/>
      <c r="U48" s="786"/>
      <c r="V48" s="786"/>
      <c r="W48" s="786"/>
      <c r="X48" s="786"/>
      <c r="Y48" s="786"/>
      <c r="Z48" s="786"/>
      <c r="AA48" s="786"/>
      <c r="AB48" s="786"/>
      <c r="AC48" s="897">
        <v>1</v>
      </c>
      <c r="AD48" s="897">
        <v>1</v>
      </c>
      <c r="AE48" s="897">
        <v>1</v>
      </c>
      <c r="AF48" s="897">
        <v>1</v>
      </c>
      <c r="AG48" s="897">
        <v>1</v>
      </c>
      <c r="AH48" s="897">
        <v>1</v>
      </c>
      <c r="AI48" s="897">
        <v>1</v>
      </c>
      <c r="AJ48" s="897">
        <v>1</v>
      </c>
      <c r="AK48" s="897">
        <v>1</v>
      </c>
      <c r="AL48" s="897">
        <v>1</v>
      </c>
      <c r="AM48" s="787">
        <f t="shared" si="0"/>
        <v>10</v>
      </c>
      <c r="AN48" s="898">
        <v>1</v>
      </c>
      <c r="AO48" s="898">
        <v>1</v>
      </c>
      <c r="AP48" s="898">
        <v>1</v>
      </c>
      <c r="AQ48" s="898">
        <v>1</v>
      </c>
      <c r="AR48" s="898">
        <v>1</v>
      </c>
      <c r="AS48" s="898">
        <v>1</v>
      </c>
      <c r="AT48" s="898">
        <v>1</v>
      </c>
      <c r="AU48" s="898">
        <v>1</v>
      </c>
      <c r="AV48" s="898">
        <v>1</v>
      </c>
      <c r="AW48" s="898">
        <v>1</v>
      </c>
      <c r="AX48" s="898">
        <v>1</v>
      </c>
      <c r="AY48" s="898">
        <v>1</v>
      </c>
      <c r="AZ48" s="898">
        <v>1</v>
      </c>
      <c r="BA48" s="898">
        <v>1</v>
      </c>
      <c r="BB48" s="898">
        <v>1</v>
      </c>
      <c r="BC48" s="898">
        <v>1</v>
      </c>
      <c r="BD48" s="898">
        <v>1</v>
      </c>
      <c r="BE48" s="898">
        <v>1</v>
      </c>
      <c r="BF48" s="898">
        <v>1</v>
      </c>
      <c r="BG48" s="898">
        <v>1</v>
      </c>
      <c r="BH48" s="787">
        <v>1</v>
      </c>
      <c r="BI48" s="787">
        <v>1</v>
      </c>
      <c r="BJ48" s="787">
        <v>1</v>
      </c>
      <c r="BK48" s="787">
        <v>1</v>
      </c>
      <c r="BL48" s="787">
        <v>1</v>
      </c>
      <c r="BM48" s="787">
        <v>1</v>
      </c>
      <c r="BN48" s="787">
        <v>1</v>
      </c>
      <c r="BO48" s="787">
        <v>1</v>
      </c>
      <c r="BP48" s="787">
        <v>1</v>
      </c>
      <c r="BQ48" s="787">
        <v>1</v>
      </c>
      <c r="BR48" s="787">
        <v>1</v>
      </c>
      <c r="BS48" s="786"/>
      <c r="BT48" s="787">
        <v>1</v>
      </c>
      <c r="BU48" s="787">
        <v>1</v>
      </c>
      <c r="BV48" s="787">
        <v>1</v>
      </c>
      <c r="BW48" s="787">
        <v>1</v>
      </c>
      <c r="BX48" s="787">
        <v>1</v>
      </c>
      <c r="BY48" s="787">
        <v>1</v>
      </c>
      <c r="BZ48" s="787">
        <v>1</v>
      </c>
      <c r="CA48" s="787">
        <v>1</v>
      </c>
      <c r="CB48" s="787">
        <v>1</v>
      </c>
      <c r="CC48" s="787">
        <v>1</v>
      </c>
      <c r="CD48" s="787">
        <v>1</v>
      </c>
      <c r="CE48" s="787">
        <v>1</v>
      </c>
      <c r="CF48" s="787">
        <v>1</v>
      </c>
      <c r="CG48" s="787">
        <v>1</v>
      </c>
      <c r="CH48" s="787">
        <v>1</v>
      </c>
      <c r="CI48" s="787">
        <v>1</v>
      </c>
      <c r="CJ48" s="787">
        <v>1</v>
      </c>
      <c r="CK48" s="787">
        <v>1</v>
      </c>
      <c r="CL48" s="787">
        <v>1</v>
      </c>
      <c r="CM48" s="787">
        <v>1</v>
      </c>
      <c r="CN48" s="787">
        <v>1</v>
      </c>
      <c r="CO48" s="787">
        <v>1</v>
      </c>
      <c r="CP48" s="787">
        <v>1</v>
      </c>
      <c r="CQ48" s="787">
        <v>1</v>
      </c>
      <c r="CR48" s="787">
        <v>1</v>
      </c>
      <c r="CS48" s="787">
        <v>1</v>
      </c>
      <c r="CT48" s="787">
        <v>1</v>
      </c>
      <c r="CU48" s="787">
        <v>1</v>
      </c>
      <c r="CV48" s="787">
        <v>1</v>
      </c>
      <c r="CW48" s="787">
        <v>1</v>
      </c>
      <c r="CX48" s="787">
        <v>1</v>
      </c>
      <c r="CY48" s="786"/>
      <c r="CZ48" s="787"/>
      <c r="DA48" s="787"/>
      <c r="DB48" s="787"/>
      <c r="DC48" s="787"/>
      <c r="DD48" s="787"/>
      <c r="DE48" s="787"/>
      <c r="DF48" s="787"/>
      <c r="DG48" s="787"/>
      <c r="DH48" s="787"/>
      <c r="DI48" s="787"/>
      <c r="DJ48" s="787"/>
      <c r="DK48" s="787"/>
      <c r="DL48" s="787"/>
      <c r="DM48" s="787"/>
      <c r="DN48" s="787"/>
      <c r="DO48" s="787"/>
      <c r="DP48" s="787"/>
      <c r="DQ48" s="787"/>
      <c r="DR48" s="787"/>
      <c r="DS48" s="787"/>
      <c r="DT48" s="787"/>
      <c r="DU48" s="787"/>
      <c r="DV48" s="787"/>
      <c r="DW48" s="787"/>
      <c r="DX48" s="787"/>
      <c r="DY48" s="787"/>
      <c r="DZ48" s="787"/>
      <c r="EA48" s="787"/>
      <c r="EB48" s="787"/>
      <c r="EC48" s="787"/>
      <c r="ED48" s="786"/>
      <c r="EE48" s="787"/>
      <c r="EF48" s="787"/>
      <c r="EG48" s="787"/>
      <c r="EH48" s="787"/>
      <c r="EI48" s="787"/>
      <c r="EJ48" s="787"/>
      <c r="EK48" s="787"/>
      <c r="EL48" s="787"/>
      <c r="EM48" s="787"/>
      <c r="EN48" s="787"/>
      <c r="EO48" s="787"/>
      <c r="EP48" s="787"/>
      <c r="EQ48" s="787"/>
      <c r="ER48" s="787"/>
      <c r="ES48" s="787"/>
      <c r="ET48" s="787"/>
      <c r="EU48" s="787"/>
      <c r="EV48" s="787"/>
      <c r="EW48" s="787"/>
      <c r="EX48" s="787"/>
      <c r="EY48" s="787"/>
      <c r="EZ48" s="787"/>
      <c r="FA48" s="787"/>
      <c r="FB48" s="787"/>
      <c r="FC48" s="787"/>
      <c r="FD48" s="787"/>
      <c r="FE48" s="787"/>
      <c r="FF48" s="787"/>
      <c r="FG48" s="787"/>
      <c r="FH48" s="787"/>
      <c r="FI48" s="787"/>
      <c r="FJ48" s="786"/>
      <c r="FK48" s="787"/>
      <c r="FL48" s="787"/>
      <c r="FM48" s="787"/>
      <c r="FN48" s="787"/>
      <c r="FO48" s="787"/>
      <c r="FP48" s="787"/>
      <c r="FQ48" s="787"/>
      <c r="FR48" s="787"/>
      <c r="FS48" s="787"/>
      <c r="FT48" s="787"/>
      <c r="FU48" s="787"/>
      <c r="FV48" s="787"/>
      <c r="FW48" s="787"/>
      <c r="FX48" s="787"/>
      <c r="FY48" s="787"/>
      <c r="FZ48" s="787"/>
      <c r="GA48" s="787"/>
      <c r="GB48" s="787"/>
      <c r="GC48" s="787"/>
      <c r="GD48" s="787"/>
      <c r="GE48" s="787"/>
      <c r="GF48" s="787"/>
      <c r="GG48" s="787"/>
      <c r="GH48" s="787"/>
      <c r="GI48" s="787"/>
      <c r="GJ48" s="787"/>
      <c r="GK48" s="787"/>
      <c r="GL48" s="787"/>
      <c r="GM48" s="787"/>
      <c r="GN48" s="787"/>
      <c r="GO48" s="786"/>
      <c r="GP48" s="787"/>
      <c r="GQ48" s="787"/>
      <c r="GR48" s="787"/>
      <c r="GS48" s="787"/>
      <c r="GT48" s="787"/>
      <c r="GU48" s="787"/>
      <c r="GV48" s="787"/>
      <c r="GW48" s="787"/>
      <c r="GX48" s="787"/>
      <c r="GY48" s="787"/>
      <c r="GZ48" s="787"/>
      <c r="HA48" s="787"/>
      <c r="HB48" s="787"/>
      <c r="HC48" s="787"/>
      <c r="HD48" s="787"/>
      <c r="HE48" s="787"/>
      <c r="HF48" s="787"/>
      <c r="HG48" s="787"/>
      <c r="HH48" s="787"/>
      <c r="HI48" s="787"/>
      <c r="HJ48" s="787"/>
      <c r="HK48" s="787"/>
      <c r="HL48" s="787"/>
      <c r="HM48" s="787"/>
      <c r="HN48" s="787"/>
      <c r="HO48" s="787"/>
      <c r="HP48" s="787"/>
      <c r="HQ48" s="787"/>
      <c r="HR48" s="787"/>
      <c r="HS48" s="787"/>
      <c r="HT48" s="787"/>
      <c r="HU48" s="786"/>
      <c r="HV48" s="792">
        <f>'vacaciones 2021'!U57</f>
        <v>60</v>
      </c>
    </row>
    <row r="49" spans="1:230" ht="31.5" customHeight="1" x14ac:dyDescent="0.3">
      <c r="A49" s="297">
        <v>39</v>
      </c>
      <c r="B49" s="808" t="s">
        <v>441</v>
      </c>
      <c r="C49" s="806" t="s">
        <v>437</v>
      </c>
      <c r="D49" s="786"/>
      <c r="E49" s="786"/>
      <c r="F49" s="786"/>
      <c r="G49" s="786"/>
      <c r="H49" s="786"/>
      <c r="I49" s="786"/>
      <c r="J49" s="786"/>
      <c r="K49" s="786"/>
      <c r="L49" s="786"/>
      <c r="M49" s="786"/>
      <c r="N49" s="786"/>
      <c r="O49" s="786"/>
      <c r="P49" s="786"/>
      <c r="Q49" s="786"/>
      <c r="R49" s="786"/>
      <c r="S49" s="786"/>
      <c r="T49" s="786"/>
      <c r="U49" s="786"/>
      <c r="V49" s="786"/>
      <c r="W49" s="786"/>
      <c r="X49" s="786"/>
      <c r="Y49" s="786"/>
      <c r="Z49" s="786"/>
      <c r="AA49" s="786"/>
      <c r="AB49" s="786"/>
      <c r="AC49" s="786"/>
      <c r="AD49" s="786"/>
      <c r="AE49" s="786"/>
      <c r="AF49" s="786"/>
      <c r="AG49" s="786"/>
      <c r="AH49" s="786"/>
      <c r="AI49" s="786"/>
      <c r="AJ49" s="786"/>
      <c r="AK49" s="786"/>
      <c r="AL49" s="786"/>
      <c r="AM49" s="787">
        <f t="shared" si="0"/>
        <v>0</v>
      </c>
      <c r="AN49" s="787"/>
      <c r="AO49" s="787"/>
      <c r="AP49" s="787"/>
      <c r="AQ49" s="787"/>
      <c r="AR49" s="787"/>
      <c r="AS49" s="787"/>
      <c r="AT49" s="787"/>
      <c r="AU49" s="787"/>
      <c r="AV49" s="787"/>
      <c r="AW49" s="787"/>
      <c r="AX49" s="787"/>
      <c r="AY49" s="787"/>
      <c r="AZ49" s="787"/>
      <c r="BA49" s="787"/>
      <c r="BB49" s="787"/>
      <c r="BC49" s="787"/>
      <c r="BD49" s="787"/>
      <c r="BE49" s="787"/>
      <c r="BF49" s="787"/>
      <c r="BG49" s="787"/>
      <c r="BH49" s="787"/>
      <c r="BI49" s="787"/>
      <c r="BJ49" s="787"/>
      <c r="BK49" s="787"/>
      <c r="BL49" s="787"/>
      <c r="BM49" s="787"/>
      <c r="BN49" s="787"/>
      <c r="BO49" s="787"/>
      <c r="BP49" s="787"/>
      <c r="BQ49" s="787"/>
      <c r="BR49" s="787"/>
      <c r="BS49" s="786"/>
      <c r="BT49" s="787"/>
      <c r="BU49" s="787"/>
      <c r="BV49" s="787"/>
      <c r="BW49" s="787"/>
      <c r="BX49" s="787"/>
      <c r="BY49" s="787"/>
      <c r="BZ49" s="787"/>
      <c r="CA49" s="787"/>
      <c r="CB49" s="787"/>
      <c r="CC49" s="787"/>
      <c r="CD49" s="787"/>
      <c r="CE49" s="787"/>
      <c r="CF49" s="787"/>
      <c r="CG49" s="787"/>
      <c r="CH49" s="787"/>
      <c r="CI49" s="787"/>
      <c r="CJ49" s="787"/>
      <c r="CK49" s="787"/>
      <c r="CL49" s="787"/>
      <c r="CM49" s="787"/>
      <c r="CN49" s="787"/>
      <c r="CO49" s="787"/>
      <c r="CP49" s="787"/>
      <c r="CQ49" s="787"/>
      <c r="CR49" s="787"/>
      <c r="CS49" s="787"/>
      <c r="CT49" s="787"/>
      <c r="CU49" s="787"/>
      <c r="CV49" s="787"/>
      <c r="CW49" s="787"/>
      <c r="CX49" s="787"/>
      <c r="CY49" s="786"/>
      <c r="CZ49" s="787"/>
      <c r="DA49" s="787"/>
      <c r="DB49" s="787"/>
      <c r="DC49" s="787"/>
      <c r="DD49" s="787"/>
      <c r="DE49" s="787"/>
      <c r="DF49" s="787"/>
      <c r="DG49" s="787"/>
      <c r="DH49" s="787"/>
      <c r="DI49" s="787"/>
      <c r="DJ49" s="787"/>
      <c r="DK49" s="787"/>
      <c r="DL49" s="787"/>
      <c r="DM49" s="787"/>
      <c r="DN49" s="787"/>
      <c r="DO49" s="787"/>
      <c r="DP49" s="787"/>
      <c r="DQ49" s="787"/>
      <c r="DR49" s="787"/>
      <c r="DS49" s="787"/>
      <c r="DT49" s="787"/>
      <c r="DU49" s="787"/>
      <c r="DV49" s="787"/>
      <c r="DW49" s="787"/>
      <c r="DX49" s="787"/>
      <c r="DY49" s="787"/>
      <c r="DZ49" s="787"/>
      <c r="EA49" s="787"/>
      <c r="EB49" s="787"/>
      <c r="EC49" s="787"/>
      <c r="ED49" s="786"/>
      <c r="EE49" s="787"/>
      <c r="EF49" s="787"/>
      <c r="EG49" s="787"/>
      <c r="EH49" s="787"/>
      <c r="EI49" s="787"/>
      <c r="EJ49" s="787"/>
      <c r="EK49" s="787"/>
      <c r="EL49" s="787"/>
      <c r="EM49" s="787"/>
      <c r="EN49" s="787"/>
      <c r="EO49" s="787"/>
      <c r="EP49" s="787"/>
      <c r="EQ49" s="787"/>
      <c r="ER49" s="787"/>
      <c r="ES49" s="787"/>
      <c r="ET49" s="787"/>
      <c r="EU49" s="787"/>
      <c r="EV49" s="787"/>
      <c r="EW49" s="787"/>
      <c r="EX49" s="787"/>
      <c r="EY49" s="787"/>
      <c r="EZ49" s="787"/>
      <c r="FA49" s="787"/>
      <c r="FB49" s="787"/>
      <c r="FC49" s="787"/>
      <c r="FD49" s="787"/>
      <c r="FE49" s="787"/>
      <c r="FF49" s="787"/>
      <c r="FG49" s="787"/>
      <c r="FH49" s="787"/>
      <c r="FI49" s="787"/>
      <c r="FJ49" s="786"/>
      <c r="FK49" s="787"/>
      <c r="FL49" s="787"/>
      <c r="FM49" s="787"/>
      <c r="FN49" s="787"/>
      <c r="FO49" s="787"/>
      <c r="FP49" s="787"/>
      <c r="FQ49" s="787"/>
      <c r="FR49" s="787"/>
      <c r="FS49" s="787"/>
      <c r="FT49" s="787"/>
      <c r="FU49" s="787"/>
      <c r="FV49" s="787"/>
      <c r="FW49" s="787"/>
      <c r="FX49" s="787"/>
      <c r="FY49" s="787"/>
      <c r="FZ49" s="787"/>
      <c r="GA49" s="787"/>
      <c r="GB49" s="787"/>
      <c r="GC49" s="787"/>
      <c r="GD49" s="787"/>
      <c r="GE49" s="787"/>
      <c r="GF49" s="787"/>
      <c r="GG49" s="787"/>
      <c r="GH49" s="787"/>
      <c r="GI49" s="787"/>
      <c r="GJ49" s="787"/>
      <c r="GK49" s="787"/>
      <c r="GL49" s="787"/>
      <c r="GM49" s="787"/>
      <c r="GN49" s="787"/>
      <c r="GO49" s="786"/>
      <c r="GP49" s="787"/>
      <c r="GQ49" s="787"/>
      <c r="GR49" s="787"/>
      <c r="GS49" s="787"/>
      <c r="GT49" s="787"/>
      <c r="GU49" s="787"/>
      <c r="GV49" s="787"/>
      <c r="GW49" s="787"/>
      <c r="GX49" s="787"/>
      <c r="GY49" s="787"/>
      <c r="GZ49" s="787"/>
      <c r="HA49" s="787"/>
      <c r="HB49" s="787"/>
      <c r="HC49" s="787"/>
      <c r="HD49" s="787"/>
      <c r="HE49" s="787"/>
      <c r="HF49" s="787"/>
      <c r="HG49" s="787"/>
      <c r="HH49" s="787"/>
      <c r="HI49" s="787"/>
      <c r="HJ49" s="787"/>
      <c r="HK49" s="787"/>
      <c r="HL49" s="787"/>
      <c r="HM49" s="787"/>
      <c r="HN49" s="787"/>
      <c r="HO49" s="787"/>
      <c r="HP49" s="787"/>
      <c r="HQ49" s="787"/>
      <c r="HR49" s="787"/>
      <c r="HS49" s="787"/>
      <c r="HT49" s="787"/>
      <c r="HU49" s="786"/>
      <c r="HV49" s="792">
        <f>'vacaciones 2021'!U58</f>
        <v>42</v>
      </c>
    </row>
    <row r="50" spans="1:230" ht="31.5" customHeight="1" x14ac:dyDescent="0.3">
      <c r="A50" s="297">
        <v>40</v>
      </c>
      <c r="B50" s="808" t="s">
        <v>61</v>
      </c>
      <c r="C50" s="806" t="s">
        <v>437</v>
      </c>
      <c r="D50" s="786"/>
      <c r="E50" s="786"/>
      <c r="F50" s="786"/>
      <c r="G50" s="786"/>
      <c r="H50" s="786"/>
      <c r="I50" s="786"/>
      <c r="J50" s="786"/>
      <c r="K50" s="786"/>
      <c r="L50" s="786"/>
      <c r="M50" s="786"/>
      <c r="N50" s="786"/>
      <c r="O50" s="786"/>
      <c r="P50" s="786"/>
      <c r="Q50" s="786"/>
      <c r="R50" s="786"/>
      <c r="S50" s="786"/>
      <c r="T50" s="786"/>
      <c r="U50" s="786"/>
      <c r="V50" s="786"/>
      <c r="W50" s="786"/>
      <c r="X50" s="786"/>
      <c r="Y50" s="786"/>
      <c r="Z50" s="786"/>
      <c r="AA50" s="786"/>
      <c r="AB50" s="786"/>
      <c r="AC50" s="786"/>
      <c r="AD50" s="786"/>
      <c r="AE50" s="786"/>
      <c r="AF50" s="786"/>
      <c r="AG50" s="786"/>
      <c r="AH50" s="786"/>
      <c r="AI50" s="786"/>
      <c r="AJ50" s="786"/>
      <c r="AK50" s="786"/>
      <c r="AL50" s="786"/>
      <c r="AM50" s="787">
        <f t="shared" si="0"/>
        <v>0</v>
      </c>
      <c r="AN50" s="787"/>
      <c r="AO50" s="787"/>
      <c r="AP50" s="787"/>
      <c r="AQ50" s="787"/>
      <c r="AR50" s="787"/>
      <c r="AS50" s="787"/>
      <c r="AT50" s="787"/>
      <c r="AU50" s="787"/>
      <c r="AV50" s="787"/>
      <c r="AW50" s="787"/>
      <c r="AX50" s="787"/>
      <c r="AY50" s="787"/>
      <c r="AZ50" s="787"/>
      <c r="BA50" s="787"/>
      <c r="BB50" s="787"/>
      <c r="BC50" s="787"/>
      <c r="BD50" s="787"/>
      <c r="BE50" s="787"/>
      <c r="BF50" s="787"/>
      <c r="BG50" s="787"/>
      <c r="BH50" s="787"/>
      <c r="BI50" s="787"/>
      <c r="BJ50" s="787"/>
      <c r="BK50" s="787"/>
      <c r="BL50" s="787"/>
      <c r="BM50" s="787"/>
      <c r="BN50" s="787"/>
      <c r="BO50" s="787"/>
      <c r="BP50" s="787"/>
      <c r="BQ50" s="787"/>
      <c r="BR50" s="787"/>
      <c r="BS50" s="786"/>
      <c r="BT50" s="787"/>
      <c r="BU50" s="787"/>
      <c r="BV50" s="787"/>
      <c r="BW50" s="787"/>
      <c r="BX50" s="787"/>
      <c r="BY50" s="787"/>
      <c r="BZ50" s="787"/>
      <c r="CA50" s="787"/>
      <c r="CB50" s="787"/>
      <c r="CC50" s="787"/>
      <c r="CD50" s="787"/>
      <c r="CE50" s="787"/>
      <c r="CF50" s="787"/>
      <c r="CG50" s="787"/>
      <c r="CH50" s="787"/>
      <c r="CI50" s="787"/>
      <c r="CJ50" s="787"/>
      <c r="CK50" s="787"/>
      <c r="CL50" s="787"/>
      <c r="CM50" s="787"/>
      <c r="CN50" s="787"/>
      <c r="CO50" s="787"/>
      <c r="CP50" s="787"/>
      <c r="CQ50" s="787"/>
      <c r="CR50" s="787"/>
      <c r="CS50" s="787"/>
      <c r="CT50" s="787"/>
      <c r="CU50" s="787"/>
      <c r="CV50" s="787"/>
      <c r="CW50" s="787"/>
      <c r="CX50" s="787"/>
      <c r="CY50" s="786"/>
      <c r="CZ50" s="787"/>
      <c r="DA50" s="787"/>
      <c r="DB50" s="787"/>
      <c r="DC50" s="787"/>
      <c r="DD50" s="787"/>
      <c r="DE50" s="787"/>
      <c r="DF50" s="787"/>
      <c r="DG50" s="787"/>
      <c r="DH50" s="787"/>
      <c r="DI50" s="787"/>
      <c r="DJ50" s="787"/>
      <c r="DK50" s="787"/>
      <c r="DL50" s="787"/>
      <c r="DM50" s="787"/>
      <c r="DN50" s="787"/>
      <c r="DO50" s="787"/>
      <c r="DP50" s="787"/>
      <c r="DQ50" s="787"/>
      <c r="DR50" s="787"/>
      <c r="DS50" s="787"/>
      <c r="DT50" s="787"/>
      <c r="DU50" s="787"/>
      <c r="DV50" s="787"/>
      <c r="DW50" s="787"/>
      <c r="DX50" s="787"/>
      <c r="DY50" s="787"/>
      <c r="DZ50" s="787"/>
      <c r="EA50" s="787"/>
      <c r="EB50" s="787"/>
      <c r="EC50" s="787"/>
      <c r="ED50" s="786"/>
      <c r="EE50" s="787"/>
      <c r="EF50" s="787"/>
      <c r="EG50" s="787"/>
      <c r="EH50" s="787"/>
      <c r="EI50" s="787"/>
      <c r="EJ50" s="787"/>
      <c r="EK50" s="787"/>
      <c r="EL50" s="787"/>
      <c r="EM50" s="787"/>
      <c r="EN50" s="787"/>
      <c r="EO50" s="787"/>
      <c r="EP50" s="787"/>
      <c r="EQ50" s="787"/>
      <c r="ER50" s="787"/>
      <c r="ES50" s="787"/>
      <c r="ET50" s="787"/>
      <c r="EU50" s="787"/>
      <c r="EV50" s="787"/>
      <c r="EW50" s="787"/>
      <c r="EX50" s="787"/>
      <c r="EY50" s="787"/>
      <c r="EZ50" s="787"/>
      <c r="FA50" s="787"/>
      <c r="FB50" s="787"/>
      <c r="FC50" s="787"/>
      <c r="FD50" s="787"/>
      <c r="FE50" s="787"/>
      <c r="FF50" s="787"/>
      <c r="FG50" s="787"/>
      <c r="FH50" s="787"/>
      <c r="FI50" s="787"/>
      <c r="FJ50" s="786"/>
      <c r="FK50" s="787"/>
      <c r="FL50" s="787"/>
      <c r="FM50" s="787"/>
      <c r="FN50" s="787"/>
      <c r="FO50" s="787"/>
      <c r="FP50" s="787"/>
      <c r="FQ50" s="787"/>
      <c r="FR50" s="787"/>
      <c r="FS50" s="787"/>
      <c r="FT50" s="787"/>
      <c r="FU50" s="787"/>
      <c r="FV50" s="787"/>
      <c r="FW50" s="787"/>
      <c r="FX50" s="787"/>
      <c r="FY50" s="787"/>
      <c r="FZ50" s="787"/>
      <c r="GA50" s="787"/>
      <c r="GB50" s="787"/>
      <c r="GC50" s="787"/>
      <c r="GD50" s="787"/>
      <c r="GE50" s="787"/>
      <c r="GF50" s="787"/>
      <c r="GG50" s="787"/>
      <c r="GH50" s="787"/>
      <c r="GI50" s="787"/>
      <c r="GJ50" s="787"/>
      <c r="GK50" s="787"/>
      <c r="GL50" s="787"/>
      <c r="GM50" s="787"/>
      <c r="GN50" s="787"/>
      <c r="GO50" s="786"/>
      <c r="GP50" s="787"/>
      <c r="GQ50" s="787"/>
      <c r="GR50" s="787"/>
      <c r="GS50" s="787"/>
      <c r="GT50" s="787"/>
      <c r="GU50" s="787"/>
      <c r="GV50" s="787"/>
      <c r="GW50" s="787"/>
      <c r="GX50" s="787"/>
      <c r="GY50" s="787"/>
      <c r="GZ50" s="787"/>
      <c r="HA50" s="787"/>
      <c r="HB50" s="787"/>
      <c r="HC50" s="787"/>
      <c r="HD50" s="787"/>
      <c r="HE50" s="787"/>
      <c r="HF50" s="787"/>
      <c r="HG50" s="787"/>
      <c r="HH50" s="787"/>
      <c r="HI50" s="787"/>
      <c r="HJ50" s="787"/>
      <c r="HK50" s="787"/>
      <c r="HL50" s="787"/>
      <c r="HM50" s="787"/>
      <c r="HN50" s="787"/>
      <c r="HO50" s="787"/>
      <c r="HP50" s="787"/>
      <c r="HQ50" s="787"/>
      <c r="HR50" s="787"/>
      <c r="HS50" s="787"/>
      <c r="HT50" s="787"/>
      <c r="HU50" s="786"/>
      <c r="HV50" s="792">
        <f>'vacaciones 2021'!U59</f>
        <v>-1</v>
      </c>
    </row>
    <row r="51" spans="1:230" ht="31.5" customHeight="1" x14ac:dyDescent="0.3">
      <c r="A51" s="297"/>
      <c r="B51" s="881" t="s">
        <v>453</v>
      </c>
      <c r="C51" s="882"/>
      <c r="D51" s="888"/>
      <c r="E51" s="889"/>
      <c r="F51" s="889"/>
      <c r="G51" s="889"/>
      <c r="H51" s="889"/>
      <c r="I51" s="889"/>
      <c r="J51" s="889"/>
      <c r="K51" s="889"/>
      <c r="L51" s="889"/>
      <c r="M51" s="889"/>
      <c r="N51" s="889"/>
      <c r="O51" s="889"/>
      <c r="P51" s="889"/>
      <c r="Q51" s="889"/>
      <c r="R51" s="889"/>
      <c r="S51" s="889"/>
      <c r="T51" s="889"/>
      <c r="U51" s="889"/>
      <c r="V51" s="889"/>
      <c r="W51" s="889"/>
      <c r="X51" s="889"/>
      <c r="Y51" s="889"/>
      <c r="Z51" s="889"/>
      <c r="AA51" s="889"/>
      <c r="AB51" s="889"/>
      <c r="AC51" s="889"/>
      <c r="AD51" s="889"/>
      <c r="AE51" s="889"/>
      <c r="AF51" s="889"/>
      <c r="AG51" s="889"/>
      <c r="AH51" s="889"/>
      <c r="AI51" s="889"/>
      <c r="AJ51" s="889"/>
      <c r="AK51" s="889"/>
      <c r="AL51" s="889"/>
      <c r="AM51" s="895"/>
      <c r="AN51" s="895"/>
      <c r="AO51" s="895"/>
      <c r="AP51" s="895"/>
      <c r="AQ51" s="895"/>
      <c r="AR51" s="895"/>
      <c r="AS51" s="895"/>
      <c r="AT51" s="895"/>
      <c r="AU51" s="895"/>
      <c r="AV51" s="895"/>
      <c r="AW51" s="895"/>
      <c r="AX51" s="895"/>
      <c r="AY51" s="895"/>
      <c r="AZ51" s="895"/>
      <c r="BA51" s="895"/>
      <c r="BB51" s="895"/>
      <c r="BC51" s="895"/>
      <c r="BD51" s="895"/>
      <c r="BE51" s="895"/>
      <c r="BF51" s="895"/>
      <c r="BG51" s="895"/>
      <c r="BH51" s="895"/>
      <c r="BI51" s="895"/>
      <c r="BJ51" s="895"/>
      <c r="BK51" s="895"/>
      <c r="BL51" s="895"/>
      <c r="BM51" s="895"/>
      <c r="BN51" s="895"/>
      <c r="BO51" s="895"/>
      <c r="BP51" s="895"/>
      <c r="BQ51" s="895"/>
      <c r="BR51" s="895"/>
      <c r="BS51" s="889"/>
      <c r="BT51" s="895"/>
      <c r="BU51" s="895"/>
      <c r="BV51" s="895"/>
      <c r="BW51" s="895"/>
      <c r="BX51" s="895"/>
      <c r="BY51" s="895"/>
      <c r="BZ51" s="895"/>
      <c r="CA51" s="895"/>
      <c r="CB51" s="895"/>
      <c r="CC51" s="895"/>
      <c r="CD51" s="895"/>
      <c r="CE51" s="895"/>
      <c r="CF51" s="895"/>
      <c r="CG51" s="895"/>
      <c r="CH51" s="895"/>
      <c r="CI51" s="895"/>
      <c r="CJ51" s="895"/>
      <c r="CK51" s="895"/>
      <c r="CL51" s="895"/>
      <c r="CM51" s="895"/>
      <c r="CN51" s="895"/>
      <c r="CO51" s="895"/>
      <c r="CP51" s="895"/>
      <c r="CQ51" s="895"/>
      <c r="CR51" s="895"/>
      <c r="CS51" s="895"/>
      <c r="CT51" s="895"/>
      <c r="CU51" s="895"/>
      <c r="CV51" s="895"/>
      <c r="CW51" s="895"/>
      <c r="CX51" s="895"/>
      <c r="CY51" s="889"/>
      <c r="CZ51" s="895"/>
      <c r="DA51" s="895"/>
      <c r="DB51" s="895"/>
      <c r="DC51" s="895"/>
      <c r="DD51" s="895"/>
      <c r="DE51" s="895"/>
      <c r="DF51" s="895"/>
      <c r="DG51" s="895"/>
      <c r="DH51" s="895"/>
      <c r="DI51" s="895"/>
      <c r="DJ51" s="895"/>
      <c r="DK51" s="895"/>
      <c r="DL51" s="895"/>
      <c r="DM51" s="895"/>
      <c r="DN51" s="895"/>
      <c r="DO51" s="895"/>
      <c r="DP51" s="895"/>
      <c r="DQ51" s="895"/>
      <c r="DR51" s="895"/>
      <c r="DS51" s="895"/>
      <c r="DT51" s="895"/>
      <c r="DU51" s="895"/>
      <c r="DV51" s="895"/>
      <c r="DW51" s="895"/>
      <c r="DX51" s="895"/>
      <c r="DY51" s="895"/>
      <c r="DZ51" s="895"/>
      <c r="EA51" s="895"/>
      <c r="EB51" s="895"/>
      <c r="EC51" s="895"/>
      <c r="ED51" s="889"/>
      <c r="EE51" s="895"/>
      <c r="EF51" s="895"/>
      <c r="EG51" s="895"/>
      <c r="EH51" s="895"/>
      <c r="EI51" s="895"/>
      <c r="EJ51" s="895"/>
      <c r="EK51" s="895"/>
      <c r="EL51" s="895"/>
      <c r="EM51" s="895"/>
      <c r="EN51" s="895"/>
      <c r="EO51" s="895"/>
      <c r="EP51" s="895"/>
      <c r="EQ51" s="895"/>
      <c r="ER51" s="895"/>
      <c r="ES51" s="895"/>
      <c r="ET51" s="895"/>
      <c r="EU51" s="895"/>
      <c r="EV51" s="895"/>
      <c r="EW51" s="895"/>
      <c r="EX51" s="895"/>
      <c r="EY51" s="895"/>
      <c r="EZ51" s="895"/>
      <c r="FA51" s="895"/>
      <c r="FB51" s="895"/>
      <c r="FC51" s="895"/>
      <c r="FD51" s="895"/>
      <c r="FE51" s="895"/>
      <c r="FF51" s="895"/>
      <c r="FG51" s="895"/>
      <c r="FH51" s="895"/>
      <c r="FI51" s="895"/>
      <c r="FJ51" s="889"/>
      <c r="FK51" s="895"/>
      <c r="FL51" s="895"/>
      <c r="FM51" s="895"/>
      <c r="FN51" s="895"/>
      <c r="FO51" s="895"/>
      <c r="FP51" s="895"/>
      <c r="FQ51" s="895"/>
      <c r="FR51" s="895"/>
      <c r="FS51" s="895"/>
      <c r="FT51" s="895"/>
      <c r="FU51" s="895"/>
      <c r="FV51" s="895"/>
      <c r="FW51" s="895"/>
      <c r="FX51" s="895"/>
      <c r="FY51" s="895"/>
      <c r="FZ51" s="895"/>
      <c r="GA51" s="895"/>
      <c r="GB51" s="895"/>
      <c r="GC51" s="895"/>
      <c r="GD51" s="895"/>
      <c r="GE51" s="895"/>
      <c r="GF51" s="895"/>
      <c r="GG51" s="895"/>
      <c r="GH51" s="895"/>
      <c r="GI51" s="895"/>
      <c r="GJ51" s="895"/>
      <c r="GK51" s="895"/>
      <c r="GL51" s="895"/>
      <c r="GM51" s="895"/>
      <c r="GN51" s="895"/>
      <c r="GO51" s="889"/>
      <c r="GP51" s="895"/>
      <c r="GQ51" s="895"/>
      <c r="GR51" s="895"/>
      <c r="GS51" s="895"/>
      <c r="GT51" s="895"/>
      <c r="GU51" s="895"/>
      <c r="GV51" s="895"/>
      <c r="GW51" s="895"/>
      <c r="GX51" s="895"/>
      <c r="GY51" s="895"/>
      <c r="GZ51" s="895"/>
      <c r="HA51" s="895"/>
      <c r="HB51" s="895"/>
      <c r="HC51" s="895"/>
      <c r="HD51" s="895"/>
      <c r="HE51" s="895"/>
      <c r="HF51" s="895"/>
      <c r="HG51" s="895"/>
      <c r="HH51" s="895"/>
      <c r="HI51" s="895"/>
      <c r="HJ51" s="895"/>
      <c r="HK51" s="895"/>
      <c r="HL51" s="895"/>
      <c r="HM51" s="895"/>
      <c r="HN51" s="895"/>
      <c r="HO51" s="895"/>
      <c r="HP51" s="895"/>
      <c r="HQ51" s="895"/>
      <c r="HR51" s="895"/>
      <c r="HS51" s="895"/>
      <c r="HT51" s="895"/>
      <c r="HU51" s="889"/>
      <c r="HV51" s="883"/>
    </row>
    <row r="52" spans="1:230" ht="31.5" customHeight="1" x14ac:dyDescent="0.3">
      <c r="A52" s="297">
        <v>41</v>
      </c>
      <c r="B52" s="884" t="s">
        <v>97</v>
      </c>
      <c r="C52" s="806" t="s">
        <v>439</v>
      </c>
      <c r="D52" s="786"/>
      <c r="E52" s="786"/>
      <c r="F52" s="786"/>
      <c r="G52" s="786"/>
      <c r="H52" s="786">
        <v>1</v>
      </c>
      <c r="I52" s="891">
        <v>1</v>
      </c>
      <c r="J52" s="891">
        <v>1</v>
      </c>
      <c r="K52" s="891">
        <v>1</v>
      </c>
      <c r="L52" s="891">
        <v>1</v>
      </c>
      <c r="M52" s="891">
        <v>1</v>
      </c>
      <c r="N52" s="891">
        <v>1</v>
      </c>
      <c r="O52" s="891">
        <v>1</v>
      </c>
      <c r="P52" s="891">
        <v>1</v>
      </c>
      <c r="Q52" s="891">
        <v>1</v>
      </c>
      <c r="R52" s="891">
        <v>1</v>
      </c>
      <c r="S52" s="891">
        <v>1</v>
      </c>
      <c r="T52" s="891">
        <v>1</v>
      </c>
      <c r="U52" s="891">
        <v>1</v>
      </c>
      <c r="V52" s="891">
        <v>1</v>
      </c>
      <c r="W52" s="786"/>
      <c r="X52" s="786"/>
      <c r="Y52" s="786"/>
      <c r="Z52" s="786"/>
      <c r="AA52" s="786"/>
      <c r="AB52" s="786"/>
      <c r="AC52" s="786"/>
      <c r="AD52" s="786"/>
      <c r="AE52" s="786"/>
      <c r="AF52" s="786"/>
      <c r="AG52" s="786"/>
      <c r="AH52" s="786"/>
      <c r="AI52" s="786"/>
      <c r="AJ52" s="786"/>
      <c r="AK52" s="786"/>
      <c r="AL52" s="786"/>
      <c r="AM52" s="787">
        <f>SUM(I52:AL52)</f>
        <v>14</v>
      </c>
      <c r="AN52" s="787"/>
      <c r="AO52" s="787"/>
      <c r="AP52" s="787"/>
      <c r="AQ52" s="787"/>
      <c r="AR52" s="787"/>
      <c r="AS52" s="787"/>
      <c r="AT52" s="787"/>
      <c r="AU52" s="787"/>
      <c r="AV52" s="787"/>
      <c r="AW52" s="787"/>
      <c r="AX52" s="787"/>
      <c r="AY52" s="787"/>
      <c r="AZ52" s="787"/>
      <c r="BA52" s="787"/>
      <c r="BB52" s="787"/>
      <c r="BC52" s="787"/>
      <c r="BD52" s="787"/>
      <c r="BE52" s="787"/>
      <c r="BF52" s="787"/>
      <c r="BG52" s="787"/>
      <c r="BH52" s="787"/>
      <c r="BI52" s="787"/>
      <c r="BJ52" s="787"/>
      <c r="BK52" s="787"/>
      <c r="BL52" s="787"/>
      <c r="BM52" s="787"/>
      <c r="BN52" s="787"/>
      <c r="BO52" s="787"/>
      <c r="BP52" s="787"/>
      <c r="BQ52" s="787"/>
      <c r="BR52" s="787"/>
      <c r="BS52" s="786"/>
      <c r="BT52" s="787"/>
      <c r="BU52" s="787"/>
      <c r="BV52" s="787"/>
      <c r="BW52" s="787"/>
      <c r="BX52" s="787"/>
      <c r="BY52" s="787"/>
      <c r="BZ52" s="787"/>
      <c r="CA52" s="787"/>
      <c r="CB52" s="787"/>
      <c r="CC52" s="787"/>
      <c r="CD52" s="787"/>
      <c r="CE52" s="787"/>
      <c r="CF52" s="787"/>
      <c r="CG52" s="787"/>
      <c r="CH52" s="787"/>
      <c r="CI52" s="787"/>
      <c r="CJ52" s="787"/>
      <c r="CK52" s="787"/>
      <c r="CL52" s="787"/>
      <c r="CM52" s="787"/>
      <c r="CN52" s="787"/>
      <c r="CO52" s="787"/>
      <c r="CP52" s="787"/>
      <c r="CQ52" s="787"/>
      <c r="CR52" s="787"/>
      <c r="CS52" s="787"/>
      <c r="CT52" s="787"/>
      <c r="CU52" s="787"/>
      <c r="CV52" s="787"/>
      <c r="CW52" s="787"/>
      <c r="CX52" s="787"/>
      <c r="CY52" s="786"/>
      <c r="CZ52" s="787"/>
      <c r="DA52" s="787"/>
      <c r="DB52" s="787"/>
      <c r="DC52" s="787"/>
      <c r="DD52" s="787"/>
      <c r="DE52" s="787"/>
      <c r="DF52" s="787"/>
      <c r="DG52" s="787"/>
      <c r="DH52" s="787"/>
      <c r="DI52" s="787"/>
      <c r="DJ52" s="787"/>
      <c r="DK52" s="787"/>
      <c r="DL52" s="787"/>
      <c r="DM52" s="787"/>
      <c r="DN52" s="787"/>
      <c r="DO52" s="787"/>
      <c r="DP52" s="787"/>
      <c r="DQ52" s="787"/>
      <c r="DR52" s="787"/>
      <c r="DS52" s="787"/>
      <c r="DT52" s="787"/>
      <c r="DU52" s="787"/>
      <c r="DV52" s="787"/>
      <c r="DW52" s="787"/>
      <c r="DX52" s="787"/>
      <c r="DY52" s="787"/>
      <c r="DZ52" s="787"/>
      <c r="EA52" s="787"/>
      <c r="EB52" s="787"/>
      <c r="EC52" s="787"/>
      <c r="ED52" s="786"/>
      <c r="EE52" s="787"/>
      <c r="EF52" s="787"/>
      <c r="EG52" s="787"/>
      <c r="EH52" s="787"/>
      <c r="EI52" s="787"/>
      <c r="EJ52" s="787"/>
      <c r="EK52" s="787"/>
      <c r="EL52" s="787"/>
      <c r="EM52" s="787"/>
      <c r="EN52" s="787"/>
      <c r="EO52" s="787"/>
      <c r="EP52" s="787"/>
      <c r="EQ52" s="787"/>
      <c r="ER52" s="787"/>
      <c r="ES52" s="787"/>
      <c r="ET52" s="787"/>
      <c r="EU52" s="787"/>
      <c r="EV52" s="787"/>
      <c r="EW52" s="787"/>
      <c r="EX52" s="787"/>
      <c r="EY52" s="787"/>
      <c r="EZ52" s="787"/>
      <c r="FA52" s="787"/>
      <c r="FB52" s="787"/>
      <c r="FC52" s="787"/>
      <c r="FD52" s="787"/>
      <c r="FE52" s="787"/>
      <c r="FF52" s="787"/>
      <c r="FG52" s="787"/>
      <c r="FH52" s="787"/>
      <c r="FI52" s="787"/>
      <c r="FJ52" s="786"/>
      <c r="FK52" s="787"/>
      <c r="FL52" s="787"/>
      <c r="FM52" s="787"/>
      <c r="FN52" s="787"/>
      <c r="FO52" s="787"/>
      <c r="FP52" s="787"/>
      <c r="FQ52" s="787"/>
      <c r="FR52" s="787"/>
      <c r="FS52" s="787"/>
      <c r="FT52" s="787"/>
      <c r="FU52" s="787"/>
      <c r="FV52" s="787"/>
      <c r="FW52" s="787"/>
      <c r="FX52" s="787"/>
      <c r="FY52" s="787"/>
      <c r="FZ52" s="787"/>
      <c r="GA52" s="787"/>
      <c r="GB52" s="787"/>
      <c r="GC52" s="787"/>
      <c r="GD52" s="787"/>
      <c r="GE52" s="787"/>
      <c r="GF52" s="787"/>
      <c r="GG52" s="787"/>
      <c r="GH52" s="787"/>
      <c r="GI52" s="787"/>
      <c r="GJ52" s="787"/>
      <c r="GK52" s="787"/>
      <c r="GL52" s="787"/>
      <c r="GM52" s="787"/>
      <c r="GN52" s="787"/>
      <c r="GO52" s="786"/>
      <c r="GP52" s="787"/>
      <c r="GQ52" s="787"/>
      <c r="GR52" s="787"/>
      <c r="GS52" s="787"/>
      <c r="GT52" s="787"/>
      <c r="GU52" s="787"/>
      <c r="GV52" s="787"/>
      <c r="GW52" s="787"/>
      <c r="GX52" s="787"/>
      <c r="GY52" s="787"/>
      <c r="GZ52" s="787"/>
      <c r="HA52" s="787"/>
      <c r="HB52" s="787"/>
      <c r="HC52" s="787"/>
      <c r="HD52" s="787"/>
      <c r="HE52" s="787"/>
      <c r="HF52" s="787"/>
      <c r="HG52" s="787"/>
      <c r="HH52" s="787"/>
      <c r="HI52" s="787"/>
      <c r="HJ52" s="787"/>
      <c r="HK52" s="787"/>
      <c r="HL52" s="787"/>
      <c r="HM52" s="787"/>
      <c r="HN52" s="787"/>
      <c r="HO52" s="787"/>
      <c r="HP52" s="787"/>
      <c r="HQ52" s="787"/>
      <c r="HR52" s="787"/>
      <c r="HS52" s="787"/>
      <c r="HT52" s="787"/>
      <c r="HU52" s="786"/>
      <c r="HV52" s="792">
        <f>'vacaciones 2021'!U61</f>
        <v>36</v>
      </c>
    </row>
    <row r="53" spans="1:230" ht="31.5" hidden="1" customHeight="1" x14ac:dyDescent="0.3">
      <c r="A53" s="297"/>
      <c r="B53" s="808" t="s">
        <v>95</v>
      </c>
      <c r="C53" s="806"/>
      <c r="HV53" s="792" t="e">
        <f>#REF!-D53-E53-F53-G53-H53-AM53-BS53-CY53-ED53-FJ53-GO53-HU53</f>
        <v>#REF!</v>
      </c>
    </row>
    <row r="54" spans="1:230" x14ac:dyDescent="0.3">
      <c r="A54" s="297"/>
      <c r="HV54" s="793"/>
    </row>
    <row r="55" spans="1:230" x14ac:dyDescent="0.3">
      <c r="A55" s="297"/>
    </row>
    <row r="56" spans="1:230" x14ac:dyDescent="0.3">
      <c r="A56" s="297"/>
    </row>
    <row r="57" spans="1:230" x14ac:dyDescent="0.3">
      <c r="A57" s="297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V61"/>
  <sheetViews>
    <sheetView showGridLines="0" showZeros="0" topLeftCell="B1" zoomScale="80" zoomScaleNormal="80" zoomScaleSheetLayoutView="71" workbookViewId="0">
      <selection activeCell="O32" sqref="O32"/>
    </sheetView>
  </sheetViews>
  <sheetFormatPr baseColWidth="10" defaultColWidth="8.85546875" defaultRowHeight="18.75" outlineLevelCol="1" x14ac:dyDescent="0.3"/>
  <cols>
    <col min="1" max="1" width="0.7109375" style="252" hidden="1" customWidth="1"/>
    <col min="2" max="2" width="57.7109375" style="253" customWidth="1"/>
    <col min="3" max="3" width="15.42578125" style="794" customWidth="1"/>
    <col min="4" max="15" width="7.42578125" style="253" customWidth="1" outlineLevel="1"/>
    <col min="16" max="16" width="10.85546875" style="797" customWidth="1"/>
    <col min="17" max="17" width="17" style="797" customWidth="1"/>
    <col min="18" max="18" width="21.42578125" style="793" customWidth="1"/>
    <col min="19" max="20" width="15.42578125" style="794" customWidth="1"/>
    <col min="21" max="21" width="22.28515625" style="253" customWidth="1"/>
    <col min="22" max="16384" width="8.85546875" style="253"/>
  </cols>
  <sheetData>
    <row r="1" spans="1:20" s="254" customFormat="1" ht="66.75" customHeight="1" x14ac:dyDescent="0.3">
      <c r="A1" s="798" t="s">
        <v>68</v>
      </c>
      <c r="B1" s="804" t="s">
        <v>180</v>
      </c>
      <c r="C1" s="805"/>
      <c r="D1" s="1188" t="s">
        <v>405</v>
      </c>
      <c r="E1" s="1188"/>
      <c r="F1" s="1188"/>
      <c r="G1" s="1188"/>
      <c r="H1" s="1188"/>
      <c r="I1" s="1188"/>
      <c r="J1" s="1188"/>
      <c r="K1" s="1188"/>
      <c r="L1" s="1188"/>
      <c r="M1" s="1188"/>
      <c r="N1" s="1188"/>
      <c r="O1" s="1188"/>
      <c r="P1" s="1189"/>
      <c r="R1" s="292"/>
      <c r="S1" s="805"/>
      <c r="T1" s="805"/>
    </row>
    <row r="2" spans="1:20" s="254" customFormat="1" ht="67.5" customHeight="1" x14ac:dyDescent="0.3">
      <c r="A2" s="789"/>
      <c r="B2" s="778" t="s">
        <v>68</v>
      </c>
      <c r="C2" s="778" t="s">
        <v>406</v>
      </c>
      <c r="D2" s="800" t="s">
        <v>4</v>
      </c>
      <c r="E2" s="801" t="s">
        <v>5</v>
      </c>
      <c r="F2" s="801" t="s">
        <v>6</v>
      </c>
      <c r="G2" s="801" t="s">
        <v>7</v>
      </c>
      <c r="H2" s="801" t="s">
        <v>8</v>
      </c>
      <c r="I2" s="801" t="s">
        <v>9</v>
      </c>
      <c r="J2" s="801" t="s">
        <v>10</v>
      </c>
      <c r="K2" s="801" t="s">
        <v>11</v>
      </c>
      <c r="L2" s="801" t="s">
        <v>368</v>
      </c>
      <c r="M2" s="801" t="s">
        <v>13</v>
      </c>
      <c r="N2" s="801" t="s">
        <v>14</v>
      </c>
      <c r="O2" s="802" t="s">
        <v>15</v>
      </c>
      <c r="P2" s="803" t="s">
        <v>3</v>
      </c>
      <c r="Q2" s="803" t="s">
        <v>408</v>
      </c>
      <c r="R2" s="790" t="s">
        <v>409</v>
      </c>
      <c r="S2" s="790" t="s">
        <v>407</v>
      </c>
      <c r="T2" s="791" t="s">
        <v>400</v>
      </c>
    </row>
    <row r="3" spans="1:20" s="254" customFormat="1" ht="31.5" customHeight="1" x14ac:dyDescent="0.3">
      <c r="A3" s="297">
        <v>1</v>
      </c>
      <c r="B3" s="806" t="s">
        <v>85</v>
      </c>
      <c r="C3" s="799">
        <f>'Control de dias gozados 2019'!CS6</f>
        <v>69</v>
      </c>
      <c r="D3" s="780"/>
      <c r="E3" s="303">
        <v>1</v>
      </c>
      <c r="F3" s="303"/>
      <c r="G3" s="303"/>
      <c r="H3" s="303"/>
      <c r="I3" s="303"/>
      <c r="J3" s="303"/>
      <c r="K3" s="303"/>
      <c r="L3" s="303">
        <v>9</v>
      </c>
      <c r="M3" s="303"/>
      <c r="N3" s="303"/>
      <c r="O3" s="785">
        <v>11</v>
      </c>
      <c r="P3" s="799">
        <f t="shared" ref="P3:P17" si="0">SUM(D3:O3)</f>
        <v>21</v>
      </c>
      <c r="Q3" s="799">
        <f>+C3-P3</f>
        <v>48</v>
      </c>
      <c r="R3" s="816">
        <f>vacaciones!I4</f>
        <v>44232</v>
      </c>
      <c r="S3" s="792">
        <f>vacaciones!J4</f>
        <v>0</v>
      </c>
      <c r="T3" s="792">
        <f>+Q3+S3</f>
        <v>48</v>
      </c>
    </row>
    <row r="4" spans="1:20" ht="31.5" customHeight="1" x14ac:dyDescent="0.3">
      <c r="A4" s="297">
        <f>+A3+1</f>
        <v>2</v>
      </c>
      <c r="B4" s="807" t="s">
        <v>86</v>
      </c>
      <c r="C4" s="799">
        <f>'Control de dias gozados 2019'!CS7</f>
        <v>50</v>
      </c>
      <c r="D4" s="781"/>
      <c r="E4" s="311"/>
      <c r="F4" s="311"/>
      <c r="G4" s="311"/>
      <c r="H4" s="311"/>
      <c r="I4" s="311"/>
      <c r="J4" s="311"/>
      <c r="K4" s="311"/>
      <c r="L4" s="311">
        <v>13</v>
      </c>
      <c r="M4" s="311">
        <v>1</v>
      </c>
      <c r="N4" s="311"/>
      <c r="O4" s="786">
        <v>11</v>
      </c>
      <c r="P4" s="799">
        <f t="shared" si="0"/>
        <v>25</v>
      </c>
      <c r="Q4" s="799">
        <f t="shared" ref="Q4:Q44" si="1">+C4-P4</f>
        <v>25</v>
      </c>
      <c r="R4" s="809">
        <f>vacaciones!I5</f>
        <v>44151</v>
      </c>
      <c r="S4" s="792">
        <v>30</v>
      </c>
      <c r="T4" s="792">
        <f t="shared" ref="T4:T44" si="2">+Q4+S4</f>
        <v>55</v>
      </c>
    </row>
    <row r="5" spans="1:20" ht="31.5" customHeight="1" x14ac:dyDescent="0.3">
      <c r="A5" s="297">
        <f>+A4+1</f>
        <v>3</v>
      </c>
      <c r="B5" s="808" t="s">
        <v>49</v>
      </c>
      <c r="C5" s="799">
        <f>'Control de dias gozados 2019'!CS8</f>
        <v>26</v>
      </c>
      <c r="D5" s="781"/>
      <c r="E5" s="311">
        <v>4</v>
      </c>
      <c r="F5" s="311"/>
      <c r="G5" s="311"/>
      <c r="H5" s="309"/>
      <c r="I5" s="311"/>
      <c r="J5" s="311"/>
      <c r="K5" s="311"/>
      <c r="L5" s="311"/>
      <c r="M5" s="311">
        <v>31</v>
      </c>
      <c r="N5" s="820">
        <v>21</v>
      </c>
      <c r="O5" s="786"/>
      <c r="P5" s="799">
        <f t="shared" si="0"/>
        <v>56</v>
      </c>
      <c r="Q5" s="799">
        <f t="shared" si="1"/>
        <v>-30</v>
      </c>
      <c r="R5" s="809">
        <f>vacaciones!I6</f>
        <v>44135</v>
      </c>
      <c r="S5" s="792">
        <f>vacaciones!J6</f>
        <v>30</v>
      </c>
      <c r="T5" s="792">
        <f t="shared" si="2"/>
        <v>0</v>
      </c>
    </row>
    <row r="6" spans="1:20" ht="31.5" customHeight="1" x14ac:dyDescent="0.3">
      <c r="A6" s="297">
        <v>4</v>
      </c>
      <c r="B6" s="808" t="s">
        <v>107</v>
      </c>
      <c r="C6" s="799">
        <f>'Control de dias gozados 2019'!CS9</f>
        <v>16</v>
      </c>
      <c r="D6" s="781"/>
      <c r="E6" s="309"/>
      <c r="F6" s="309"/>
      <c r="G6" s="309"/>
      <c r="H6" s="309"/>
      <c r="I6" s="309"/>
      <c r="J6" s="309"/>
      <c r="K6" s="309"/>
      <c r="L6" s="311"/>
      <c r="M6" s="311"/>
      <c r="N6" s="311"/>
      <c r="O6" s="786">
        <v>2</v>
      </c>
      <c r="P6" s="799">
        <f t="shared" si="0"/>
        <v>2</v>
      </c>
      <c r="Q6" s="799">
        <f t="shared" si="1"/>
        <v>14</v>
      </c>
      <c r="R6" s="809">
        <f>vacaciones!I7</f>
        <v>44095</v>
      </c>
      <c r="S6" s="792">
        <f>vacaciones!J7</f>
        <v>30</v>
      </c>
      <c r="T6" s="792">
        <f t="shared" si="2"/>
        <v>44</v>
      </c>
    </row>
    <row r="7" spans="1:20" ht="31.5" customHeight="1" x14ac:dyDescent="0.3">
      <c r="A7" s="297">
        <f>+A6+1</f>
        <v>5</v>
      </c>
      <c r="B7" s="808" t="s">
        <v>16</v>
      </c>
      <c r="C7" s="799">
        <f>'Control de dias gozados 2019'!CS10</f>
        <v>-17</v>
      </c>
      <c r="D7" s="781"/>
      <c r="E7" s="311">
        <v>10</v>
      </c>
      <c r="F7" s="311">
        <v>11</v>
      </c>
      <c r="G7" s="311"/>
      <c r="H7" s="311"/>
      <c r="I7" s="311"/>
      <c r="J7" s="311"/>
      <c r="K7" s="311"/>
      <c r="L7" s="311"/>
      <c r="M7" s="311"/>
      <c r="N7" s="311"/>
      <c r="O7" s="786">
        <v>2</v>
      </c>
      <c r="P7" s="799">
        <f t="shared" si="0"/>
        <v>23</v>
      </c>
      <c r="Q7" s="799">
        <f t="shared" si="1"/>
        <v>-40</v>
      </c>
      <c r="R7" s="809">
        <f>vacaciones!I8</f>
        <v>44010</v>
      </c>
      <c r="S7" s="792">
        <f>vacaciones!J8</f>
        <v>30</v>
      </c>
      <c r="T7" s="792">
        <f t="shared" si="2"/>
        <v>-10</v>
      </c>
    </row>
    <row r="8" spans="1:20" ht="31.5" customHeight="1" x14ac:dyDescent="0.3">
      <c r="A8" s="297">
        <f>+A7+1</f>
        <v>6</v>
      </c>
      <c r="B8" s="808" t="s">
        <v>57</v>
      </c>
      <c r="C8" s="799">
        <f>'Control de dias gozados 2019'!CS11</f>
        <v>72</v>
      </c>
      <c r="D8" s="781"/>
      <c r="E8" s="311">
        <v>7</v>
      </c>
      <c r="F8" s="311">
        <v>8</v>
      </c>
      <c r="G8" s="311"/>
      <c r="H8" s="311"/>
      <c r="I8" s="311"/>
      <c r="J8" s="311"/>
      <c r="K8" s="311"/>
      <c r="L8" s="311">
        <v>15</v>
      </c>
      <c r="M8" s="311"/>
      <c r="N8" s="311"/>
      <c r="O8" s="786">
        <v>2</v>
      </c>
      <c r="P8" s="799">
        <f t="shared" si="0"/>
        <v>32</v>
      </c>
      <c r="Q8" s="799">
        <f t="shared" si="1"/>
        <v>40</v>
      </c>
      <c r="R8" s="809">
        <f>vacaciones!I9</f>
        <v>43885</v>
      </c>
      <c r="S8" s="792">
        <f>vacaciones!J9</f>
        <v>30</v>
      </c>
      <c r="T8" s="792">
        <f t="shared" si="2"/>
        <v>70</v>
      </c>
    </row>
    <row r="9" spans="1:20" s="254" customFormat="1" ht="31.5" customHeight="1" x14ac:dyDescent="0.3">
      <c r="A9" s="297">
        <v>7</v>
      </c>
      <c r="B9" s="808" t="s">
        <v>18</v>
      </c>
      <c r="C9" s="799">
        <f>'Control de dias gozados 2019'!CS12</f>
        <v>122</v>
      </c>
      <c r="D9" s="781"/>
      <c r="E9" s="311">
        <v>12</v>
      </c>
      <c r="F9" s="311"/>
      <c r="G9" s="311"/>
      <c r="H9" s="311"/>
      <c r="I9" s="311"/>
      <c r="J9" s="311"/>
      <c r="K9" s="311"/>
      <c r="L9" s="311">
        <v>15</v>
      </c>
      <c r="M9" s="311">
        <v>15</v>
      </c>
      <c r="N9" s="311">
        <v>15</v>
      </c>
      <c r="O9" s="786">
        <v>15</v>
      </c>
      <c r="P9" s="799">
        <f t="shared" si="0"/>
        <v>72</v>
      </c>
      <c r="Q9" s="799">
        <f t="shared" si="1"/>
        <v>50</v>
      </c>
      <c r="R9" s="816">
        <f>vacaciones!I10</f>
        <v>44206</v>
      </c>
      <c r="S9" s="792">
        <f>vacaciones!J10</f>
        <v>0</v>
      </c>
      <c r="T9" s="792">
        <f t="shared" si="2"/>
        <v>50</v>
      </c>
    </row>
    <row r="10" spans="1:20" ht="31.5" customHeight="1" x14ac:dyDescent="0.3">
      <c r="A10" s="297">
        <f>+A9+1</f>
        <v>8</v>
      </c>
      <c r="B10" s="808" t="s">
        <v>19</v>
      </c>
      <c r="C10" s="799">
        <f>'Control de dias gozados 2019'!CS13</f>
        <v>31</v>
      </c>
      <c r="D10" s="782"/>
      <c r="E10" s="311"/>
      <c r="F10" s="311"/>
      <c r="G10" s="311"/>
      <c r="H10" s="311"/>
      <c r="I10" s="311"/>
      <c r="J10" s="311"/>
      <c r="K10" s="311"/>
      <c r="L10" s="311"/>
      <c r="M10" s="311"/>
      <c r="N10" s="311">
        <v>30</v>
      </c>
      <c r="O10" s="786">
        <v>31</v>
      </c>
      <c r="P10" s="799">
        <f t="shared" si="0"/>
        <v>61</v>
      </c>
      <c r="Q10" s="799">
        <f t="shared" si="1"/>
        <v>-30</v>
      </c>
      <c r="R10" s="809">
        <f>vacaciones!I11</f>
        <v>43843</v>
      </c>
      <c r="S10" s="792">
        <f>vacaciones!J11</f>
        <v>30</v>
      </c>
      <c r="T10" s="792">
        <f t="shared" si="2"/>
        <v>0</v>
      </c>
    </row>
    <row r="11" spans="1:20" ht="31.5" customHeight="1" x14ac:dyDescent="0.3">
      <c r="A11" s="297">
        <f>+A10+1</f>
        <v>9</v>
      </c>
      <c r="B11" s="808" t="s">
        <v>20</v>
      </c>
      <c r="C11" s="799">
        <f>'Control de dias gozados 2019'!CS14</f>
        <v>175</v>
      </c>
      <c r="D11" s="78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825">
        <v>2</v>
      </c>
      <c r="P11" s="799">
        <f t="shared" si="0"/>
        <v>2</v>
      </c>
      <c r="Q11" s="799">
        <f t="shared" si="1"/>
        <v>173</v>
      </c>
      <c r="R11" s="809">
        <f>vacaciones!I12</f>
        <v>44027</v>
      </c>
      <c r="S11" s="792">
        <f>vacaciones!J12</f>
        <v>30</v>
      </c>
      <c r="T11" s="792">
        <f t="shared" si="2"/>
        <v>203</v>
      </c>
    </row>
    <row r="12" spans="1:20" ht="31.5" customHeight="1" x14ac:dyDescent="0.3">
      <c r="A12" s="297">
        <v>10</v>
      </c>
      <c r="B12" s="808" t="s">
        <v>50</v>
      </c>
      <c r="C12" s="799">
        <f>'Control de dias gozados 2019'!CS15</f>
        <v>234</v>
      </c>
      <c r="D12" s="783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825">
        <v>2</v>
      </c>
      <c r="P12" s="799">
        <f t="shared" si="0"/>
        <v>2</v>
      </c>
      <c r="Q12" s="799">
        <f t="shared" si="1"/>
        <v>232</v>
      </c>
      <c r="R12" s="809">
        <f>vacaciones!I13</f>
        <v>43904</v>
      </c>
      <c r="S12" s="792">
        <f>vacaciones!J13</f>
        <v>30</v>
      </c>
      <c r="T12" s="792">
        <f t="shared" si="2"/>
        <v>262</v>
      </c>
    </row>
    <row r="13" spans="1:20" ht="31.5" customHeight="1" x14ac:dyDescent="0.3">
      <c r="A13" s="297">
        <f>+A12+1</f>
        <v>11</v>
      </c>
      <c r="B13" s="808" t="s">
        <v>404</v>
      </c>
      <c r="C13" s="799">
        <f>'Control de dias gozados 2019'!CS16</f>
        <v>0</v>
      </c>
      <c r="D13" s="783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825">
        <v>2</v>
      </c>
      <c r="P13" s="799">
        <f t="shared" si="0"/>
        <v>2</v>
      </c>
      <c r="Q13" s="799">
        <f t="shared" si="1"/>
        <v>-2</v>
      </c>
      <c r="R13" s="817">
        <f>vacaciones!L14</f>
        <v>44497</v>
      </c>
      <c r="S13" s="792">
        <f>vacaciones!J14</f>
        <v>0</v>
      </c>
      <c r="T13" s="792">
        <f t="shared" si="2"/>
        <v>-2</v>
      </c>
    </row>
    <row r="14" spans="1:20" ht="31.5" customHeight="1" x14ac:dyDescent="0.3">
      <c r="A14" s="297">
        <f>+A13+1</f>
        <v>12</v>
      </c>
      <c r="B14" s="808" t="s">
        <v>74</v>
      </c>
      <c r="C14" s="799">
        <f>'Control de dias gozados 2019'!CS17</f>
        <v>0</v>
      </c>
      <c r="D14" s="783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786">
        <v>2</v>
      </c>
      <c r="P14" s="799">
        <f t="shared" si="0"/>
        <v>2</v>
      </c>
      <c r="Q14" s="799">
        <f t="shared" si="1"/>
        <v>-2</v>
      </c>
      <c r="R14" s="817">
        <f>vacaciones!L15</f>
        <v>44359</v>
      </c>
      <c r="S14" s="792">
        <f>vacaciones!J15</f>
        <v>0</v>
      </c>
      <c r="T14" s="792">
        <f t="shared" si="2"/>
        <v>-2</v>
      </c>
    </row>
    <row r="15" spans="1:20" ht="31.5" customHeight="1" x14ac:dyDescent="0.3">
      <c r="A15" s="297">
        <v>13</v>
      </c>
      <c r="B15" s="808" t="s">
        <v>22</v>
      </c>
      <c r="C15" s="799">
        <f>'Control de dias gozados 2019'!CS18</f>
        <v>40</v>
      </c>
      <c r="D15" s="781"/>
      <c r="E15" s="311"/>
      <c r="F15" s="311"/>
      <c r="G15" s="311"/>
      <c r="H15" s="311"/>
      <c r="I15" s="311"/>
      <c r="J15" s="311"/>
      <c r="K15" s="311"/>
      <c r="L15" s="311"/>
      <c r="M15" s="311">
        <v>10</v>
      </c>
      <c r="N15" s="810">
        <v>30</v>
      </c>
      <c r="O15" s="811"/>
      <c r="P15" s="799">
        <f t="shared" si="0"/>
        <v>40</v>
      </c>
      <c r="Q15" s="799">
        <f t="shared" si="1"/>
        <v>0</v>
      </c>
      <c r="R15" s="809">
        <f>vacaciones!I16</f>
        <v>44149</v>
      </c>
      <c r="S15" s="792"/>
      <c r="T15" s="792">
        <f t="shared" si="2"/>
        <v>0</v>
      </c>
    </row>
    <row r="16" spans="1:20" ht="31.5" customHeight="1" x14ac:dyDescent="0.3">
      <c r="A16" s="297">
        <f>+A15+1</f>
        <v>14</v>
      </c>
      <c r="B16" s="808" t="s">
        <v>21</v>
      </c>
      <c r="C16" s="799">
        <f>'Control de dias gozados 2019'!CS19</f>
        <v>0</v>
      </c>
      <c r="D16" s="78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786">
        <v>2</v>
      </c>
      <c r="P16" s="799">
        <f t="shared" si="0"/>
        <v>2</v>
      </c>
      <c r="Q16" s="799">
        <f t="shared" si="1"/>
        <v>-2</v>
      </c>
      <c r="R16" s="817">
        <f>vacaciones!L17</f>
        <v>44359</v>
      </c>
      <c r="S16" s="792">
        <f>vacaciones!J17</f>
        <v>0</v>
      </c>
      <c r="T16" s="792">
        <f t="shared" si="2"/>
        <v>-2</v>
      </c>
    </row>
    <row r="17" spans="1:20" s="254" customFormat="1" ht="31.5" customHeight="1" x14ac:dyDescent="0.3">
      <c r="A17" s="297">
        <f>+A16+1</f>
        <v>15</v>
      </c>
      <c r="B17" s="808" t="s">
        <v>126</v>
      </c>
      <c r="C17" s="799">
        <f>'Control de dias gozados 2019'!CS20</f>
        <v>23</v>
      </c>
      <c r="D17" s="781"/>
      <c r="E17" s="311"/>
      <c r="F17" s="311"/>
      <c r="G17" s="311"/>
      <c r="H17" s="311"/>
      <c r="I17" s="311"/>
      <c r="J17" s="311"/>
      <c r="K17" s="311">
        <v>31</v>
      </c>
      <c r="L17" s="311">
        <v>2</v>
      </c>
      <c r="M17" s="311"/>
      <c r="N17" s="311"/>
      <c r="O17" s="786">
        <v>2</v>
      </c>
      <c r="P17" s="799">
        <f t="shared" si="0"/>
        <v>35</v>
      </c>
      <c r="Q17" s="799">
        <f t="shared" si="1"/>
        <v>-12</v>
      </c>
      <c r="R17" s="816">
        <f>vacaciones!I18</f>
        <v>44370</v>
      </c>
      <c r="S17" s="792">
        <f>vacaciones!J18</f>
        <v>0</v>
      </c>
      <c r="T17" s="792">
        <f t="shared" si="2"/>
        <v>-12</v>
      </c>
    </row>
    <row r="18" spans="1:20" ht="31.5" customHeight="1" x14ac:dyDescent="0.3">
      <c r="A18" s="297">
        <v>16</v>
      </c>
      <c r="B18" s="808" t="s">
        <v>156</v>
      </c>
      <c r="C18" s="799">
        <f>'Control de dias gozados 2019'!CS21</f>
        <v>0</v>
      </c>
      <c r="D18" s="78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786"/>
      <c r="P18" s="799"/>
      <c r="Q18" s="799">
        <f t="shared" si="1"/>
        <v>0</v>
      </c>
      <c r="R18" s="809"/>
      <c r="S18" s="792"/>
      <c r="T18" s="792">
        <f t="shared" si="2"/>
        <v>0</v>
      </c>
    </row>
    <row r="19" spans="1:20" ht="31.5" customHeight="1" x14ac:dyDescent="0.3">
      <c r="A19" s="297">
        <f>+A18+1</f>
        <v>17</v>
      </c>
      <c r="B19" s="808" t="s">
        <v>149</v>
      </c>
      <c r="C19" s="799">
        <f>'Control de dias gozados 2019'!CS22</f>
        <v>0</v>
      </c>
      <c r="D19" s="781"/>
      <c r="E19" s="311"/>
      <c r="F19" s="311"/>
      <c r="G19" s="311"/>
      <c r="H19" s="311"/>
      <c r="I19" s="311"/>
      <c r="J19" s="311"/>
      <c r="K19" s="311"/>
      <c r="L19" s="311">
        <v>18</v>
      </c>
      <c r="M19" s="311"/>
      <c r="N19" s="311"/>
      <c r="O19" s="786">
        <v>2</v>
      </c>
      <c r="P19" s="799">
        <f t="shared" ref="P19:P44" si="3">SUM(D19:O19)</f>
        <v>20</v>
      </c>
      <c r="Q19" s="799">
        <f t="shared" si="1"/>
        <v>-20</v>
      </c>
      <c r="R19" s="816">
        <f>vacaciones!I19</f>
        <v>44237</v>
      </c>
      <c r="S19" s="792">
        <f>vacaciones!J19</f>
        <v>0</v>
      </c>
      <c r="T19" s="792">
        <f t="shared" si="2"/>
        <v>-20</v>
      </c>
    </row>
    <row r="20" spans="1:20" ht="31.5" customHeight="1" x14ac:dyDescent="0.3">
      <c r="A20" s="297">
        <f>+A19+1</f>
        <v>18</v>
      </c>
      <c r="B20" s="808" t="s">
        <v>51</v>
      </c>
      <c r="C20" s="799">
        <f>'Control de dias gozados 2019'!CS23</f>
        <v>41</v>
      </c>
      <c r="D20" s="781"/>
      <c r="E20" s="311">
        <v>6</v>
      </c>
      <c r="F20" s="311"/>
      <c r="G20" s="311"/>
      <c r="H20" s="311"/>
      <c r="I20" s="311"/>
      <c r="J20" s="311"/>
      <c r="K20" s="311"/>
      <c r="L20" s="311"/>
      <c r="M20" s="311">
        <v>2</v>
      </c>
      <c r="N20" s="311"/>
      <c r="O20" s="786">
        <v>2</v>
      </c>
      <c r="P20" s="799">
        <f t="shared" si="3"/>
        <v>10</v>
      </c>
      <c r="Q20" s="799">
        <f t="shared" si="1"/>
        <v>31</v>
      </c>
      <c r="R20" s="809">
        <f>vacaciones!I20</f>
        <v>44058</v>
      </c>
      <c r="S20" s="792">
        <f>vacaciones!J20</f>
        <v>30</v>
      </c>
      <c r="T20" s="792">
        <f t="shared" si="2"/>
        <v>61</v>
      </c>
    </row>
    <row r="21" spans="1:20" ht="31.5" customHeight="1" x14ac:dyDescent="0.3">
      <c r="A21" s="297">
        <v>19</v>
      </c>
      <c r="B21" s="808" t="s">
        <v>150</v>
      </c>
      <c r="C21" s="799">
        <f>'Control de dias gozados 2019'!CS24</f>
        <v>0</v>
      </c>
      <c r="D21" s="78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786">
        <v>2</v>
      </c>
      <c r="P21" s="799">
        <f t="shared" si="3"/>
        <v>2</v>
      </c>
      <c r="Q21" s="799">
        <f t="shared" si="1"/>
        <v>-2</v>
      </c>
      <c r="R21" s="809">
        <f>vacaciones!I21</f>
        <v>43960</v>
      </c>
      <c r="S21" s="792">
        <f>vacaciones!J21</f>
        <v>30</v>
      </c>
      <c r="T21" s="792">
        <f t="shared" si="2"/>
        <v>28</v>
      </c>
    </row>
    <row r="22" spans="1:20" ht="31.5" customHeight="1" x14ac:dyDescent="0.3">
      <c r="A22" s="297">
        <f>+A21+1</f>
        <v>20</v>
      </c>
      <c r="B22" s="807" t="s">
        <v>58</v>
      </c>
      <c r="C22" s="799">
        <f>'Control de dias gozados 2019'!CS25</f>
        <v>183</v>
      </c>
      <c r="D22" s="781"/>
      <c r="E22" s="311"/>
      <c r="F22" s="311"/>
      <c r="G22" s="311">
        <v>30</v>
      </c>
      <c r="H22" s="311"/>
      <c r="I22" s="311"/>
      <c r="J22" s="311"/>
      <c r="K22" s="311"/>
      <c r="L22" s="311">
        <v>3</v>
      </c>
      <c r="M22" s="311">
        <v>3</v>
      </c>
      <c r="N22" s="311"/>
      <c r="O22" s="786">
        <v>2</v>
      </c>
      <c r="P22" s="799">
        <f t="shared" si="3"/>
        <v>38</v>
      </c>
      <c r="Q22" s="799">
        <f t="shared" si="1"/>
        <v>145</v>
      </c>
      <c r="R22" s="809">
        <f>vacaciones!I22</f>
        <v>43874</v>
      </c>
      <c r="S22" s="792">
        <f>vacaciones!J22</f>
        <v>30</v>
      </c>
      <c r="T22" s="792">
        <f t="shared" si="2"/>
        <v>175</v>
      </c>
    </row>
    <row r="23" spans="1:20" ht="31.5" customHeight="1" x14ac:dyDescent="0.3">
      <c r="A23" s="297">
        <f>+A22+1</f>
        <v>21</v>
      </c>
      <c r="B23" s="807" t="s">
        <v>52</v>
      </c>
      <c r="C23" s="799">
        <f>'Control de dias gozados 2019'!CS26</f>
        <v>163</v>
      </c>
      <c r="D23" s="781">
        <v>31</v>
      </c>
      <c r="E23" s="311"/>
      <c r="F23" s="309"/>
      <c r="G23" s="309"/>
      <c r="H23" s="309"/>
      <c r="I23" s="309"/>
      <c r="J23" s="309"/>
      <c r="K23" s="309"/>
      <c r="L23" s="309"/>
      <c r="M23" s="314">
        <v>20</v>
      </c>
      <c r="N23" s="314">
        <v>30</v>
      </c>
      <c r="O23" s="787">
        <v>31</v>
      </c>
      <c r="P23" s="799">
        <f t="shared" si="3"/>
        <v>112</v>
      </c>
      <c r="Q23" s="799">
        <f t="shared" si="1"/>
        <v>51</v>
      </c>
      <c r="R23" s="809">
        <f>vacaciones!I23</f>
        <v>44021</v>
      </c>
      <c r="S23" s="792">
        <f>vacaciones!J23</f>
        <v>30</v>
      </c>
      <c r="T23" s="792">
        <f t="shared" si="2"/>
        <v>81</v>
      </c>
    </row>
    <row r="24" spans="1:20" ht="31.5" customHeight="1" x14ac:dyDescent="0.3">
      <c r="A24" s="297">
        <v>22</v>
      </c>
      <c r="B24" s="807" t="s">
        <v>53</v>
      </c>
      <c r="C24" s="799">
        <f>'Control de dias gozados 2019'!CS27</f>
        <v>152</v>
      </c>
      <c r="D24" s="781"/>
      <c r="E24" s="311"/>
      <c r="F24" s="311"/>
      <c r="G24" s="311"/>
      <c r="H24" s="311"/>
      <c r="I24" s="311"/>
      <c r="J24" s="311"/>
      <c r="K24" s="311"/>
      <c r="L24" s="311">
        <v>30</v>
      </c>
      <c r="M24" s="311">
        <v>31</v>
      </c>
      <c r="N24" s="314">
        <v>30</v>
      </c>
      <c r="O24" s="786">
        <v>31</v>
      </c>
      <c r="P24" s="799">
        <f t="shared" si="3"/>
        <v>122</v>
      </c>
      <c r="Q24" s="799">
        <f t="shared" si="1"/>
        <v>30</v>
      </c>
      <c r="R24" s="809">
        <f>vacaciones!I24</f>
        <v>44196</v>
      </c>
      <c r="S24" s="792">
        <v>30</v>
      </c>
      <c r="T24" s="792">
        <f t="shared" si="2"/>
        <v>60</v>
      </c>
    </row>
    <row r="25" spans="1:20" ht="31.5" customHeight="1" x14ac:dyDescent="0.3">
      <c r="A25" s="297">
        <f>+A24+1</f>
        <v>23</v>
      </c>
      <c r="B25" s="807" t="s">
        <v>157</v>
      </c>
      <c r="C25" s="799">
        <f>'Control de dias gozados 2019'!CS28</f>
        <v>0</v>
      </c>
      <c r="D25" s="78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786"/>
      <c r="P25" s="799">
        <f t="shared" si="3"/>
        <v>0</v>
      </c>
      <c r="Q25" s="799">
        <f t="shared" si="1"/>
        <v>0</v>
      </c>
      <c r="R25" s="809"/>
      <c r="S25" s="792"/>
      <c r="T25" s="792">
        <f t="shared" si="2"/>
        <v>0</v>
      </c>
    </row>
    <row r="26" spans="1:20" ht="31.5" customHeight="1" x14ac:dyDescent="0.3">
      <c r="A26" s="297">
        <f>+A25+1</f>
        <v>24</v>
      </c>
      <c r="B26" s="808" t="s">
        <v>108</v>
      </c>
      <c r="C26" s="799">
        <f>'Control de dias gozados 2019'!CS29</f>
        <v>10</v>
      </c>
      <c r="D26" s="781"/>
      <c r="E26" s="311">
        <v>15</v>
      </c>
      <c r="F26" s="311"/>
      <c r="G26" s="311"/>
      <c r="H26" s="311"/>
      <c r="I26" s="311"/>
      <c r="J26" s="311"/>
      <c r="K26" s="311"/>
      <c r="L26" s="311">
        <v>12</v>
      </c>
      <c r="M26" s="311"/>
      <c r="N26" s="311">
        <v>1</v>
      </c>
      <c r="O26" s="786">
        <v>2</v>
      </c>
      <c r="P26" s="799">
        <f t="shared" si="3"/>
        <v>30</v>
      </c>
      <c r="Q26" s="799">
        <f t="shared" si="1"/>
        <v>-20</v>
      </c>
      <c r="R26" s="809">
        <f>vacaciones!I25</f>
        <v>44141</v>
      </c>
      <c r="S26" s="792">
        <f>vacaciones!J25</f>
        <v>30</v>
      </c>
      <c r="T26" s="792">
        <f t="shared" si="2"/>
        <v>10</v>
      </c>
    </row>
    <row r="27" spans="1:20" ht="31.5" customHeight="1" x14ac:dyDescent="0.3">
      <c r="A27" s="297">
        <v>25</v>
      </c>
      <c r="B27" s="808" t="s">
        <v>402</v>
      </c>
      <c r="C27" s="799">
        <f>'Control de dias gozados 2019'!CS30</f>
        <v>0</v>
      </c>
      <c r="D27" s="781"/>
      <c r="E27" s="311"/>
      <c r="F27" s="311"/>
      <c r="G27" s="311"/>
      <c r="H27" s="311"/>
      <c r="I27" s="311"/>
      <c r="J27" s="311"/>
      <c r="K27" s="311"/>
      <c r="L27" s="311"/>
      <c r="M27" s="311"/>
      <c r="N27" s="311">
        <v>4</v>
      </c>
      <c r="O27" s="786">
        <v>11</v>
      </c>
      <c r="P27" s="799">
        <f>SUM(D27:O27)</f>
        <v>15</v>
      </c>
      <c r="Q27" s="799">
        <f t="shared" si="1"/>
        <v>-15</v>
      </c>
      <c r="R27" s="817">
        <f>vacaciones!L26</f>
        <v>44497</v>
      </c>
      <c r="S27" s="792">
        <f>vacaciones!J26</f>
        <v>0</v>
      </c>
      <c r="T27" s="792">
        <f t="shared" si="2"/>
        <v>-15</v>
      </c>
    </row>
    <row r="28" spans="1:20" ht="31.5" customHeight="1" x14ac:dyDescent="0.3">
      <c r="A28" s="297">
        <f>+A27+1</f>
        <v>26</v>
      </c>
      <c r="B28" s="807" t="s">
        <v>87</v>
      </c>
      <c r="C28" s="799">
        <f>'Control de dias gozados 2019'!CS31</f>
        <v>-10</v>
      </c>
      <c r="D28" s="781"/>
      <c r="E28" s="311">
        <v>7</v>
      </c>
      <c r="F28" s="311"/>
      <c r="G28" s="311"/>
      <c r="H28" s="311"/>
      <c r="I28" s="311"/>
      <c r="J28" s="311"/>
      <c r="K28" s="311"/>
      <c r="L28" s="311">
        <v>15</v>
      </c>
      <c r="M28" s="311">
        <v>3</v>
      </c>
      <c r="N28" s="311">
        <v>1</v>
      </c>
      <c r="O28" s="786">
        <v>3</v>
      </c>
      <c r="P28" s="799">
        <f t="shared" si="3"/>
        <v>29</v>
      </c>
      <c r="Q28" s="799">
        <f t="shared" si="1"/>
        <v>-39</v>
      </c>
      <c r="R28" s="809">
        <f>vacaciones!I27</f>
        <v>43849</v>
      </c>
      <c r="S28" s="792">
        <f>vacaciones!J27</f>
        <v>30</v>
      </c>
      <c r="T28" s="792">
        <f t="shared" si="2"/>
        <v>-9</v>
      </c>
    </row>
    <row r="29" spans="1:20" s="254" customFormat="1" ht="31.5" customHeight="1" x14ac:dyDescent="0.3">
      <c r="A29" s="297">
        <f>+A28+1</f>
        <v>27</v>
      </c>
      <c r="B29" s="808" t="s">
        <v>127</v>
      </c>
      <c r="C29" s="799">
        <f>'Control de dias gozados 2019'!CS32</f>
        <v>25</v>
      </c>
      <c r="D29" s="781"/>
      <c r="E29" s="311"/>
      <c r="F29" s="311"/>
      <c r="G29" s="311"/>
      <c r="H29" s="311"/>
      <c r="I29" s="311"/>
      <c r="J29" s="311"/>
      <c r="K29" s="311">
        <v>31</v>
      </c>
      <c r="L29" s="311">
        <v>2</v>
      </c>
      <c r="M29" s="311"/>
      <c r="N29" s="311"/>
      <c r="O29" s="786">
        <v>2</v>
      </c>
      <c r="P29" s="799">
        <f t="shared" si="3"/>
        <v>35</v>
      </c>
      <c r="Q29" s="799">
        <f t="shared" si="1"/>
        <v>-10</v>
      </c>
      <c r="R29" s="809">
        <f>vacaciones!I28</f>
        <v>44186</v>
      </c>
      <c r="S29" s="792">
        <v>30</v>
      </c>
      <c r="T29" s="792">
        <f t="shared" si="2"/>
        <v>20</v>
      </c>
    </row>
    <row r="30" spans="1:20" s="254" customFormat="1" ht="31.5" customHeight="1" x14ac:dyDescent="0.3">
      <c r="A30" s="297">
        <v>28</v>
      </c>
      <c r="B30" s="808" t="s">
        <v>379</v>
      </c>
      <c r="C30" s="799">
        <f>'Control de dias gozados 2019'!CS33</f>
        <v>0</v>
      </c>
      <c r="D30" s="78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786">
        <v>2</v>
      </c>
      <c r="P30" s="799">
        <f t="shared" si="3"/>
        <v>2</v>
      </c>
      <c r="Q30" s="799">
        <f t="shared" si="1"/>
        <v>-2</v>
      </c>
      <c r="R30" s="817">
        <f>vacaciones!L29</f>
        <v>44479</v>
      </c>
      <c r="S30" s="792">
        <f>vacaciones!J29</f>
        <v>0</v>
      </c>
      <c r="T30" s="792">
        <f t="shared" si="2"/>
        <v>-2</v>
      </c>
    </row>
    <row r="31" spans="1:20" ht="31.5" customHeight="1" x14ac:dyDescent="0.3">
      <c r="A31" s="297">
        <f>+A30+1</f>
        <v>29</v>
      </c>
      <c r="B31" s="808" t="s">
        <v>151</v>
      </c>
      <c r="C31" s="799">
        <f>'Control de dias gozados 2019'!CS34</f>
        <v>0</v>
      </c>
      <c r="D31" s="78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786"/>
      <c r="P31" s="799">
        <f t="shared" si="3"/>
        <v>0</v>
      </c>
      <c r="Q31" s="799">
        <f t="shared" si="1"/>
        <v>0</v>
      </c>
      <c r="R31" s="809">
        <f>vacaciones!I30</f>
        <v>44082</v>
      </c>
      <c r="S31" s="792">
        <f>vacaciones!J30</f>
        <v>30</v>
      </c>
      <c r="T31" s="792">
        <f t="shared" si="2"/>
        <v>30</v>
      </c>
    </row>
    <row r="32" spans="1:20" ht="31.5" customHeight="1" x14ac:dyDescent="0.3">
      <c r="A32" s="297">
        <f>+A31+1</f>
        <v>30</v>
      </c>
      <c r="B32" s="808" t="s">
        <v>346</v>
      </c>
      <c r="C32" s="799">
        <f>'Control de dias gozados 2019'!CS35</f>
        <v>0</v>
      </c>
      <c r="D32" s="78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786">
        <v>2</v>
      </c>
      <c r="P32" s="799">
        <f t="shared" si="3"/>
        <v>2</v>
      </c>
      <c r="Q32" s="799">
        <f t="shared" si="1"/>
        <v>-2</v>
      </c>
      <c r="R32" s="817">
        <f>vacaciones!L31</f>
        <v>44404</v>
      </c>
      <c r="S32" s="792">
        <f>vacaciones!J31</f>
        <v>0</v>
      </c>
      <c r="T32" s="792">
        <f t="shared" si="2"/>
        <v>-2</v>
      </c>
    </row>
    <row r="33" spans="1:22" ht="31.5" customHeight="1" x14ac:dyDescent="0.3">
      <c r="A33" s="297">
        <v>31</v>
      </c>
      <c r="B33" s="808" t="s">
        <v>152</v>
      </c>
      <c r="C33" s="799">
        <f>'Control de dias gozados 2019'!CS36</f>
        <v>30</v>
      </c>
      <c r="D33" s="781">
        <v>7</v>
      </c>
      <c r="E33" s="311"/>
      <c r="F33" s="311"/>
      <c r="G33" s="311"/>
      <c r="H33" s="311"/>
      <c r="I33" s="311"/>
      <c r="J33" s="311"/>
      <c r="K33" s="311"/>
      <c r="L33" s="311">
        <v>5</v>
      </c>
      <c r="M33" s="311">
        <v>21</v>
      </c>
      <c r="N33" s="311"/>
      <c r="O33" s="786">
        <v>2</v>
      </c>
      <c r="P33" s="799">
        <f t="shared" si="3"/>
        <v>35</v>
      </c>
      <c r="Q33" s="799">
        <f t="shared" si="1"/>
        <v>-5</v>
      </c>
      <c r="R33" s="809">
        <f>vacaciones!I32</f>
        <v>44164.5</v>
      </c>
      <c r="S33" s="792">
        <v>30</v>
      </c>
      <c r="T33" s="792">
        <f t="shared" si="2"/>
        <v>25</v>
      </c>
    </row>
    <row r="34" spans="1:22" ht="31.5" customHeight="1" x14ac:dyDescent="0.3">
      <c r="A34" s="297">
        <f>+A33+1</f>
        <v>32</v>
      </c>
      <c r="B34" s="808" t="s">
        <v>59</v>
      </c>
      <c r="C34" s="799">
        <f>'Control de dias gozados 2019'!CS37</f>
        <v>85</v>
      </c>
      <c r="D34" s="781"/>
      <c r="E34" s="311"/>
      <c r="F34" s="311"/>
      <c r="G34" s="311"/>
      <c r="H34" s="311"/>
      <c r="I34" s="311"/>
      <c r="J34" s="311"/>
      <c r="K34" s="311"/>
      <c r="L34" s="311">
        <v>14</v>
      </c>
      <c r="M34" s="311">
        <v>9</v>
      </c>
      <c r="N34" s="311">
        <v>4</v>
      </c>
      <c r="O34" s="786">
        <v>2</v>
      </c>
      <c r="P34" s="799">
        <f t="shared" si="3"/>
        <v>29</v>
      </c>
      <c r="Q34" s="799">
        <f t="shared" si="1"/>
        <v>56</v>
      </c>
      <c r="R34" s="809">
        <f>vacaciones!I33</f>
        <v>44165</v>
      </c>
      <c r="S34" s="792">
        <v>30</v>
      </c>
      <c r="T34" s="792">
        <f t="shared" si="2"/>
        <v>86</v>
      </c>
      <c r="U34" s="253">
        <v>12</v>
      </c>
      <c r="V34" s="253">
        <v>30</v>
      </c>
    </row>
    <row r="35" spans="1:22" ht="31.5" customHeight="1" x14ac:dyDescent="0.3">
      <c r="A35" s="297">
        <f>+A34+1</f>
        <v>33</v>
      </c>
      <c r="B35" s="808" t="s">
        <v>97</v>
      </c>
      <c r="C35" s="799">
        <f>'Control de dias gozados 2019'!CS38</f>
        <v>44</v>
      </c>
      <c r="D35" s="783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786">
        <v>2</v>
      </c>
      <c r="P35" s="799">
        <f t="shared" si="3"/>
        <v>2</v>
      </c>
      <c r="Q35" s="799">
        <f t="shared" si="1"/>
        <v>42</v>
      </c>
      <c r="R35" s="809">
        <f>vacaciones!I34</f>
        <v>44028</v>
      </c>
      <c r="S35" s="792">
        <f>vacaciones!J34</f>
        <v>30</v>
      </c>
      <c r="T35" s="792">
        <f t="shared" si="2"/>
        <v>72</v>
      </c>
      <c r="U35" s="253">
        <v>9.5</v>
      </c>
      <c r="V35" s="253">
        <f>U35*V34/U34</f>
        <v>23.75</v>
      </c>
    </row>
    <row r="36" spans="1:22" ht="31.5" customHeight="1" x14ac:dyDescent="0.3">
      <c r="A36" s="297">
        <v>34</v>
      </c>
      <c r="B36" s="808" t="s">
        <v>54</v>
      </c>
      <c r="C36" s="799">
        <f>'Control de dias gozados 2019'!CS39</f>
        <v>127</v>
      </c>
      <c r="D36" s="784"/>
      <c r="E36" s="311">
        <v>5</v>
      </c>
      <c r="F36" s="315"/>
      <c r="G36" s="315"/>
      <c r="H36" s="315"/>
      <c r="I36" s="315"/>
      <c r="J36" s="315"/>
      <c r="K36" s="315"/>
      <c r="L36" s="315"/>
      <c r="M36" s="315"/>
      <c r="N36" s="315"/>
      <c r="O36" s="788">
        <v>2</v>
      </c>
      <c r="P36" s="799">
        <f t="shared" si="3"/>
        <v>7</v>
      </c>
      <c r="Q36" s="799">
        <f t="shared" si="1"/>
        <v>120</v>
      </c>
      <c r="R36" s="809">
        <f>vacaciones!I35</f>
        <v>44024</v>
      </c>
      <c r="S36" s="792">
        <f>vacaciones!J35</f>
        <v>30</v>
      </c>
      <c r="T36" s="792">
        <f t="shared" si="2"/>
        <v>150</v>
      </c>
      <c r="V36" s="253">
        <v>18</v>
      </c>
    </row>
    <row r="37" spans="1:22" s="254" customFormat="1" ht="31.5" customHeight="1" x14ac:dyDescent="0.3">
      <c r="A37" s="297">
        <f>+A36+1</f>
        <v>35</v>
      </c>
      <c r="B37" s="808" t="s">
        <v>96</v>
      </c>
      <c r="C37" s="799">
        <f>'Control de dias gozados 2019'!CS40</f>
        <v>34</v>
      </c>
      <c r="D37" s="783"/>
      <c r="E37" s="311"/>
      <c r="F37" s="311"/>
      <c r="G37" s="311"/>
      <c r="H37" s="311"/>
      <c r="I37" s="311"/>
      <c r="J37" s="311"/>
      <c r="K37" s="311">
        <v>8</v>
      </c>
      <c r="L37" s="311">
        <v>30</v>
      </c>
      <c r="M37" s="311">
        <v>14</v>
      </c>
      <c r="N37" s="311"/>
      <c r="O37" s="786"/>
      <c r="P37" s="799">
        <f t="shared" si="3"/>
        <v>52</v>
      </c>
      <c r="Q37" s="799">
        <f t="shared" si="1"/>
        <v>-18</v>
      </c>
      <c r="R37" s="816">
        <f>vacaciones!I36</f>
        <v>44279</v>
      </c>
      <c r="S37" s="792">
        <f>vacaciones!J36</f>
        <v>0</v>
      </c>
      <c r="T37" s="792"/>
      <c r="V37" s="254">
        <f>V35-V36</f>
        <v>5.75</v>
      </c>
    </row>
    <row r="38" spans="1:22" ht="31.5" customHeight="1" x14ac:dyDescent="0.3">
      <c r="A38" s="297">
        <f>+A37+1</f>
        <v>36</v>
      </c>
      <c r="B38" s="808" t="s">
        <v>323</v>
      </c>
      <c r="C38" s="799">
        <f>'Control de dias gozados 2019'!CS41</f>
        <v>0</v>
      </c>
      <c r="D38" s="783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786">
        <v>10</v>
      </c>
      <c r="P38" s="799">
        <f>SUM(D38:O38)</f>
        <v>10</v>
      </c>
      <c r="Q38" s="799">
        <f t="shared" si="1"/>
        <v>-10</v>
      </c>
      <c r="R38" s="817">
        <f>vacaciones!L37</f>
        <v>44435</v>
      </c>
      <c r="S38" s="792">
        <f>vacaciones!J37</f>
        <v>0</v>
      </c>
      <c r="T38" s="792"/>
    </row>
    <row r="39" spans="1:22" ht="31.5" customHeight="1" x14ac:dyDescent="0.3">
      <c r="A39" s="297">
        <v>37</v>
      </c>
      <c r="B39" s="808" t="s">
        <v>55</v>
      </c>
      <c r="C39" s="799">
        <f>'Control de dias gozados 2019'!CS42</f>
        <v>106</v>
      </c>
      <c r="D39" s="781">
        <v>3</v>
      </c>
      <c r="E39" s="311">
        <v>6</v>
      </c>
      <c r="F39" s="311"/>
      <c r="G39" s="311"/>
      <c r="H39" s="311"/>
      <c r="I39" s="311"/>
      <c r="J39" s="311"/>
      <c r="K39" s="311"/>
      <c r="L39" s="311"/>
      <c r="M39" s="311"/>
      <c r="N39" s="311"/>
      <c r="O39" s="814">
        <v>24</v>
      </c>
      <c r="P39" s="799">
        <f t="shared" si="3"/>
        <v>33</v>
      </c>
      <c r="Q39" s="799">
        <f t="shared" si="1"/>
        <v>73</v>
      </c>
      <c r="R39" s="809">
        <f>vacaciones!I38</f>
        <v>44006</v>
      </c>
      <c r="S39" s="792">
        <f>vacaciones!J38</f>
        <v>30</v>
      </c>
      <c r="T39" s="792">
        <f t="shared" si="2"/>
        <v>103</v>
      </c>
      <c r="U39" s="818">
        <v>44300</v>
      </c>
      <c r="V39" s="819" t="s">
        <v>415</v>
      </c>
    </row>
    <row r="40" spans="1:22" ht="31.5" customHeight="1" x14ac:dyDescent="0.3">
      <c r="A40" s="297">
        <f>+A39+1</f>
        <v>38</v>
      </c>
      <c r="B40" s="808" t="s">
        <v>56</v>
      </c>
      <c r="C40" s="799">
        <f>'Control de dias gozados 2019'!CS43</f>
        <v>120</v>
      </c>
      <c r="D40" s="781"/>
      <c r="E40" s="311">
        <v>1</v>
      </c>
      <c r="F40" s="311"/>
      <c r="G40" s="311"/>
      <c r="H40" s="311"/>
      <c r="I40" s="311"/>
      <c r="J40" s="311"/>
      <c r="K40" s="311"/>
      <c r="L40" s="311">
        <v>12</v>
      </c>
      <c r="M40" s="311"/>
      <c r="N40" s="311">
        <v>1</v>
      </c>
      <c r="O40" s="786">
        <v>15</v>
      </c>
      <c r="P40" s="799">
        <f t="shared" si="3"/>
        <v>29</v>
      </c>
      <c r="Q40" s="799">
        <f t="shared" si="1"/>
        <v>91</v>
      </c>
      <c r="R40" s="809">
        <f>vacaciones!I39</f>
        <v>43893</v>
      </c>
      <c r="S40" s="792">
        <f>vacaciones!J39</f>
        <v>30</v>
      </c>
      <c r="T40" s="792">
        <f t="shared" si="2"/>
        <v>121</v>
      </c>
      <c r="U40" s="821"/>
    </row>
    <row r="41" spans="1:22" ht="31.5" customHeight="1" x14ac:dyDescent="0.3">
      <c r="A41" s="297">
        <f>+A40+1</f>
        <v>39</v>
      </c>
      <c r="B41" s="808" t="s">
        <v>153</v>
      </c>
      <c r="C41" s="799">
        <f>'Control de dias gozados 2019'!CS44</f>
        <v>30</v>
      </c>
      <c r="D41" s="783"/>
      <c r="E41" s="311"/>
      <c r="F41" s="309"/>
      <c r="G41" s="311"/>
      <c r="H41" s="311"/>
      <c r="I41" s="311"/>
      <c r="J41" s="311"/>
      <c r="K41" s="311"/>
      <c r="L41" s="311"/>
      <c r="M41" s="311"/>
      <c r="N41" s="311"/>
      <c r="O41" s="786">
        <v>30</v>
      </c>
      <c r="P41" s="799">
        <f t="shared" si="3"/>
        <v>30</v>
      </c>
      <c r="Q41" s="799">
        <f t="shared" si="1"/>
        <v>0</v>
      </c>
      <c r="R41" s="817">
        <f>vacaciones!I40</f>
        <v>44248</v>
      </c>
      <c r="S41" s="792">
        <f>vacaciones!J40</f>
        <v>0</v>
      </c>
      <c r="T41" s="792">
        <f t="shared" si="2"/>
        <v>0</v>
      </c>
      <c r="U41" s="821"/>
    </row>
    <row r="42" spans="1:22" ht="31.5" customHeight="1" x14ac:dyDescent="0.3">
      <c r="A42" s="297">
        <v>40</v>
      </c>
      <c r="B42" s="808" t="s">
        <v>95</v>
      </c>
      <c r="C42" s="799">
        <f>'Control de dias gozados 2019'!CS45</f>
        <v>-3</v>
      </c>
      <c r="D42" s="781"/>
      <c r="E42" s="311"/>
      <c r="F42" s="311"/>
      <c r="G42" s="311"/>
      <c r="H42" s="311"/>
      <c r="I42" s="311"/>
      <c r="J42" s="311"/>
      <c r="K42" s="311"/>
      <c r="L42" s="311">
        <v>15</v>
      </c>
      <c r="M42" s="311"/>
      <c r="N42" s="311"/>
      <c r="O42" s="786">
        <v>10</v>
      </c>
      <c r="P42" s="799">
        <f t="shared" si="3"/>
        <v>25</v>
      </c>
      <c r="Q42" s="799">
        <f t="shared" si="1"/>
        <v>-28</v>
      </c>
      <c r="R42" s="817">
        <f>vacaciones!I41</f>
        <v>44228</v>
      </c>
      <c r="S42" s="792">
        <f>vacaciones!J41</f>
        <v>0</v>
      </c>
      <c r="T42" s="792">
        <f t="shared" si="2"/>
        <v>-28</v>
      </c>
    </row>
    <row r="43" spans="1:22" s="254" customFormat="1" ht="31.5" customHeight="1" x14ac:dyDescent="0.3">
      <c r="A43" s="297">
        <f>+A42+1</f>
        <v>41</v>
      </c>
      <c r="B43" s="808" t="s">
        <v>109</v>
      </c>
      <c r="C43" s="799">
        <f>'Control de dias gozados 2019'!CS46</f>
        <v>15</v>
      </c>
      <c r="D43" s="781"/>
      <c r="E43" s="311"/>
      <c r="F43" s="311">
        <v>7</v>
      </c>
      <c r="G43" s="311"/>
      <c r="H43" s="311"/>
      <c r="I43" s="311"/>
      <c r="J43" s="311"/>
      <c r="K43" s="311">
        <v>30</v>
      </c>
      <c r="L43" s="311">
        <v>2</v>
      </c>
      <c r="M43" s="311"/>
      <c r="N43" s="311"/>
      <c r="O43" s="786">
        <v>2</v>
      </c>
      <c r="P43" s="799">
        <f t="shared" si="3"/>
        <v>41</v>
      </c>
      <c r="Q43" s="799">
        <f t="shared" si="1"/>
        <v>-26</v>
      </c>
      <c r="R43" s="809">
        <f>vacaciones!I42</f>
        <v>44137</v>
      </c>
      <c r="S43" s="792">
        <f>vacaciones!J42</f>
        <v>30</v>
      </c>
      <c r="T43" s="792">
        <f t="shared" si="2"/>
        <v>4</v>
      </c>
    </row>
    <row r="44" spans="1:22" ht="31.5" customHeight="1" x14ac:dyDescent="0.3">
      <c r="A44" s="297">
        <f>+A43+1</f>
        <v>42</v>
      </c>
      <c r="B44" s="808" t="s">
        <v>61</v>
      </c>
      <c r="C44" s="799">
        <f>'Control de dias gozados 2019'!CS47</f>
        <v>53</v>
      </c>
      <c r="D44" s="78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786">
        <v>2</v>
      </c>
      <c r="P44" s="799">
        <f t="shared" si="3"/>
        <v>2</v>
      </c>
      <c r="Q44" s="799">
        <f t="shared" si="1"/>
        <v>51</v>
      </c>
      <c r="R44" s="809">
        <f>vacaciones!I43</f>
        <v>44075</v>
      </c>
      <c r="S44" s="792">
        <f>vacaciones!J43</f>
        <v>30</v>
      </c>
      <c r="T44" s="792">
        <f t="shared" si="2"/>
        <v>81</v>
      </c>
    </row>
    <row r="45" spans="1:22" x14ac:dyDescent="0.3">
      <c r="A45" s="297"/>
      <c r="C45" s="793"/>
      <c r="P45" s="796"/>
      <c r="Q45" s="796"/>
      <c r="S45" s="793"/>
      <c r="T45" s="793"/>
    </row>
    <row r="46" spans="1:22" x14ac:dyDescent="0.3">
      <c r="A46" s="297"/>
      <c r="Q46" s="826">
        <v>44075</v>
      </c>
    </row>
    <row r="47" spans="1:22" x14ac:dyDescent="0.3">
      <c r="A47" s="297"/>
      <c r="Q47" s="826">
        <v>44172</v>
      </c>
    </row>
    <row r="48" spans="1:22" x14ac:dyDescent="0.3">
      <c r="A48" s="297"/>
      <c r="L48" s="316"/>
      <c r="Q48" s="826">
        <v>44196</v>
      </c>
    </row>
    <row r="49" spans="17:20" x14ac:dyDescent="0.3">
      <c r="Q49" s="827">
        <f>Q48-Q47</f>
        <v>24</v>
      </c>
      <c r="R49" s="815"/>
    </row>
    <row r="50" spans="17:20" x14ac:dyDescent="0.3">
      <c r="Q50" s="826">
        <v>44197</v>
      </c>
    </row>
    <row r="51" spans="17:20" x14ac:dyDescent="0.3">
      <c r="Q51" s="826">
        <v>44241</v>
      </c>
      <c r="R51" s="815"/>
    </row>
    <row r="52" spans="17:20" x14ac:dyDescent="0.3">
      <c r="Q52" s="827">
        <f>Q51-Q50</f>
        <v>44</v>
      </c>
    </row>
    <row r="53" spans="17:20" x14ac:dyDescent="0.3">
      <c r="Q53" s="828">
        <f>T39-Q52</f>
        <v>59</v>
      </c>
    </row>
    <row r="55" spans="17:20" x14ac:dyDescent="0.3">
      <c r="Q55" s="797">
        <v>30</v>
      </c>
      <c r="R55" s="793">
        <v>360</v>
      </c>
      <c r="S55" s="794">
        <v>30</v>
      </c>
      <c r="T55" s="794">
        <v>1</v>
      </c>
    </row>
    <row r="56" spans="17:20" x14ac:dyDescent="0.3">
      <c r="Q56" s="797">
        <v>59</v>
      </c>
      <c r="R56" s="793">
        <f>Q56*R55/Q55</f>
        <v>708</v>
      </c>
      <c r="S56" s="794">
        <f>S55*T56/T55</f>
        <v>18</v>
      </c>
      <c r="T56" s="793">
        <v>0.6</v>
      </c>
    </row>
    <row r="57" spans="17:20" x14ac:dyDescent="0.3">
      <c r="R57" s="829">
        <f>R56/30</f>
        <v>23.6</v>
      </c>
    </row>
    <row r="59" spans="17:20" x14ac:dyDescent="0.3">
      <c r="Q59" s="797" t="s">
        <v>420</v>
      </c>
      <c r="R59" s="830" t="s">
        <v>421</v>
      </c>
    </row>
    <row r="60" spans="17:20" x14ac:dyDescent="0.3">
      <c r="R60" s="830" t="s">
        <v>422</v>
      </c>
    </row>
    <row r="61" spans="17:20" x14ac:dyDescent="0.3">
      <c r="R61" s="830" t="s">
        <v>423</v>
      </c>
    </row>
  </sheetData>
  <sheetProtection selectLockedCells="1" selectUnlockedCells="1"/>
  <mergeCells count="1">
    <mergeCell ref="D1:P1"/>
  </mergeCells>
  <printOptions horizontalCentered="1"/>
  <pageMargins left="0.19685039370078741" right="0.19685039370078741" top="0.59055118110236227" bottom="0.39370078740157483" header="0.31496062992125984" footer="0"/>
  <pageSetup paperSize="9" scale="55" firstPageNumber="0" orientation="landscape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P48"/>
  <sheetViews>
    <sheetView view="pageBreakPreview" zoomScale="55" zoomScaleNormal="60" zoomScaleSheetLayoutView="55" workbookViewId="0">
      <pane xSplit="3" ySplit="3" topLeftCell="D28" activePane="bottomRight" state="frozen"/>
      <selection activeCell="O43" sqref="O43"/>
      <selection pane="topRight" activeCell="O43" sqref="O43"/>
      <selection pane="bottomLeft" activeCell="O43" sqref="O43"/>
      <selection pane="bottomRight" activeCell="C7" sqref="C7"/>
    </sheetView>
  </sheetViews>
  <sheetFormatPr baseColWidth="10" defaultColWidth="8.85546875" defaultRowHeight="23.25" x14ac:dyDescent="0.35"/>
  <cols>
    <col min="1" max="1" width="5.7109375" style="343" hidden="1" customWidth="1"/>
    <col min="2" max="2" width="71" style="345" customWidth="1"/>
    <col min="3" max="3" width="24.42578125" style="263" customWidth="1"/>
    <col min="4" max="4" width="25" style="263" customWidth="1"/>
    <col min="5" max="5" width="22.42578125" style="263" customWidth="1"/>
    <col min="6" max="6" width="25" style="263" customWidth="1"/>
    <col min="7" max="8" width="22.42578125" style="263" customWidth="1"/>
    <col min="9" max="9" width="27.5703125" style="263" customWidth="1"/>
    <col min="10" max="10" width="22.42578125" style="263" customWidth="1"/>
    <col min="11" max="11" width="31.85546875" style="263" customWidth="1"/>
    <col min="12" max="13" width="25" style="263" customWidth="1"/>
    <col min="14" max="14" width="22.5703125" style="702" customWidth="1"/>
    <col min="15" max="15" width="26.7109375" style="263" customWidth="1"/>
    <col min="16" max="16" width="38.7109375" style="263" customWidth="1"/>
    <col min="17" max="16384" width="8.85546875" style="263"/>
  </cols>
  <sheetData>
    <row r="1" spans="1:16" x14ac:dyDescent="0.35">
      <c r="B1" s="1191">
        <v>44137</v>
      </c>
      <c r="C1" s="1192"/>
      <c r="D1" s="1192"/>
      <c r="E1" s="1192"/>
      <c r="F1" s="1193"/>
      <c r="G1" s="1193"/>
      <c r="H1" s="1193"/>
      <c r="I1" s="1193"/>
      <c r="J1" s="1193"/>
      <c r="K1" s="1193"/>
      <c r="L1" s="1192"/>
      <c r="M1" s="1192"/>
      <c r="N1" s="1192"/>
      <c r="O1" s="1194"/>
    </row>
    <row r="2" spans="1:16" ht="61.5" customHeight="1" x14ac:dyDescent="0.35">
      <c r="B2" s="368" t="s">
        <v>180</v>
      </c>
      <c r="C2" s="754"/>
      <c r="D2" s="769">
        <v>2019</v>
      </c>
      <c r="E2" s="760"/>
      <c r="F2" s="768">
        <v>2020</v>
      </c>
      <c r="G2" s="762"/>
      <c r="H2" s="763"/>
      <c r="I2" s="764"/>
      <c r="J2" s="764"/>
      <c r="K2" s="765"/>
      <c r="L2" s="767">
        <v>2021</v>
      </c>
      <c r="M2" s="766"/>
      <c r="N2" s="761"/>
      <c r="O2" s="761"/>
    </row>
    <row r="3" spans="1:16" ht="94.5" x14ac:dyDescent="0.35">
      <c r="B3" s="690" t="s">
        <v>68</v>
      </c>
      <c r="C3" s="691" t="s">
        <v>181</v>
      </c>
      <c r="D3" s="772"/>
      <c r="E3" s="773"/>
      <c r="F3" s="774" t="s">
        <v>381</v>
      </c>
      <c r="G3" s="775" t="s">
        <v>380</v>
      </c>
      <c r="H3" s="775" t="s">
        <v>174</v>
      </c>
      <c r="I3" s="774" t="s">
        <v>396</v>
      </c>
      <c r="J3" s="776" t="s">
        <v>390</v>
      </c>
      <c r="K3" s="777" t="s">
        <v>397</v>
      </c>
      <c r="L3" s="770"/>
      <c r="M3" s="771"/>
      <c r="N3" s="705" t="s">
        <v>3</v>
      </c>
      <c r="O3" s="706" t="s">
        <v>383</v>
      </c>
    </row>
    <row r="4" spans="1:16" ht="42.75" customHeight="1" x14ac:dyDescent="0.35">
      <c r="A4" s="380">
        <v>1</v>
      </c>
      <c r="B4" s="467" t="s">
        <v>85</v>
      </c>
      <c r="C4" s="471" t="s">
        <v>187</v>
      </c>
      <c r="D4" s="692">
        <f>+C4+3*360</f>
        <v>43816</v>
      </c>
      <c r="E4" s="693">
        <v>90</v>
      </c>
      <c r="F4" s="756">
        <f>+D4+360</f>
        <v>44176</v>
      </c>
      <c r="G4" s="694">
        <f>'Determ días de vacaciones'!S10</f>
        <v>56</v>
      </c>
      <c r="H4" s="694"/>
      <c r="I4" s="708">
        <f>F4+G4</f>
        <v>44232</v>
      </c>
      <c r="J4" s="707">
        <v>0</v>
      </c>
      <c r="K4" s="700">
        <f t="shared" ref="K4:K43" si="0">+E4+J4</f>
        <v>90</v>
      </c>
      <c r="L4" s="708">
        <v>44232</v>
      </c>
      <c r="M4" s="709"/>
      <c r="N4" s="701">
        <f>+'Control de dias gozados 2019'!CR6+'vacaciones 2020'!P3</f>
        <v>42</v>
      </c>
      <c r="O4" s="703">
        <f t="shared" ref="O4:O43" si="1">K4-N4</f>
        <v>48</v>
      </c>
    </row>
    <row r="5" spans="1:16" ht="42.75" customHeight="1" x14ac:dyDescent="0.35">
      <c r="A5" s="396">
        <v>2</v>
      </c>
      <c r="B5" s="434" t="s">
        <v>86</v>
      </c>
      <c r="C5" s="381" t="s">
        <v>192</v>
      </c>
      <c r="D5" s="692">
        <f>+C5+2*360</f>
        <v>43699</v>
      </c>
      <c r="E5" s="693">
        <v>60</v>
      </c>
      <c r="F5" s="756">
        <f>D5+360</f>
        <v>44059</v>
      </c>
      <c r="G5" s="694">
        <f>'Determ días de vacaciones'!S11</f>
        <v>92</v>
      </c>
      <c r="H5" s="694"/>
      <c r="I5" s="708">
        <f>F5+G5</f>
        <v>44151</v>
      </c>
      <c r="J5" s="707">
        <v>0</v>
      </c>
      <c r="K5" s="700">
        <f t="shared" si="0"/>
        <v>60</v>
      </c>
      <c r="L5" s="710">
        <f>+I5+360</f>
        <v>44511</v>
      </c>
      <c r="M5" s="710"/>
      <c r="N5" s="701">
        <f>+'Control de dias gozados 2019'!CR7+'vacaciones 2020'!P4</f>
        <v>35</v>
      </c>
      <c r="O5" s="703">
        <f t="shared" si="1"/>
        <v>25</v>
      </c>
    </row>
    <row r="6" spans="1:16" ht="42.75" customHeight="1" x14ac:dyDescent="0.35">
      <c r="A6" s="380">
        <v>3</v>
      </c>
      <c r="B6" s="608" t="s">
        <v>49</v>
      </c>
      <c r="C6" s="399" t="s">
        <v>193</v>
      </c>
      <c r="D6" s="692">
        <f>+C6+5*360</f>
        <v>43683</v>
      </c>
      <c r="E6" s="693">
        <v>150</v>
      </c>
      <c r="F6" s="757">
        <f>D6+360</f>
        <v>44043</v>
      </c>
      <c r="G6" s="694">
        <f>'Determ días de vacaciones'!S12</f>
        <v>92</v>
      </c>
      <c r="H6" s="694"/>
      <c r="I6" s="708">
        <f>F6+G6</f>
        <v>44135</v>
      </c>
      <c r="J6" s="707">
        <v>30</v>
      </c>
      <c r="K6" s="700">
        <f t="shared" si="0"/>
        <v>180</v>
      </c>
      <c r="L6" s="710">
        <f>+I6+360</f>
        <v>44495</v>
      </c>
      <c r="M6" s="710"/>
      <c r="N6" s="701">
        <f>+'Control de dias gozados 2019'!CR8+'vacaciones 2020'!P5</f>
        <v>180</v>
      </c>
      <c r="O6" s="703">
        <f t="shared" si="1"/>
        <v>0</v>
      </c>
      <c r="P6" s="779"/>
    </row>
    <row r="7" spans="1:16" ht="42.75" customHeight="1" x14ac:dyDescent="0.35">
      <c r="A7" s="396">
        <v>4</v>
      </c>
      <c r="B7" s="608" t="s">
        <v>107</v>
      </c>
      <c r="C7" s="444" t="s">
        <v>355</v>
      </c>
      <c r="D7" s="692">
        <f>+C7+360</f>
        <v>43673</v>
      </c>
      <c r="E7" s="693">
        <v>30</v>
      </c>
      <c r="F7" s="757">
        <f>D7+360</f>
        <v>44033</v>
      </c>
      <c r="G7" s="694">
        <f>'Determ días de vacaciones'!S13</f>
        <v>62</v>
      </c>
      <c r="H7" s="694"/>
      <c r="I7" s="708">
        <f>F7+G7</f>
        <v>44095</v>
      </c>
      <c r="J7" s="707">
        <v>30</v>
      </c>
      <c r="K7" s="700">
        <f t="shared" si="0"/>
        <v>60</v>
      </c>
      <c r="L7" s="710">
        <f>+I7+360</f>
        <v>44455</v>
      </c>
      <c r="M7" s="710"/>
      <c r="N7" s="701">
        <f>+'Control de dias gozados 2019'!CR9+'vacaciones 2020'!P6</f>
        <v>16</v>
      </c>
      <c r="O7" s="703">
        <f t="shared" si="1"/>
        <v>44</v>
      </c>
    </row>
    <row r="8" spans="1:16" s="258" customFormat="1" ht="42.75" customHeight="1" x14ac:dyDescent="0.35">
      <c r="A8" s="380">
        <v>5</v>
      </c>
      <c r="B8" s="715" t="s">
        <v>16</v>
      </c>
      <c r="C8" s="727" t="s">
        <v>202</v>
      </c>
      <c r="D8" s="728"/>
      <c r="E8" s="729"/>
      <c r="F8" s="758">
        <f>+C8+360</f>
        <v>43916</v>
      </c>
      <c r="G8" s="719">
        <v>64</v>
      </c>
      <c r="H8" s="719">
        <v>30</v>
      </c>
      <c r="I8" s="730">
        <f>F8+G8+H8</f>
        <v>44010</v>
      </c>
      <c r="J8" s="721">
        <v>30</v>
      </c>
      <c r="K8" s="722">
        <f t="shared" si="0"/>
        <v>30</v>
      </c>
      <c r="L8" s="724">
        <f>+I8+360</f>
        <v>44370</v>
      </c>
      <c r="M8" s="724"/>
      <c r="N8" s="701">
        <f>+'Control de dias gozados 2019'!CR10+'vacaciones 2020'!P7</f>
        <v>40</v>
      </c>
      <c r="O8" s="726">
        <f t="shared" si="1"/>
        <v>-10</v>
      </c>
    </row>
    <row r="9" spans="1:16" ht="42.75" customHeight="1" x14ac:dyDescent="0.35">
      <c r="A9" s="396">
        <v>6</v>
      </c>
      <c r="B9" s="608" t="s">
        <v>57</v>
      </c>
      <c r="C9" s="399" t="s">
        <v>205</v>
      </c>
      <c r="D9" s="692">
        <f>+C9+6*360</f>
        <v>43525</v>
      </c>
      <c r="E9" s="693">
        <v>180</v>
      </c>
      <c r="F9" s="711">
        <f>D9+360</f>
        <v>43885</v>
      </c>
      <c r="G9" s="694">
        <f>'Determ días de vacaciones'!S15</f>
        <v>41</v>
      </c>
      <c r="H9" s="694"/>
      <c r="I9" s="704">
        <v>43885</v>
      </c>
      <c r="J9" s="707">
        <v>30</v>
      </c>
      <c r="K9" s="700">
        <f t="shared" si="0"/>
        <v>210</v>
      </c>
      <c r="L9" s="711">
        <f>+F9+G9+360</f>
        <v>44286</v>
      </c>
      <c r="M9" s="710"/>
      <c r="N9" s="701">
        <f>+'Control de dias gozados 2019'!CR11+'vacaciones 2020'!P8</f>
        <v>140</v>
      </c>
      <c r="O9" s="703">
        <f t="shared" si="1"/>
        <v>70</v>
      </c>
    </row>
    <row r="10" spans="1:16" ht="42.75" customHeight="1" x14ac:dyDescent="0.35">
      <c r="A10" s="380">
        <v>7</v>
      </c>
      <c r="B10" s="608" t="s">
        <v>18</v>
      </c>
      <c r="C10" s="399" t="s">
        <v>212</v>
      </c>
      <c r="D10" s="692">
        <f>+C10+9*360</f>
        <v>43784</v>
      </c>
      <c r="E10" s="693">
        <v>270</v>
      </c>
      <c r="F10" s="757">
        <f>D10+360</f>
        <v>44144</v>
      </c>
      <c r="G10" s="694">
        <f>'Determ días de vacaciones'!S16</f>
        <v>62</v>
      </c>
      <c r="H10" s="694"/>
      <c r="I10" s="708">
        <f>F10+G10</f>
        <v>44206</v>
      </c>
      <c r="J10" s="707">
        <v>0</v>
      </c>
      <c r="K10" s="700">
        <f t="shared" si="0"/>
        <v>270</v>
      </c>
      <c r="L10" s="708">
        <v>44206</v>
      </c>
      <c r="M10" s="710"/>
      <c r="N10" s="701">
        <f>+'Control de dias gozados 2019'!CR12+'vacaciones 2020'!P9</f>
        <v>220</v>
      </c>
      <c r="O10" s="703">
        <f t="shared" si="1"/>
        <v>50</v>
      </c>
    </row>
    <row r="11" spans="1:16" ht="42.75" customHeight="1" x14ac:dyDescent="0.35">
      <c r="A11" s="396">
        <v>8</v>
      </c>
      <c r="B11" s="608" t="s">
        <v>19</v>
      </c>
      <c r="C11" s="423" t="s">
        <v>223</v>
      </c>
      <c r="D11" s="692">
        <f>+C11+8*360</f>
        <v>43483</v>
      </c>
      <c r="E11" s="693">
        <v>240</v>
      </c>
      <c r="F11" s="711">
        <f>D11+360</f>
        <v>43843</v>
      </c>
      <c r="G11" s="694">
        <f>'Determ días de vacaciones'!S17</f>
        <v>44</v>
      </c>
      <c r="H11" s="694"/>
      <c r="I11" s="704">
        <v>43843</v>
      </c>
      <c r="J11" s="707">
        <v>30</v>
      </c>
      <c r="K11" s="700">
        <f t="shared" si="0"/>
        <v>270</v>
      </c>
      <c r="L11" s="711">
        <f>+F11+G11+360</f>
        <v>44247</v>
      </c>
      <c r="M11" s="710"/>
      <c r="N11" s="701">
        <f>+'Control de dias gozados 2019'!CR13+'vacaciones 2020'!P10</f>
        <v>270</v>
      </c>
      <c r="O11" s="703">
        <f t="shared" si="1"/>
        <v>0</v>
      </c>
    </row>
    <row r="12" spans="1:16" ht="42.75" customHeight="1" x14ac:dyDescent="0.35">
      <c r="A12" s="380">
        <v>9</v>
      </c>
      <c r="B12" s="614" t="s">
        <v>361</v>
      </c>
      <c r="C12" s="410" t="s">
        <v>356</v>
      </c>
      <c r="D12" s="692">
        <f>+C12+8*360</f>
        <v>43605</v>
      </c>
      <c r="E12" s="693">
        <v>240</v>
      </c>
      <c r="F12" s="757">
        <f>D12+360</f>
        <v>43965</v>
      </c>
      <c r="G12" s="694">
        <f>'Determ días de vacaciones'!S18</f>
        <v>62</v>
      </c>
      <c r="H12" s="694"/>
      <c r="I12" s="708">
        <f>F12+G12</f>
        <v>44027</v>
      </c>
      <c r="J12" s="707">
        <v>30</v>
      </c>
      <c r="K12" s="700">
        <f t="shared" si="0"/>
        <v>270</v>
      </c>
      <c r="L12" s="710">
        <f>+I12+360</f>
        <v>44387</v>
      </c>
      <c r="M12" s="710"/>
      <c r="N12" s="701">
        <f>+'Control de dias gozados 2019'!CR14+'vacaciones 2020'!P11</f>
        <v>67</v>
      </c>
      <c r="O12" s="703">
        <f t="shared" si="1"/>
        <v>203</v>
      </c>
    </row>
    <row r="13" spans="1:16" ht="42.75" customHeight="1" x14ac:dyDescent="0.35">
      <c r="A13" s="396">
        <v>10</v>
      </c>
      <c r="B13" s="614" t="s">
        <v>360</v>
      </c>
      <c r="C13" s="398" t="s">
        <v>357</v>
      </c>
      <c r="D13" s="692">
        <f>+C13+8*360</f>
        <v>43544</v>
      </c>
      <c r="E13" s="693">
        <v>240</v>
      </c>
      <c r="F13" s="711">
        <f>D13+360</f>
        <v>43904</v>
      </c>
      <c r="G13" s="694">
        <f>'Determ días de vacaciones'!S19</f>
        <v>92</v>
      </c>
      <c r="H13" s="694"/>
      <c r="I13" s="704">
        <v>43904</v>
      </c>
      <c r="J13" s="707">
        <v>30</v>
      </c>
      <c r="K13" s="700">
        <f t="shared" si="0"/>
        <v>270</v>
      </c>
      <c r="L13" s="711">
        <f>F13+G13+360</f>
        <v>44356</v>
      </c>
      <c r="M13" s="710"/>
      <c r="N13" s="701">
        <f>+'Control de dias gozados 2019'!CR15+'vacaciones 2020'!P12</f>
        <v>8</v>
      </c>
      <c r="O13" s="703">
        <f t="shared" si="1"/>
        <v>262</v>
      </c>
    </row>
    <row r="14" spans="1:16" ht="42.75" customHeight="1" x14ac:dyDescent="0.35">
      <c r="A14" s="380">
        <v>11</v>
      </c>
      <c r="B14" s="614" t="s">
        <v>404</v>
      </c>
      <c r="C14" s="398" t="s">
        <v>403</v>
      </c>
      <c r="D14" s="692"/>
      <c r="E14" s="693"/>
      <c r="F14" s="756">
        <v>44137</v>
      </c>
      <c r="G14" s="694"/>
      <c r="H14" s="694"/>
      <c r="I14" s="704"/>
      <c r="J14" s="707">
        <v>0</v>
      </c>
      <c r="K14" s="700">
        <v>0</v>
      </c>
      <c r="L14" s="709">
        <f>F14+G14+360</f>
        <v>44497</v>
      </c>
      <c r="M14" s="710"/>
      <c r="N14" s="701">
        <v>0</v>
      </c>
      <c r="O14" s="703">
        <v>0</v>
      </c>
    </row>
    <row r="15" spans="1:16" ht="42.75" customHeight="1" x14ac:dyDescent="0.35">
      <c r="A15" s="396">
        <v>12</v>
      </c>
      <c r="B15" s="608" t="s">
        <v>384</v>
      </c>
      <c r="C15" s="398" t="s">
        <v>253</v>
      </c>
      <c r="D15" s="695"/>
      <c r="E15" s="693"/>
      <c r="F15" s="759" t="s">
        <v>253</v>
      </c>
      <c r="G15" s="694">
        <f>'Determ días de vacaciones'!S20</f>
        <v>137</v>
      </c>
      <c r="H15" s="694"/>
      <c r="I15" s="704"/>
      <c r="J15" s="707">
        <v>0</v>
      </c>
      <c r="K15" s="700">
        <f t="shared" si="0"/>
        <v>0</v>
      </c>
      <c r="L15" s="712">
        <f>+F15+G15+360</f>
        <v>44359</v>
      </c>
      <c r="M15" s="710"/>
      <c r="N15" s="701">
        <v>0</v>
      </c>
      <c r="O15" s="703">
        <f t="shared" si="1"/>
        <v>0</v>
      </c>
    </row>
    <row r="16" spans="1:16" ht="42.75" customHeight="1" x14ac:dyDescent="0.35">
      <c r="A16" s="380">
        <v>13</v>
      </c>
      <c r="B16" s="614" t="s">
        <v>362</v>
      </c>
      <c r="C16" s="381" t="s">
        <v>358</v>
      </c>
      <c r="D16" s="692">
        <f>+C16+8*360</f>
        <v>43697</v>
      </c>
      <c r="E16" s="693">
        <v>240</v>
      </c>
      <c r="F16" s="757">
        <f>D16+360</f>
        <v>44057</v>
      </c>
      <c r="G16" s="694">
        <f>'Determ días de vacaciones'!S21</f>
        <v>92</v>
      </c>
      <c r="H16" s="694"/>
      <c r="I16" s="708">
        <f>F16+G16</f>
        <v>44149</v>
      </c>
      <c r="J16" s="707">
        <v>30</v>
      </c>
      <c r="K16" s="700">
        <f t="shared" si="0"/>
        <v>270</v>
      </c>
      <c r="L16" s="710">
        <f>+I16+360</f>
        <v>44509</v>
      </c>
      <c r="M16" s="710"/>
      <c r="N16" s="701">
        <f>+'Control de dias gozados 2019'!CR18+'vacaciones 2020'!P15</f>
        <v>240</v>
      </c>
      <c r="O16" s="703">
        <f t="shared" si="1"/>
        <v>30</v>
      </c>
    </row>
    <row r="17" spans="1:15" ht="42.75" customHeight="1" x14ac:dyDescent="0.35">
      <c r="A17" s="396">
        <v>14</v>
      </c>
      <c r="B17" s="608" t="s">
        <v>385</v>
      </c>
      <c r="C17" s="398" t="s">
        <v>253</v>
      </c>
      <c r="D17" s="696"/>
      <c r="E17" s="697"/>
      <c r="F17" s="759" t="s">
        <v>253</v>
      </c>
      <c r="G17" s="694">
        <f>'Determ días de vacaciones'!S22</f>
        <v>137</v>
      </c>
      <c r="H17" s="694"/>
      <c r="I17" s="704"/>
      <c r="J17" s="707">
        <v>0</v>
      </c>
      <c r="K17" s="700">
        <f t="shared" si="0"/>
        <v>0</v>
      </c>
      <c r="L17" s="712">
        <f>+F17+G17+360</f>
        <v>44359</v>
      </c>
      <c r="M17" s="710"/>
      <c r="N17" s="701">
        <f>+'Control de dias gozados 2019'!CR19+'vacaciones 2020'!P16</f>
        <v>2</v>
      </c>
      <c r="O17" s="703">
        <f t="shared" si="1"/>
        <v>-2</v>
      </c>
    </row>
    <row r="18" spans="1:15" s="258" customFormat="1" ht="42.75" customHeight="1" x14ac:dyDescent="0.35">
      <c r="A18" s="380">
        <v>15</v>
      </c>
      <c r="B18" s="715" t="s">
        <v>126</v>
      </c>
      <c r="C18" s="716" t="s">
        <v>265</v>
      </c>
      <c r="D18" s="717">
        <f>+C18+360</f>
        <v>43826</v>
      </c>
      <c r="E18" s="718">
        <v>30</v>
      </c>
      <c r="F18" s="723">
        <f>+D18+360</f>
        <v>44186</v>
      </c>
      <c r="G18" s="719">
        <v>96</v>
      </c>
      <c r="H18" s="719">
        <v>88</v>
      </c>
      <c r="I18" s="720">
        <f>F18+G18+H18</f>
        <v>44370</v>
      </c>
      <c r="J18" s="721">
        <v>0</v>
      </c>
      <c r="K18" s="722">
        <v>0</v>
      </c>
      <c r="L18" s="723">
        <v>44370</v>
      </c>
      <c r="M18" s="724"/>
      <c r="N18" s="701">
        <f>+'Control de dias gozados 2019'!CR20+'vacaciones 2020'!P17</f>
        <v>42</v>
      </c>
      <c r="O18" s="726">
        <f t="shared" si="1"/>
        <v>-42</v>
      </c>
    </row>
    <row r="19" spans="1:15" s="258" customFormat="1" ht="42.75" customHeight="1" x14ac:dyDescent="0.35">
      <c r="A19" s="396">
        <v>16</v>
      </c>
      <c r="B19" s="715" t="s">
        <v>149</v>
      </c>
      <c r="C19" s="716" t="s">
        <v>268</v>
      </c>
      <c r="D19" s="717"/>
      <c r="E19" s="718"/>
      <c r="F19" s="723">
        <f>+C19+360</f>
        <v>44130</v>
      </c>
      <c r="G19" s="719">
        <v>70</v>
      </c>
      <c r="H19" s="719">
        <v>37</v>
      </c>
      <c r="I19" s="730">
        <f>+F19+G19+H19</f>
        <v>44237</v>
      </c>
      <c r="J19" s="721">
        <v>0</v>
      </c>
      <c r="K19" s="722">
        <f t="shared" si="0"/>
        <v>0</v>
      </c>
      <c r="L19" s="730">
        <f>+I19</f>
        <v>44237</v>
      </c>
      <c r="M19" s="724"/>
      <c r="N19" s="725">
        <f>'Control de dias gozados 2019'!CR22+'vacaciones 2020'!P19</f>
        <v>20</v>
      </c>
      <c r="O19" s="726">
        <f t="shared" si="1"/>
        <v>-20</v>
      </c>
    </row>
    <row r="20" spans="1:15" ht="42.75" customHeight="1" x14ac:dyDescent="0.35">
      <c r="A20" s="380">
        <v>17</v>
      </c>
      <c r="B20" s="608" t="s">
        <v>51</v>
      </c>
      <c r="C20" s="398" t="s">
        <v>270</v>
      </c>
      <c r="D20" s="696">
        <f>+C20+5*360</f>
        <v>43621</v>
      </c>
      <c r="E20" s="697">
        <v>150</v>
      </c>
      <c r="F20" s="757">
        <f>D20+360</f>
        <v>43981</v>
      </c>
      <c r="G20" s="694">
        <f>'Determ días de vacaciones'!S26</f>
        <v>77</v>
      </c>
      <c r="H20" s="694"/>
      <c r="I20" s="708">
        <f>F20+G20</f>
        <v>44058</v>
      </c>
      <c r="J20" s="707">
        <v>30</v>
      </c>
      <c r="K20" s="700">
        <f t="shared" si="0"/>
        <v>180</v>
      </c>
      <c r="L20" s="710">
        <f>+I20+360</f>
        <v>44418</v>
      </c>
      <c r="M20" s="710"/>
      <c r="N20" s="725">
        <f>'Control de dias gozados 2019'!CR23+'vacaciones 2020'!P20</f>
        <v>119</v>
      </c>
      <c r="O20" s="703">
        <f t="shared" si="1"/>
        <v>61</v>
      </c>
    </row>
    <row r="21" spans="1:15" ht="42.75" customHeight="1" x14ac:dyDescent="0.35">
      <c r="A21" s="396">
        <v>18</v>
      </c>
      <c r="B21" s="608" t="s">
        <v>274</v>
      </c>
      <c r="C21" s="398" t="s">
        <v>202</v>
      </c>
      <c r="D21" s="696"/>
      <c r="E21" s="697"/>
      <c r="F21" s="757">
        <f>+C21+360</f>
        <v>43916</v>
      </c>
      <c r="G21" s="694">
        <f>'Determ días de vacaciones'!S27</f>
        <v>44</v>
      </c>
      <c r="H21" s="694"/>
      <c r="I21" s="708">
        <f>F21+G21</f>
        <v>43960</v>
      </c>
      <c r="J21" s="707">
        <v>30</v>
      </c>
      <c r="K21" s="700">
        <f t="shared" si="0"/>
        <v>30</v>
      </c>
      <c r="L21" s="710">
        <f>+I21+360</f>
        <v>44320</v>
      </c>
      <c r="M21" s="710"/>
      <c r="N21" s="725">
        <f>'Control de dias gozados 2019'!CR24+'vacaciones 2020'!P21</f>
        <v>2</v>
      </c>
      <c r="O21" s="703">
        <f t="shared" si="1"/>
        <v>28</v>
      </c>
    </row>
    <row r="22" spans="1:15" ht="42.75" customHeight="1" x14ac:dyDescent="0.35">
      <c r="A22" s="380">
        <v>19</v>
      </c>
      <c r="B22" s="614" t="s">
        <v>363</v>
      </c>
      <c r="C22" s="398" t="s">
        <v>359</v>
      </c>
      <c r="D22" s="696">
        <f>+C22+8*360</f>
        <v>43514</v>
      </c>
      <c r="E22" s="697">
        <v>240</v>
      </c>
      <c r="F22" s="711">
        <f>D22+360</f>
        <v>43874</v>
      </c>
      <c r="G22" s="694">
        <f>'Determ días de vacaciones'!S28</f>
        <v>41</v>
      </c>
      <c r="H22" s="694"/>
      <c r="I22" s="704">
        <v>43874</v>
      </c>
      <c r="J22" s="707">
        <v>30</v>
      </c>
      <c r="K22" s="700">
        <f t="shared" si="0"/>
        <v>270</v>
      </c>
      <c r="L22" s="711">
        <f>F22+G22+360</f>
        <v>44275</v>
      </c>
      <c r="M22" s="710"/>
      <c r="N22" s="725">
        <f>'Control de dias gozados 2019'!CR25+'vacaciones 2020'!P22</f>
        <v>95</v>
      </c>
      <c r="O22" s="703">
        <f t="shared" si="1"/>
        <v>175</v>
      </c>
    </row>
    <row r="23" spans="1:15" ht="42.75" customHeight="1" x14ac:dyDescent="0.35">
      <c r="A23" s="396">
        <v>20</v>
      </c>
      <c r="B23" s="614" t="s">
        <v>364</v>
      </c>
      <c r="C23" s="398" t="s">
        <v>356</v>
      </c>
      <c r="D23" s="696">
        <f>+C23+8*360</f>
        <v>43605</v>
      </c>
      <c r="E23" s="697">
        <v>240</v>
      </c>
      <c r="F23" s="757">
        <f>D23+360</f>
        <v>43965</v>
      </c>
      <c r="G23" s="694">
        <f>'Determ días de vacaciones'!S29</f>
        <v>56</v>
      </c>
      <c r="H23" s="694"/>
      <c r="I23" s="708">
        <f>F23+G23</f>
        <v>44021</v>
      </c>
      <c r="J23" s="707">
        <v>30</v>
      </c>
      <c r="K23" s="700">
        <f t="shared" si="0"/>
        <v>270</v>
      </c>
      <c r="L23" s="710">
        <f>+I23+360</f>
        <v>44381</v>
      </c>
      <c r="M23" s="710"/>
      <c r="N23" s="725">
        <f>'Control de dias gozados 2019'!CR26+'vacaciones 2020'!P23</f>
        <v>189</v>
      </c>
      <c r="O23" s="703">
        <f t="shared" si="1"/>
        <v>81</v>
      </c>
    </row>
    <row r="24" spans="1:15" ht="42.75" customHeight="1" x14ac:dyDescent="0.35">
      <c r="A24" s="380">
        <v>21</v>
      </c>
      <c r="B24" s="614" t="s">
        <v>53</v>
      </c>
      <c r="C24" s="398" t="s">
        <v>281</v>
      </c>
      <c r="D24" s="696">
        <f>+C24+8*360</f>
        <v>43789</v>
      </c>
      <c r="E24" s="698">
        <v>240</v>
      </c>
      <c r="F24" s="757">
        <f>D24+360</f>
        <v>44149</v>
      </c>
      <c r="G24" s="694">
        <f>'Determ días de vacaciones'!S30</f>
        <v>47</v>
      </c>
      <c r="H24" s="694"/>
      <c r="I24" s="708">
        <f>+F24+G24</f>
        <v>44196</v>
      </c>
      <c r="J24" s="707">
        <v>0</v>
      </c>
      <c r="K24" s="700">
        <f t="shared" si="0"/>
        <v>240</v>
      </c>
      <c r="L24" s="709">
        <f>+I24+360</f>
        <v>44556</v>
      </c>
      <c r="M24" s="710"/>
      <c r="N24" s="725">
        <f>'Control de dias gozados 2019'!CR27+'vacaciones 2020'!P24</f>
        <v>210</v>
      </c>
      <c r="O24" s="703">
        <f t="shared" si="1"/>
        <v>30</v>
      </c>
    </row>
    <row r="25" spans="1:15" ht="42.75" customHeight="1" x14ac:dyDescent="0.35">
      <c r="A25" s="396">
        <v>22</v>
      </c>
      <c r="B25" s="608" t="s">
        <v>108</v>
      </c>
      <c r="C25" s="398" t="s">
        <v>289</v>
      </c>
      <c r="D25" s="696">
        <f>+C25+360</f>
        <v>43734</v>
      </c>
      <c r="E25" s="698">
        <v>30</v>
      </c>
      <c r="F25" s="757">
        <f>D25+360</f>
        <v>44094</v>
      </c>
      <c r="G25" s="694">
        <f>'Determ días de vacaciones'!S32</f>
        <v>47</v>
      </c>
      <c r="H25" s="694"/>
      <c r="I25" s="708">
        <f>F25+G25</f>
        <v>44141</v>
      </c>
      <c r="J25" s="707">
        <v>30</v>
      </c>
      <c r="K25" s="700">
        <f t="shared" si="0"/>
        <v>60</v>
      </c>
      <c r="L25" s="710">
        <f>+I25+360</f>
        <v>44501</v>
      </c>
      <c r="M25" s="710"/>
      <c r="N25" s="701">
        <f>'Control de dias gozados 2019'!CR29+'vacaciones 2020'!P26</f>
        <v>50</v>
      </c>
      <c r="O25" s="703">
        <f t="shared" si="1"/>
        <v>10</v>
      </c>
    </row>
    <row r="26" spans="1:15" ht="42.75" customHeight="1" x14ac:dyDescent="0.35">
      <c r="A26" s="380">
        <v>23</v>
      </c>
      <c r="B26" s="608" t="s">
        <v>402</v>
      </c>
      <c r="C26" s="398" t="s">
        <v>403</v>
      </c>
      <c r="D26" s="696"/>
      <c r="E26" s="698"/>
      <c r="F26" s="757">
        <v>44137</v>
      </c>
      <c r="G26" s="694"/>
      <c r="H26" s="694"/>
      <c r="I26" s="708"/>
      <c r="J26" s="707">
        <v>0</v>
      </c>
      <c r="K26" s="700">
        <v>0</v>
      </c>
      <c r="L26" s="710">
        <f>F26+G26+360</f>
        <v>44497</v>
      </c>
      <c r="M26" s="710"/>
      <c r="N26" s="701">
        <f>'Control de dias gozados 2019'!CR30+'vacaciones 2020'!P27</f>
        <v>15</v>
      </c>
      <c r="O26" s="703">
        <v>0</v>
      </c>
    </row>
    <row r="27" spans="1:15" ht="42.75" customHeight="1" x14ac:dyDescent="0.35">
      <c r="A27" s="396">
        <v>24</v>
      </c>
      <c r="B27" s="614" t="s">
        <v>87</v>
      </c>
      <c r="C27" s="398" t="s">
        <v>293</v>
      </c>
      <c r="D27" s="696">
        <f>C27+7*360</f>
        <v>43489</v>
      </c>
      <c r="E27" s="698">
        <v>210</v>
      </c>
      <c r="F27" s="711">
        <f>D27+360</f>
        <v>43849</v>
      </c>
      <c r="G27" s="694">
        <f>'Determ días de vacaciones'!S33</f>
        <v>56</v>
      </c>
      <c r="H27" s="694"/>
      <c r="I27" s="704">
        <v>43849</v>
      </c>
      <c r="J27" s="707">
        <v>30</v>
      </c>
      <c r="K27" s="700">
        <f t="shared" si="0"/>
        <v>240</v>
      </c>
      <c r="L27" s="711">
        <f>F27+G27+360</f>
        <v>44265</v>
      </c>
      <c r="M27" s="710"/>
      <c r="N27" s="701">
        <f>'Control de dias gozados 2019'!CR31+'vacaciones 2020'!P28</f>
        <v>249</v>
      </c>
      <c r="O27" s="703">
        <f t="shared" si="1"/>
        <v>-9</v>
      </c>
    </row>
    <row r="28" spans="1:15" s="258" customFormat="1" ht="42.75" customHeight="1" x14ac:dyDescent="0.35">
      <c r="A28" s="380">
        <v>25</v>
      </c>
      <c r="B28" s="715" t="s">
        <v>127</v>
      </c>
      <c r="C28" s="731" t="s">
        <v>265</v>
      </c>
      <c r="D28" s="717">
        <f>+C28+360</f>
        <v>43826</v>
      </c>
      <c r="E28" s="718">
        <v>30</v>
      </c>
      <c r="F28" s="723">
        <f>+D28+360</f>
        <v>44186</v>
      </c>
      <c r="G28" s="719">
        <f>'Determ días de vacaciones'!S34</f>
        <v>122</v>
      </c>
      <c r="H28" s="719">
        <v>50</v>
      </c>
      <c r="I28" s="720">
        <f>+F28</f>
        <v>44186</v>
      </c>
      <c r="J28" s="721">
        <v>0</v>
      </c>
      <c r="K28" s="722">
        <f t="shared" si="0"/>
        <v>30</v>
      </c>
      <c r="L28" s="723">
        <f>+F28+G28+H28</f>
        <v>44358</v>
      </c>
      <c r="M28" s="724"/>
      <c r="N28" s="701">
        <f>'Control de dias gozados 2019'!CR32+'vacaciones 2020'!P29</f>
        <v>40</v>
      </c>
      <c r="O28" s="726">
        <f t="shared" si="1"/>
        <v>-10</v>
      </c>
    </row>
    <row r="29" spans="1:15" ht="42.75" customHeight="1" x14ac:dyDescent="0.35">
      <c r="A29" s="396">
        <v>26</v>
      </c>
      <c r="B29" s="608" t="s">
        <v>386</v>
      </c>
      <c r="C29" s="398" t="s">
        <v>378</v>
      </c>
      <c r="D29" s="696"/>
      <c r="E29" s="697"/>
      <c r="F29" s="712">
        <v>44119</v>
      </c>
      <c r="G29" s="694"/>
      <c r="H29" s="694"/>
      <c r="I29" s="704"/>
      <c r="J29" s="707">
        <v>0</v>
      </c>
      <c r="K29" s="700">
        <f t="shared" si="0"/>
        <v>0</v>
      </c>
      <c r="L29" s="712">
        <f>+C29+G29+360</f>
        <v>44479</v>
      </c>
      <c r="M29" s="710"/>
      <c r="N29" s="701">
        <f>'Control de dias gozados 2019'!CR33+'vacaciones 2020'!P30</f>
        <v>2</v>
      </c>
      <c r="O29" s="703">
        <f t="shared" si="1"/>
        <v>-2</v>
      </c>
    </row>
    <row r="30" spans="1:15" ht="42.75" customHeight="1" x14ac:dyDescent="0.35">
      <c r="A30" s="380">
        <v>27</v>
      </c>
      <c r="B30" s="608" t="s">
        <v>151</v>
      </c>
      <c r="C30" s="398" t="s">
        <v>302</v>
      </c>
      <c r="D30" s="696"/>
      <c r="E30" s="697"/>
      <c r="F30" s="757">
        <f>+C30+360</f>
        <v>44038</v>
      </c>
      <c r="G30" s="694">
        <f>'Determ días de vacaciones'!S35</f>
        <v>44</v>
      </c>
      <c r="H30" s="694"/>
      <c r="I30" s="708">
        <f>F30+G30</f>
        <v>44082</v>
      </c>
      <c r="J30" s="707">
        <v>30</v>
      </c>
      <c r="K30" s="700">
        <f t="shared" si="0"/>
        <v>30</v>
      </c>
      <c r="L30" s="710">
        <f>+I30+360</f>
        <v>44442</v>
      </c>
      <c r="M30" s="710"/>
      <c r="N30" s="701">
        <f>'Control de dias gozados 2019'!CR34+'vacaciones 2020'!P31</f>
        <v>0</v>
      </c>
      <c r="O30" s="703">
        <f t="shared" si="1"/>
        <v>30</v>
      </c>
    </row>
    <row r="31" spans="1:15" ht="42.75" customHeight="1" x14ac:dyDescent="0.35">
      <c r="A31" s="396">
        <v>28</v>
      </c>
      <c r="B31" s="608" t="s">
        <v>387</v>
      </c>
      <c r="C31" s="398" t="s">
        <v>305</v>
      </c>
      <c r="D31" s="696"/>
      <c r="E31" s="697"/>
      <c r="F31" s="712">
        <v>44044</v>
      </c>
      <c r="G31" s="694"/>
      <c r="H31" s="694"/>
      <c r="I31" s="704"/>
      <c r="J31" s="707">
        <v>0</v>
      </c>
      <c r="K31" s="700">
        <f t="shared" si="0"/>
        <v>0</v>
      </c>
      <c r="L31" s="712">
        <f>+C31+G31+360</f>
        <v>44404</v>
      </c>
      <c r="M31" s="710"/>
      <c r="N31" s="701">
        <f>'Control de dias gozados 2019'!CR35+'vacaciones 2020'!P32</f>
        <v>2</v>
      </c>
      <c r="O31" s="703">
        <f t="shared" si="1"/>
        <v>-2</v>
      </c>
    </row>
    <row r="32" spans="1:15" ht="42.75" customHeight="1" x14ac:dyDescent="0.35">
      <c r="A32" s="380">
        <v>29</v>
      </c>
      <c r="B32" s="608" t="s">
        <v>306</v>
      </c>
      <c r="C32" s="398" t="s">
        <v>307</v>
      </c>
      <c r="D32" s="696">
        <f>C32+360</f>
        <v>43765</v>
      </c>
      <c r="E32" s="698">
        <v>30</v>
      </c>
      <c r="F32" s="757">
        <f>D32+360</f>
        <v>44125</v>
      </c>
      <c r="G32" s="376">
        <f>'Determ días de vacaciones'!S36</f>
        <v>39.5</v>
      </c>
      <c r="H32" s="376"/>
      <c r="I32" s="708">
        <f>F32+G32</f>
        <v>44164.5</v>
      </c>
      <c r="J32" s="707">
        <v>0</v>
      </c>
      <c r="K32" s="700">
        <f t="shared" si="0"/>
        <v>30</v>
      </c>
      <c r="L32" s="710">
        <f>+I32+360</f>
        <v>44524.5</v>
      </c>
      <c r="M32" s="710"/>
      <c r="N32" s="701">
        <f>'Control de dias gozados 2019'!CR36+'vacaciones 2020'!P33</f>
        <v>35</v>
      </c>
      <c r="O32" s="703">
        <f t="shared" si="1"/>
        <v>-5</v>
      </c>
    </row>
    <row r="33" spans="1:15" ht="42.75" customHeight="1" x14ac:dyDescent="0.35">
      <c r="A33" s="396">
        <v>30</v>
      </c>
      <c r="B33" s="608" t="s">
        <v>59</v>
      </c>
      <c r="C33" s="410" t="s">
        <v>309</v>
      </c>
      <c r="D33" s="696">
        <f>C33+7*360</f>
        <v>43803</v>
      </c>
      <c r="E33" s="698">
        <v>210</v>
      </c>
      <c r="F33" s="757">
        <f>D33+360</f>
        <v>44163</v>
      </c>
      <c r="G33" s="694">
        <f>'Determ días de vacaciones'!S37</f>
        <v>2</v>
      </c>
      <c r="H33" s="694"/>
      <c r="I33" s="708">
        <f>F33+G33</f>
        <v>44165</v>
      </c>
      <c r="J33" s="707">
        <v>0</v>
      </c>
      <c r="K33" s="700">
        <f t="shared" si="0"/>
        <v>210</v>
      </c>
      <c r="L33" s="709">
        <f>+I33+360</f>
        <v>44525</v>
      </c>
      <c r="M33" s="710"/>
      <c r="N33" s="701">
        <f>'Control de dias gozados 2019'!CR37+'vacaciones 2020'!P34</f>
        <v>154</v>
      </c>
      <c r="O33" s="703">
        <f t="shared" si="1"/>
        <v>56</v>
      </c>
    </row>
    <row r="34" spans="1:15" ht="42.75" customHeight="1" x14ac:dyDescent="0.35">
      <c r="A34" s="380">
        <v>31</v>
      </c>
      <c r="B34" s="608" t="s">
        <v>97</v>
      </c>
      <c r="C34" s="398" t="s">
        <v>300</v>
      </c>
      <c r="D34" s="696">
        <f>C34+2*360</f>
        <v>43576</v>
      </c>
      <c r="E34" s="698">
        <v>60</v>
      </c>
      <c r="F34" s="757">
        <f>D34+360</f>
        <v>43936</v>
      </c>
      <c r="G34" s="694">
        <f>'Determ días de vacaciones'!S38</f>
        <v>92</v>
      </c>
      <c r="H34" s="694"/>
      <c r="I34" s="708">
        <f>F34+G34</f>
        <v>44028</v>
      </c>
      <c r="J34" s="707">
        <v>30</v>
      </c>
      <c r="K34" s="700">
        <f t="shared" si="0"/>
        <v>90</v>
      </c>
      <c r="L34" s="710">
        <f>+I34+360</f>
        <v>44388</v>
      </c>
      <c r="M34" s="710"/>
      <c r="N34" s="701">
        <f>'Control de dias gozados 2019'!CR38+'vacaciones 2020'!P35</f>
        <v>18</v>
      </c>
      <c r="O34" s="703">
        <f t="shared" si="1"/>
        <v>72</v>
      </c>
    </row>
    <row r="35" spans="1:15" ht="42.75" customHeight="1" x14ac:dyDescent="0.35">
      <c r="A35" s="396">
        <v>32</v>
      </c>
      <c r="B35" s="614" t="s">
        <v>365</v>
      </c>
      <c r="C35" s="423" t="s">
        <v>356</v>
      </c>
      <c r="D35" s="696">
        <f>C35+8*360</f>
        <v>43605</v>
      </c>
      <c r="E35" s="698">
        <v>240</v>
      </c>
      <c r="F35" s="757">
        <f>D35+360</f>
        <v>43965</v>
      </c>
      <c r="G35" s="694">
        <f>'Determ días de vacaciones'!S39</f>
        <v>59</v>
      </c>
      <c r="H35" s="694"/>
      <c r="I35" s="708">
        <f>F35+G35</f>
        <v>44024</v>
      </c>
      <c r="J35" s="707">
        <v>30</v>
      </c>
      <c r="K35" s="700">
        <f t="shared" si="0"/>
        <v>270</v>
      </c>
      <c r="L35" s="710">
        <f>+I35+360</f>
        <v>44384</v>
      </c>
      <c r="M35" s="710"/>
      <c r="N35" s="701">
        <f>'Control de dias gozados 2019'!CR39+'vacaciones 2020'!P36</f>
        <v>120</v>
      </c>
      <c r="O35" s="703">
        <f t="shared" si="1"/>
        <v>150</v>
      </c>
    </row>
    <row r="36" spans="1:15" s="258" customFormat="1" ht="42.75" customHeight="1" x14ac:dyDescent="0.35">
      <c r="A36" s="380">
        <v>33</v>
      </c>
      <c r="B36" s="715" t="s">
        <v>96</v>
      </c>
      <c r="C36" s="732" t="s">
        <v>319</v>
      </c>
      <c r="D36" s="717">
        <f>C36+2*360</f>
        <v>43790</v>
      </c>
      <c r="E36" s="755">
        <v>60</v>
      </c>
      <c r="F36" s="758">
        <f>D36+360</f>
        <v>44150</v>
      </c>
      <c r="G36" s="719">
        <v>52</v>
      </c>
      <c r="H36" s="719">
        <v>77</v>
      </c>
      <c r="I36" s="730">
        <f>+F36+G36+H36</f>
        <v>44279</v>
      </c>
      <c r="J36" s="721">
        <v>0</v>
      </c>
      <c r="K36" s="722">
        <f t="shared" si="0"/>
        <v>60</v>
      </c>
      <c r="L36" s="730">
        <f>+F36+G36+H36</f>
        <v>44279</v>
      </c>
      <c r="M36" s="724"/>
      <c r="N36" s="701">
        <f>'Control de dias gozados 2019'!CR40+'vacaciones 2020'!P37</f>
        <v>78</v>
      </c>
      <c r="O36" s="726">
        <f t="shared" si="1"/>
        <v>-18</v>
      </c>
    </row>
    <row r="37" spans="1:15" ht="42.75" customHeight="1" x14ac:dyDescent="0.35">
      <c r="A37" s="396">
        <v>34</v>
      </c>
      <c r="B37" s="608" t="s">
        <v>388</v>
      </c>
      <c r="C37" s="398" t="s">
        <v>324</v>
      </c>
      <c r="D37" s="696"/>
      <c r="E37" s="699"/>
      <c r="F37" s="712" t="s">
        <v>324</v>
      </c>
      <c r="G37" s="694"/>
      <c r="H37" s="694"/>
      <c r="I37" s="704"/>
      <c r="J37" s="707">
        <v>0</v>
      </c>
      <c r="K37" s="700">
        <f t="shared" si="0"/>
        <v>0</v>
      </c>
      <c r="L37" s="713">
        <f>F37+G37+360</f>
        <v>44435</v>
      </c>
      <c r="M37" s="714"/>
      <c r="N37" s="701">
        <f>'Control de dias gozados 2019'!CR41+'vacaciones 2020'!P38</f>
        <v>10</v>
      </c>
      <c r="O37" s="703">
        <f t="shared" si="1"/>
        <v>-10</v>
      </c>
    </row>
    <row r="38" spans="1:15" ht="42.75" customHeight="1" x14ac:dyDescent="0.35">
      <c r="A38" s="380">
        <v>35</v>
      </c>
      <c r="B38" s="614" t="s">
        <v>366</v>
      </c>
      <c r="C38" s="381" t="s">
        <v>356</v>
      </c>
      <c r="D38" s="696">
        <f>C38+8*360</f>
        <v>43605</v>
      </c>
      <c r="E38" s="697">
        <v>240</v>
      </c>
      <c r="F38" s="757">
        <f>D38+360</f>
        <v>43965</v>
      </c>
      <c r="G38" s="694">
        <f>'Determ días de vacaciones'!S41</f>
        <v>41</v>
      </c>
      <c r="H38" s="694"/>
      <c r="I38" s="708">
        <f>F38+G38</f>
        <v>44006</v>
      </c>
      <c r="J38" s="707">
        <v>30</v>
      </c>
      <c r="K38" s="700">
        <f t="shared" si="0"/>
        <v>270</v>
      </c>
      <c r="L38" s="710">
        <f>+I38+360</f>
        <v>44366</v>
      </c>
      <c r="M38" s="710"/>
      <c r="N38" s="701">
        <f>'Control de dias gozados 2019'!CR42+'vacaciones 2020'!P39</f>
        <v>167</v>
      </c>
      <c r="O38" s="703">
        <f t="shared" si="1"/>
        <v>103</v>
      </c>
    </row>
    <row r="39" spans="1:15" ht="42.75" customHeight="1" x14ac:dyDescent="0.35">
      <c r="A39" s="396">
        <v>36</v>
      </c>
      <c r="B39" s="608" t="s">
        <v>56</v>
      </c>
      <c r="C39" s="410" t="s">
        <v>329</v>
      </c>
      <c r="D39" s="696">
        <f>C39+5*360</f>
        <v>43471</v>
      </c>
      <c r="E39" s="697">
        <v>150</v>
      </c>
      <c r="F39" s="711">
        <f>D39+360</f>
        <v>43831</v>
      </c>
      <c r="G39" s="694">
        <f>'Determ días de vacaciones'!S42</f>
        <v>62</v>
      </c>
      <c r="H39" s="694"/>
      <c r="I39" s="708">
        <f>F39+G39</f>
        <v>43893</v>
      </c>
      <c r="J39" s="707">
        <v>30</v>
      </c>
      <c r="K39" s="700">
        <f t="shared" si="0"/>
        <v>180</v>
      </c>
      <c r="L39" s="711">
        <f>F39+G39+360</f>
        <v>44253</v>
      </c>
      <c r="M39" s="710"/>
      <c r="N39" s="701">
        <f>'Control de dias gozados 2019'!CR43+'vacaciones 2020'!P40</f>
        <v>59</v>
      </c>
      <c r="O39" s="703">
        <f t="shared" si="1"/>
        <v>121</v>
      </c>
    </row>
    <row r="40" spans="1:15" ht="42.75" customHeight="1" x14ac:dyDescent="0.35">
      <c r="A40" s="380">
        <v>37</v>
      </c>
      <c r="B40" s="608" t="s">
        <v>336</v>
      </c>
      <c r="C40" s="398" t="s">
        <v>265</v>
      </c>
      <c r="D40" s="696">
        <f>+C40+360</f>
        <v>43826</v>
      </c>
      <c r="E40" s="697">
        <v>30</v>
      </c>
      <c r="F40" s="711">
        <f>+D40+360</f>
        <v>44186</v>
      </c>
      <c r="G40" s="694">
        <f>'Determ días de vacaciones'!S43</f>
        <v>62</v>
      </c>
      <c r="H40" s="694"/>
      <c r="I40" s="708">
        <f>F40+G40</f>
        <v>44248</v>
      </c>
      <c r="J40" s="707">
        <v>0</v>
      </c>
      <c r="K40" s="700">
        <f t="shared" si="0"/>
        <v>30</v>
      </c>
      <c r="L40" s="711">
        <f>F40+G40</f>
        <v>44248</v>
      </c>
      <c r="M40" s="710"/>
      <c r="N40" s="701">
        <f>'Control de dias gozados 2019'!CR44+'vacaciones 2020'!P41</f>
        <v>30</v>
      </c>
      <c r="O40" s="703">
        <f t="shared" si="1"/>
        <v>0</v>
      </c>
    </row>
    <row r="41" spans="1:15" ht="42.75" customHeight="1" x14ac:dyDescent="0.35">
      <c r="A41" s="396">
        <v>38</v>
      </c>
      <c r="B41" s="608" t="s">
        <v>95</v>
      </c>
      <c r="C41" s="398" t="s">
        <v>337</v>
      </c>
      <c r="D41" s="696">
        <f>C41+2*360</f>
        <v>43821</v>
      </c>
      <c r="E41" s="697">
        <v>60</v>
      </c>
      <c r="F41" s="757">
        <f>D41+360</f>
        <v>44181</v>
      </c>
      <c r="G41" s="694">
        <f>'Determ días de vacaciones'!S44</f>
        <v>47</v>
      </c>
      <c r="H41" s="694"/>
      <c r="I41" s="708">
        <f>F41+G41</f>
        <v>44228</v>
      </c>
      <c r="J41" s="707">
        <v>0</v>
      </c>
      <c r="K41" s="700">
        <f t="shared" si="0"/>
        <v>60</v>
      </c>
      <c r="L41" s="708">
        <v>44228</v>
      </c>
      <c r="M41" s="710"/>
      <c r="N41" s="701">
        <f>'Control de dias gozados 2019'!CR45+'vacaciones 2020'!P42</f>
        <v>88</v>
      </c>
      <c r="O41" s="703">
        <f t="shared" si="1"/>
        <v>-28</v>
      </c>
    </row>
    <row r="42" spans="1:15" s="258" customFormat="1" ht="42.75" customHeight="1" x14ac:dyDescent="0.35">
      <c r="A42" s="380">
        <v>39</v>
      </c>
      <c r="B42" s="715" t="s">
        <v>109</v>
      </c>
      <c r="C42" s="716" t="s">
        <v>355</v>
      </c>
      <c r="D42" s="717">
        <f>C42+360</f>
        <v>43673</v>
      </c>
      <c r="E42" s="718">
        <v>30</v>
      </c>
      <c r="F42" s="758">
        <f>D42+360</f>
        <v>44033</v>
      </c>
      <c r="G42" s="719">
        <f>'Determ días de vacaciones'!S45</f>
        <v>77</v>
      </c>
      <c r="H42" s="719">
        <v>27</v>
      </c>
      <c r="I42" s="730">
        <f>F42+G42+H42</f>
        <v>44137</v>
      </c>
      <c r="J42" s="721">
        <v>30</v>
      </c>
      <c r="K42" s="722">
        <f t="shared" si="0"/>
        <v>60</v>
      </c>
      <c r="L42" s="724">
        <f>+I42+360</f>
        <v>44497</v>
      </c>
      <c r="M42" s="724"/>
      <c r="N42" s="701">
        <f>'Control de dias gozados 2019'!CR46+'vacaciones 2020'!P43</f>
        <v>56</v>
      </c>
      <c r="O42" s="726">
        <f t="shared" si="1"/>
        <v>4</v>
      </c>
    </row>
    <row r="43" spans="1:15" ht="42.75" customHeight="1" x14ac:dyDescent="0.35">
      <c r="A43" s="396">
        <v>40</v>
      </c>
      <c r="B43" s="608" t="s">
        <v>61</v>
      </c>
      <c r="C43" s="381" t="s">
        <v>341</v>
      </c>
      <c r="D43" s="696">
        <f>C43+5*360</f>
        <v>43713</v>
      </c>
      <c r="E43" s="698">
        <v>150</v>
      </c>
      <c r="F43" s="757">
        <f>D43+360</f>
        <v>44073</v>
      </c>
      <c r="G43" s="694">
        <f>'Determ días de vacaciones'!S46</f>
        <v>2</v>
      </c>
      <c r="H43" s="694"/>
      <c r="I43" s="708">
        <f>F43+G43</f>
        <v>44075</v>
      </c>
      <c r="J43" s="707">
        <v>30</v>
      </c>
      <c r="K43" s="700">
        <f t="shared" si="0"/>
        <v>180</v>
      </c>
      <c r="L43" s="710">
        <f>+I43+360</f>
        <v>44435</v>
      </c>
      <c r="M43" s="710"/>
      <c r="N43" s="701">
        <f>'Control de dias gozados 2019'!CR47+'vacaciones 2020'!P44</f>
        <v>99</v>
      </c>
      <c r="O43" s="703">
        <f t="shared" si="1"/>
        <v>81</v>
      </c>
    </row>
    <row r="44" spans="1:15" ht="24.75" customHeight="1" x14ac:dyDescent="0.35"/>
    <row r="45" spans="1:15" ht="24.75" customHeight="1" x14ac:dyDescent="0.35">
      <c r="H45" s="263">
        <v>2.5</v>
      </c>
      <c r="I45" s="263">
        <v>1</v>
      </c>
    </row>
    <row r="46" spans="1:15" ht="24.75" customHeight="1" x14ac:dyDescent="0.35">
      <c r="H46" s="263">
        <v>12</v>
      </c>
      <c r="I46" s="263">
        <f>H46*I45/H45</f>
        <v>4.8</v>
      </c>
    </row>
    <row r="47" spans="1:15" ht="24.75" customHeight="1" x14ac:dyDescent="0.35"/>
    <row r="48" spans="1:15" ht="24.75" customHeight="1" x14ac:dyDescent="0.35"/>
  </sheetData>
  <mergeCells count="1">
    <mergeCell ref="B1:O1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43" orientation="portrait" verticalDpi="4294967295" r:id="rId1"/>
  <colBreaks count="1" manualBreakCount="1">
    <brk id="5" max="42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CT54"/>
  <sheetViews>
    <sheetView showGridLines="0" showZeros="0" view="pageBreakPreview" topLeftCell="AR1" zoomScale="71" zoomScaleNormal="85" zoomScaleSheetLayoutView="71" workbookViewId="0">
      <selection activeCell="A30" sqref="A30:XFD30"/>
    </sheetView>
  </sheetViews>
  <sheetFormatPr baseColWidth="10" defaultColWidth="8.85546875" defaultRowHeight="18.75" outlineLevelCol="2" x14ac:dyDescent="0.3"/>
  <cols>
    <col min="1" max="1" width="0.42578125" style="252" customWidth="1"/>
    <col min="2" max="2" width="57.7109375" style="253" customWidth="1"/>
    <col min="3" max="3" width="9.7109375" style="253" customWidth="1"/>
    <col min="4" max="14" width="6.7109375" style="253" customWidth="1" outlineLevel="1"/>
    <col min="15" max="15" width="8" style="253" customWidth="1" outlineLevel="1"/>
    <col min="16" max="16" width="9.7109375" style="253" customWidth="1"/>
    <col min="17" max="28" width="6.7109375" style="253" customWidth="1" outlineLevel="2"/>
    <col min="29" max="29" width="9.7109375" style="253" customWidth="1"/>
    <col min="30" max="41" width="5.85546875" style="253" customWidth="1" outlineLevel="1"/>
    <col min="42" max="42" width="9.7109375" style="253" customWidth="1"/>
    <col min="43" max="43" width="6" style="253" customWidth="1" outlineLevel="1"/>
    <col min="44" max="54" width="5.85546875" style="253" customWidth="1" outlineLevel="1"/>
    <col min="55" max="55" width="9.5703125" style="253" customWidth="1"/>
    <col min="56" max="66" width="6.140625" style="253" customWidth="1" outlineLevel="1"/>
    <col min="67" max="67" width="6.28515625" style="253" customWidth="1" outlineLevel="1"/>
    <col min="68" max="68" width="9.7109375" style="253" customWidth="1"/>
    <col min="69" max="69" width="5.7109375" style="253" customWidth="1" outlineLevel="1"/>
    <col min="70" max="80" width="5.5703125" style="253" customWidth="1" outlineLevel="1"/>
    <col min="81" max="81" width="9.5703125" style="255" customWidth="1"/>
    <col min="82" max="82" width="5.7109375" style="253" customWidth="1" outlineLevel="1"/>
    <col min="83" max="93" width="5.5703125" style="253" customWidth="1" outlineLevel="1"/>
    <col min="94" max="95" width="9.85546875" style="255" customWidth="1"/>
    <col min="96" max="96" width="11.42578125" style="255" customWidth="1"/>
    <col min="97" max="97" width="11.42578125" style="797" customWidth="1"/>
    <col min="98" max="98" width="15.7109375" style="253" customWidth="1"/>
    <col min="99" max="99" width="15.140625" style="253" customWidth="1"/>
    <col min="100" max="16384" width="8.85546875" style="253"/>
  </cols>
  <sheetData>
    <row r="1" spans="1:97" x14ac:dyDescent="0.3">
      <c r="A1" s="1196" t="s">
        <v>371</v>
      </c>
      <c r="B1" s="1196"/>
      <c r="C1" s="1196"/>
      <c r="D1" s="1196"/>
      <c r="E1" s="1196"/>
      <c r="F1" s="1196"/>
      <c r="G1" s="1196"/>
      <c r="H1" s="1196"/>
      <c r="I1" s="1196"/>
      <c r="J1" s="1196"/>
      <c r="K1" s="1196"/>
      <c r="L1" s="1196"/>
      <c r="M1" s="1196"/>
      <c r="N1" s="1196"/>
      <c r="O1" s="1196"/>
      <c r="P1" s="1196"/>
      <c r="Q1" s="1196"/>
      <c r="R1" s="1196"/>
      <c r="S1" s="1196"/>
      <c r="T1" s="1196"/>
      <c r="U1" s="1196"/>
      <c r="V1" s="1196"/>
      <c r="W1" s="1196"/>
      <c r="X1" s="1196"/>
      <c r="Y1" s="1196"/>
      <c r="Z1" s="1196"/>
      <c r="AA1" s="1196"/>
      <c r="AB1" s="1196"/>
      <c r="AC1" s="1196"/>
      <c r="AD1" s="1196"/>
      <c r="AE1" s="1196"/>
      <c r="AF1" s="1196"/>
      <c r="AG1" s="1196"/>
      <c r="AH1" s="1196"/>
      <c r="AI1" s="1196"/>
      <c r="AJ1" s="1196"/>
      <c r="AK1" s="1196"/>
      <c r="AL1" s="1196"/>
      <c r="AM1" s="1196"/>
      <c r="AN1" s="1196"/>
      <c r="AO1" s="1196"/>
      <c r="AP1" s="1196"/>
      <c r="AQ1" s="1196"/>
      <c r="AR1" s="1196"/>
      <c r="AS1" s="1196"/>
      <c r="AT1" s="1196"/>
      <c r="AU1" s="1196"/>
      <c r="AV1" s="1196"/>
      <c r="AW1" s="1196"/>
      <c r="AX1" s="1196"/>
      <c r="AY1" s="1196"/>
      <c r="AZ1" s="1196"/>
      <c r="BA1" s="1196"/>
      <c r="BB1" s="1196"/>
      <c r="BC1" s="1196"/>
      <c r="BD1" s="1196"/>
      <c r="BE1" s="1196"/>
      <c r="BF1" s="1196"/>
      <c r="BG1" s="1196"/>
      <c r="BH1" s="1196"/>
      <c r="BI1" s="1196"/>
      <c r="BJ1" s="1196"/>
      <c r="BK1" s="1196"/>
      <c r="BL1" s="1196"/>
      <c r="BM1" s="1196"/>
      <c r="BN1" s="1196"/>
      <c r="BO1" s="1196"/>
      <c r="BP1" s="1196"/>
      <c r="BQ1" s="1196"/>
      <c r="BR1" s="1196"/>
      <c r="BS1" s="1196"/>
      <c r="BT1" s="1196"/>
      <c r="BU1" s="1196"/>
      <c r="BV1" s="1196"/>
      <c r="BW1" s="1196"/>
      <c r="BX1" s="1196"/>
      <c r="BY1" s="1196"/>
      <c r="BZ1" s="1196"/>
      <c r="CA1" s="1196"/>
      <c r="CB1" s="1196"/>
      <c r="CC1" s="1196"/>
      <c r="CD1" s="1196"/>
      <c r="CE1" s="1196"/>
      <c r="CF1" s="1196"/>
      <c r="CG1" s="1196"/>
      <c r="CH1" s="1196"/>
      <c r="CI1" s="1196"/>
      <c r="CJ1" s="1196"/>
      <c r="CK1" s="1196"/>
      <c r="CL1" s="1196"/>
      <c r="CM1" s="1196"/>
      <c r="CN1" s="1196"/>
      <c r="CO1" s="1196"/>
      <c r="CP1" s="1196"/>
      <c r="CQ1" s="1196"/>
      <c r="CR1" s="1196"/>
      <c r="CS1" s="1196"/>
    </row>
    <row r="2" spans="1:97" ht="33.75" customHeight="1" x14ac:dyDescent="0.3">
      <c r="A2" s="1196">
        <v>2019</v>
      </c>
      <c r="B2" s="1196"/>
      <c r="C2" s="1196"/>
      <c r="D2" s="1196"/>
      <c r="E2" s="1196"/>
      <c r="F2" s="1196"/>
      <c r="G2" s="1196"/>
      <c r="H2" s="1196"/>
      <c r="I2" s="1196"/>
      <c r="J2" s="1196"/>
      <c r="K2" s="1196"/>
      <c r="L2" s="1196"/>
      <c r="M2" s="1196"/>
      <c r="N2" s="1196"/>
      <c r="O2" s="1196"/>
      <c r="P2" s="1196"/>
      <c r="Q2" s="1196"/>
      <c r="R2" s="1196"/>
      <c r="S2" s="1196"/>
      <c r="T2" s="1196"/>
      <c r="U2" s="1196"/>
      <c r="V2" s="1196"/>
      <c r="W2" s="1196"/>
      <c r="X2" s="1196"/>
      <c r="Y2" s="1196"/>
      <c r="Z2" s="1196"/>
      <c r="AA2" s="1196"/>
      <c r="AB2" s="1196"/>
      <c r="AC2" s="1196"/>
      <c r="AD2" s="1196"/>
      <c r="AE2" s="1196"/>
      <c r="AF2" s="1196"/>
      <c r="AG2" s="1196"/>
      <c r="AH2" s="1196"/>
      <c r="AI2" s="1196"/>
      <c r="AJ2" s="1196"/>
      <c r="AK2" s="1196"/>
      <c r="AL2" s="1196"/>
      <c r="AM2" s="1196"/>
      <c r="AN2" s="1196"/>
      <c r="AO2" s="1196"/>
      <c r="AP2" s="1196"/>
      <c r="AQ2" s="1196"/>
      <c r="AR2" s="1196"/>
      <c r="AS2" s="1196"/>
      <c r="AT2" s="1196"/>
      <c r="AU2" s="1196"/>
      <c r="AV2" s="1196"/>
      <c r="AW2" s="1196"/>
      <c r="AX2" s="1196"/>
      <c r="AY2" s="1196"/>
      <c r="AZ2" s="1196"/>
      <c r="BA2" s="1196"/>
      <c r="BB2" s="1196"/>
      <c r="BC2" s="1196"/>
      <c r="BD2" s="1196"/>
      <c r="BE2" s="1196"/>
      <c r="BF2" s="1196"/>
      <c r="BG2" s="1196"/>
      <c r="BH2" s="1196"/>
      <c r="BI2" s="1196"/>
      <c r="BJ2" s="1196"/>
      <c r="BK2" s="1196"/>
      <c r="BL2" s="1196"/>
      <c r="BM2" s="1196"/>
      <c r="BN2" s="1196"/>
      <c r="BO2" s="1196"/>
      <c r="BP2" s="1196"/>
      <c r="BQ2" s="1196"/>
      <c r="BR2" s="1196"/>
      <c r="BS2" s="1196"/>
      <c r="BT2" s="1196"/>
      <c r="BU2" s="1196"/>
      <c r="BV2" s="1196"/>
      <c r="BW2" s="1196"/>
      <c r="BX2" s="1196"/>
      <c r="BY2" s="1196"/>
      <c r="BZ2" s="1196"/>
      <c r="CA2" s="1196"/>
      <c r="CB2" s="1196"/>
      <c r="CC2" s="1196"/>
      <c r="CD2" s="1196"/>
      <c r="CE2" s="1196"/>
      <c r="CF2" s="1196"/>
      <c r="CG2" s="1196"/>
      <c r="CH2" s="1196"/>
      <c r="CI2" s="1196"/>
      <c r="CJ2" s="1196"/>
      <c r="CK2" s="1196"/>
      <c r="CL2" s="1196"/>
      <c r="CM2" s="1196"/>
      <c r="CN2" s="1196"/>
      <c r="CO2" s="1196"/>
      <c r="CP2" s="1196"/>
      <c r="CQ2" s="1196"/>
      <c r="CR2" s="1196"/>
      <c r="CS2" s="1196"/>
    </row>
    <row r="3" spans="1:97" ht="1.5" customHeight="1" x14ac:dyDescent="0.3">
      <c r="B3" s="293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2"/>
      <c r="AE3" s="292"/>
      <c r="AF3" s="292"/>
      <c r="AG3" s="292"/>
      <c r="AH3" s="292"/>
      <c r="AI3" s="292"/>
      <c r="AJ3" s="292"/>
      <c r="AK3" s="292"/>
      <c r="AL3" s="292"/>
      <c r="AM3" s="292"/>
      <c r="AN3" s="292"/>
      <c r="AO3" s="292"/>
      <c r="AP3" s="292"/>
      <c r="AQ3" s="292"/>
      <c r="AR3" s="292"/>
      <c r="AS3" s="292"/>
      <c r="AT3" s="292"/>
      <c r="AU3" s="292"/>
      <c r="AV3" s="292"/>
      <c r="AW3" s="292"/>
      <c r="AX3" s="292"/>
      <c r="AY3" s="292"/>
      <c r="AZ3" s="292"/>
      <c r="BA3" s="292"/>
      <c r="BB3" s="292"/>
      <c r="BC3" s="292"/>
      <c r="BD3" s="292"/>
      <c r="BE3" s="292"/>
      <c r="BF3" s="292"/>
      <c r="BG3" s="292"/>
      <c r="BH3" s="292"/>
      <c r="BI3" s="292"/>
      <c r="BJ3" s="292"/>
      <c r="BK3" s="292"/>
      <c r="BL3" s="292"/>
      <c r="BM3" s="292"/>
      <c r="BN3" s="292"/>
      <c r="BO3" s="292"/>
      <c r="BP3" s="292"/>
      <c r="BQ3" s="292"/>
      <c r="BR3" s="292"/>
      <c r="BS3" s="292"/>
      <c r="BT3" s="292"/>
      <c r="BU3" s="292"/>
      <c r="BV3" s="292"/>
      <c r="BW3" s="292"/>
      <c r="BX3" s="292"/>
      <c r="BY3" s="292"/>
      <c r="BZ3" s="292"/>
      <c r="CA3" s="292"/>
      <c r="CB3" s="292"/>
      <c r="CC3" s="292"/>
      <c r="CD3" s="292"/>
      <c r="CE3" s="292"/>
      <c r="CF3" s="292"/>
      <c r="CG3" s="292"/>
      <c r="CH3" s="292"/>
      <c r="CI3" s="292"/>
      <c r="CJ3" s="292"/>
      <c r="CK3" s="292"/>
      <c r="CL3" s="292"/>
      <c r="CM3" s="292"/>
      <c r="CN3" s="292"/>
      <c r="CO3" s="292"/>
      <c r="CP3" s="292"/>
      <c r="CQ3" s="292"/>
      <c r="CR3" s="292"/>
      <c r="CS3" s="292"/>
    </row>
    <row r="4" spans="1:97" s="254" customFormat="1" ht="56.25" customHeight="1" x14ac:dyDescent="0.3">
      <c r="A4" s="1195" t="s">
        <v>68</v>
      </c>
      <c r="B4" s="1195"/>
      <c r="C4" s="294" t="s">
        <v>78</v>
      </c>
      <c r="D4" s="1197" t="s">
        <v>1</v>
      </c>
      <c r="E4" s="1197"/>
      <c r="F4" s="1197"/>
      <c r="G4" s="1197"/>
      <c r="H4" s="1197"/>
      <c r="I4" s="1197"/>
      <c r="J4" s="1197"/>
      <c r="K4" s="1197"/>
      <c r="L4" s="1197"/>
      <c r="M4" s="1197"/>
      <c r="N4" s="1197"/>
      <c r="O4" s="1197"/>
      <c r="P4" s="294" t="s">
        <v>79</v>
      </c>
      <c r="Q4" s="1197" t="s">
        <v>2</v>
      </c>
      <c r="R4" s="1197"/>
      <c r="S4" s="1197"/>
      <c r="T4" s="1197"/>
      <c r="U4" s="1197"/>
      <c r="V4" s="1197"/>
      <c r="W4" s="1197"/>
      <c r="X4" s="1197"/>
      <c r="Y4" s="1197"/>
      <c r="Z4" s="1197"/>
      <c r="AA4" s="1197"/>
      <c r="AB4" s="1197"/>
      <c r="AC4" s="294" t="s">
        <v>80</v>
      </c>
      <c r="AD4" s="1197" t="s">
        <v>60</v>
      </c>
      <c r="AE4" s="1197"/>
      <c r="AF4" s="1197"/>
      <c r="AG4" s="1197"/>
      <c r="AH4" s="1197"/>
      <c r="AI4" s="1197"/>
      <c r="AJ4" s="1197"/>
      <c r="AK4" s="1197"/>
      <c r="AL4" s="1197"/>
      <c r="AM4" s="1197"/>
      <c r="AN4" s="1197"/>
      <c r="AO4" s="1197"/>
      <c r="AP4" s="294" t="s">
        <v>81</v>
      </c>
      <c r="AQ4" s="1197" t="s">
        <v>72</v>
      </c>
      <c r="AR4" s="1197"/>
      <c r="AS4" s="1197"/>
      <c r="AT4" s="1197"/>
      <c r="AU4" s="1197"/>
      <c r="AV4" s="1197"/>
      <c r="AW4" s="1197"/>
      <c r="AX4" s="1197"/>
      <c r="AY4" s="1197"/>
      <c r="AZ4" s="1197"/>
      <c r="BA4" s="1197"/>
      <c r="BB4" s="1197"/>
      <c r="BC4" s="294" t="s">
        <v>82</v>
      </c>
      <c r="BD4" s="1197" t="s">
        <v>73</v>
      </c>
      <c r="BE4" s="1197"/>
      <c r="BF4" s="1197"/>
      <c r="BG4" s="1197"/>
      <c r="BH4" s="1197"/>
      <c r="BI4" s="1197"/>
      <c r="BJ4" s="1197"/>
      <c r="BK4" s="1197"/>
      <c r="BL4" s="1197"/>
      <c r="BM4" s="1197"/>
      <c r="BN4" s="1197"/>
      <c r="BO4" s="1197"/>
      <c r="BP4" s="294" t="s">
        <v>83</v>
      </c>
      <c r="BQ4" s="1197" t="s">
        <v>88</v>
      </c>
      <c r="BR4" s="1197"/>
      <c r="BS4" s="1197"/>
      <c r="BT4" s="1197"/>
      <c r="BU4" s="1197"/>
      <c r="BV4" s="1197"/>
      <c r="BW4" s="1197"/>
      <c r="BX4" s="1197"/>
      <c r="BY4" s="1197"/>
      <c r="BZ4" s="1197"/>
      <c r="CA4" s="1197"/>
      <c r="CB4" s="1197"/>
      <c r="CC4" s="295" t="s">
        <v>89</v>
      </c>
      <c r="CD4" s="1197" t="s">
        <v>98</v>
      </c>
      <c r="CE4" s="1197"/>
      <c r="CF4" s="1197"/>
      <c r="CG4" s="1197"/>
      <c r="CH4" s="1197"/>
      <c r="CI4" s="1197"/>
      <c r="CJ4" s="1197"/>
      <c r="CK4" s="1197"/>
      <c r="CL4" s="1197"/>
      <c r="CM4" s="1197"/>
      <c r="CN4" s="1197"/>
      <c r="CO4" s="1197"/>
      <c r="CP4" s="295" t="s">
        <v>99</v>
      </c>
      <c r="CQ4" s="1198" t="s">
        <v>398</v>
      </c>
      <c r="CR4" s="1200" t="s">
        <v>369</v>
      </c>
      <c r="CS4" s="1198" t="s">
        <v>399</v>
      </c>
    </row>
    <row r="5" spans="1:97" s="254" customFormat="1" ht="30" customHeight="1" x14ac:dyDescent="0.3">
      <c r="A5" s="1195"/>
      <c r="B5" s="1195"/>
      <c r="C5" s="294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4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4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4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4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4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6"/>
      <c r="CC5" s="295"/>
      <c r="CD5" s="296"/>
      <c r="CE5" s="296"/>
      <c r="CF5" s="296"/>
      <c r="CG5" s="296"/>
      <c r="CH5" s="296"/>
      <c r="CI5" s="296"/>
      <c r="CJ5" s="296"/>
      <c r="CK5" s="296"/>
      <c r="CL5" s="296"/>
      <c r="CM5" s="296"/>
      <c r="CN5" s="296"/>
      <c r="CO5" s="296"/>
      <c r="CP5" s="295"/>
      <c r="CQ5" s="1199"/>
      <c r="CR5" s="1200"/>
      <c r="CS5" s="1199"/>
    </row>
    <row r="6" spans="1:97" s="254" customFormat="1" ht="20.25" customHeight="1" x14ac:dyDescent="0.3">
      <c r="A6" s="297">
        <v>1</v>
      </c>
      <c r="B6" s="298" t="s">
        <v>85</v>
      </c>
      <c r="C6" s="299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1">
        <f t="shared" ref="P6:P47" si="0">SUM(D6:O6)</f>
        <v>0</v>
      </c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1">
        <f>SUM(Q6:AB6)</f>
        <v>0</v>
      </c>
      <c r="AD6" s="300"/>
      <c r="AE6" s="300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1">
        <f>SUM(AD6:AO6)</f>
        <v>0</v>
      </c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1">
        <f>SUM(AQ6:BB6)</f>
        <v>0</v>
      </c>
      <c r="BD6" s="302"/>
      <c r="BE6" s="302"/>
      <c r="BF6" s="302"/>
      <c r="BG6" s="302"/>
      <c r="BH6" s="302"/>
      <c r="BI6" s="303">
        <v>1</v>
      </c>
      <c r="BJ6" s="302"/>
      <c r="BK6" s="302"/>
      <c r="BL6" s="302"/>
      <c r="BM6" s="303">
        <v>1</v>
      </c>
      <c r="BN6" s="302"/>
      <c r="BO6" s="303">
        <v>6</v>
      </c>
      <c r="BP6" s="301">
        <f>SUM(BD6:BO6)</f>
        <v>8</v>
      </c>
      <c r="BQ6" s="304"/>
      <c r="BR6" s="305"/>
      <c r="BS6" s="306">
        <v>1</v>
      </c>
      <c r="BT6" s="305"/>
      <c r="BU6" s="305"/>
      <c r="BV6" s="306">
        <v>1</v>
      </c>
      <c r="BW6" s="306">
        <v>1</v>
      </c>
      <c r="BX6" s="305"/>
      <c r="BY6" s="306">
        <v>7</v>
      </c>
      <c r="BZ6" s="306">
        <f>2+1</f>
        <v>3</v>
      </c>
      <c r="CA6" s="306"/>
      <c r="CB6" s="303"/>
      <c r="CC6" s="301">
        <f>SUM(BQ6:CB6)</f>
        <v>13</v>
      </c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1">
        <f>SUM(CD6:CO6)</f>
        <v>0</v>
      </c>
      <c r="CQ6" s="301">
        <f>vacaciones!E4</f>
        <v>90</v>
      </c>
      <c r="CR6" s="301">
        <f t="shared" ref="CR6:CR40" si="1">C6+P6+AC6+AP6+BC6+BP6+CC6+CP6</f>
        <v>21</v>
      </c>
      <c r="CS6" s="795">
        <f t="shared" ref="CS6:CS47" si="2">CQ6-CR6</f>
        <v>69</v>
      </c>
    </row>
    <row r="7" spans="1:97" s="907" customFormat="1" ht="20.25" customHeight="1" x14ac:dyDescent="0.3">
      <c r="A7" s="900">
        <f>+A6+1</f>
        <v>2</v>
      </c>
      <c r="B7" s="901" t="s">
        <v>86</v>
      </c>
      <c r="C7" s="902"/>
      <c r="D7" s="903"/>
      <c r="E7" s="903"/>
      <c r="F7" s="903"/>
      <c r="G7" s="903"/>
      <c r="H7" s="903"/>
      <c r="I7" s="903"/>
      <c r="J7" s="903"/>
      <c r="K7" s="903"/>
      <c r="L7" s="903"/>
      <c r="M7" s="903"/>
      <c r="N7" s="903"/>
      <c r="O7" s="903"/>
      <c r="P7" s="904">
        <f t="shared" si="0"/>
        <v>0</v>
      </c>
      <c r="Q7" s="903"/>
      <c r="R7" s="903"/>
      <c r="S7" s="903"/>
      <c r="T7" s="903"/>
      <c r="U7" s="903"/>
      <c r="V7" s="903"/>
      <c r="W7" s="903"/>
      <c r="X7" s="903"/>
      <c r="Y7" s="903"/>
      <c r="Z7" s="903"/>
      <c r="AA7" s="903"/>
      <c r="AB7" s="903"/>
      <c r="AC7" s="904">
        <f>SUM(Q7:AB7)</f>
        <v>0</v>
      </c>
      <c r="AD7" s="903"/>
      <c r="AE7" s="903"/>
      <c r="AF7" s="903"/>
      <c r="AG7" s="903"/>
      <c r="AH7" s="903"/>
      <c r="AI7" s="903"/>
      <c r="AJ7" s="903"/>
      <c r="AK7" s="903"/>
      <c r="AL7" s="903"/>
      <c r="AM7" s="903"/>
      <c r="AN7" s="903"/>
      <c r="AO7" s="903"/>
      <c r="AP7" s="904">
        <f>SUM(AD7:AO7)</f>
        <v>0</v>
      </c>
      <c r="AQ7" s="820"/>
      <c r="AR7" s="820"/>
      <c r="AS7" s="820"/>
      <c r="AT7" s="820"/>
      <c r="AU7" s="820"/>
      <c r="AV7" s="820"/>
      <c r="AW7" s="820"/>
      <c r="AX7" s="820"/>
      <c r="AY7" s="820"/>
      <c r="AZ7" s="820"/>
      <c r="BA7" s="820"/>
      <c r="BB7" s="820"/>
      <c r="BC7" s="904">
        <f>SUM(AQ7:BB7)</f>
        <v>0</v>
      </c>
      <c r="BD7" s="903"/>
      <c r="BE7" s="903"/>
      <c r="BF7" s="903"/>
      <c r="BG7" s="903"/>
      <c r="BH7" s="903"/>
      <c r="BI7" s="903"/>
      <c r="BJ7" s="903"/>
      <c r="BK7" s="903"/>
      <c r="BL7" s="903"/>
      <c r="BM7" s="820">
        <v>1</v>
      </c>
      <c r="BN7" s="903"/>
      <c r="BO7" s="820"/>
      <c r="BP7" s="904">
        <f>SUM(BD7:BO7)</f>
        <v>1</v>
      </c>
      <c r="BQ7" s="820"/>
      <c r="BR7" s="820"/>
      <c r="BS7" s="820">
        <v>1</v>
      </c>
      <c r="BT7" s="820">
        <v>2</v>
      </c>
      <c r="BU7" s="820">
        <v>2</v>
      </c>
      <c r="BV7" s="820">
        <v>2</v>
      </c>
      <c r="BW7" s="820"/>
      <c r="BX7" s="820"/>
      <c r="BY7" s="820"/>
      <c r="BZ7" s="820"/>
      <c r="CA7" s="820"/>
      <c r="CB7" s="820"/>
      <c r="CC7" s="904">
        <f>SUM(BQ7:CB7)</f>
        <v>7</v>
      </c>
      <c r="CD7" s="820"/>
      <c r="CE7" s="820"/>
      <c r="CF7" s="820"/>
      <c r="CG7" s="820"/>
      <c r="CH7" s="820"/>
      <c r="CI7" s="820"/>
      <c r="CJ7" s="820">
        <v>1</v>
      </c>
      <c r="CK7" s="820"/>
      <c r="CL7" s="820"/>
      <c r="CM7" s="820"/>
      <c r="CN7" s="820"/>
      <c r="CO7" s="820">
        <v>1</v>
      </c>
      <c r="CP7" s="904">
        <f>SUM(CD7:CO7)</f>
        <v>2</v>
      </c>
      <c r="CQ7" s="905">
        <f>vacaciones!E5</f>
        <v>60</v>
      </c>
      <c r="CR7" s="904">
        <f t="shared" si="1"/>
        <v>10</v>
      </c>
      <c r="CS7" s="906">
        <f t="shared" si="2"/>
        <v>50</v>
      </c>
    </row>
    <row r="8" spans="1:97" ht="20.25" customHeight="1" x14ac:dyDescent="0.3">
      <c r="A8" s="297">
        <f>+A7+1</f>
        <v>3</v>
      </c>
      <c r="B8" s="312" t="s">
        <v>49</v>
      </c>
      <c r="C8" s="308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0">
        <f t="shared" si="0"/>
        <v>0</v>
      </c>
      <c r="Q8" s="311"/>
      <c r="R8" s="311"/>
      <c r="S8" s="311"/>
      <c r="T8" s="311"/>
      <c r="U8" s="311"/>
      <c r="V8" s="311"/>
      <c r="W8" s="311"/>
      <c r="X8" s="311"/>
      <c r="Y8" s="311"/>
      <c r="Z8" s="311">
        <v>5</v>
      </c>
      <c r="AA8" s="311"/>
      <c r="AB8" s="311">
        <v>10</v>
      </c>
      <c r="AC8" s="310">
        <f>SUM(Q8:AB8)</f>
        <v>15</v>
      </c>
      <c r="AD8" s="311"/>
      <c r="AE8" s="311">
        <v>1</v>
      </c>
      <c r="AF8" s="311"/>
      <c r="AG8" s="311">
        <v>3</v>
      </c>
      <c r="AH8" s="311"/>
      <c r="AI8" s="311">
        <v>6</v>
      </c>
      <c r="AJ8" s="311">
        <v>2</v>
      </c>
      <c r="AK8" s="311">
        <v>1</v>
      </c>
      <c r="AL8" s="311"/>
      <c r="AM8" s="311"/>
      <c r="AN8" s="311"/>
      <c r="AO8" s="311"/>
      <c r="AP8" s="310">
        <f>SUM(AD8:AO8)</f>
        <v>13</v>
      </c>
      <c r="AQ8" s="311"/>
      <c r="AR8" s="311"/>
      <c r="AS8" s="311"/>
      <c r="AT8" s="311"/>
      <c r="AU8" s="311"/>
      <c r="AV8" s="311"/>
      <c r="AW8" s="311"/>
      <c r="AX8" s="311"/>
      <c r="AY8" s="311"/>
      <c r="AZ8" s="311"/>
      <c r="BA8" s="311">
        <v>1</v>
      </c>
      <c r="BB8" s="311">
        <v>15</v>
      </c>
      <c r="BC8" s="310">
        <f>SUM(AQ8:BB8)</f>
        <v>16</v>
      </c>
      <c r="BD8" s="311"/>
      <c r="BE8" s="311"/>
      <c r="BF8" s="311"/>
      <c r="BG8" s="311">
        <v>2</v>
      </c>
      <c r="BH8" s="311"/>
      <c r="BI8" s="311"/>
      <c r="BJ8" s="311"/>
      <c r="BK8" s="311"/>
      <c r="BL8" s="311"/>
      <c r="BM8" s="311"/>
      <c r="BN8" s="311"/>
      <c r="BO8" s="311">
        <v>6</v>
      </c>
      <c r="BP8" s="310">
        <f>SUM(BD8:BO8)</f>
        <v>8</v>
      </c>
      <c r="BQ8" s="309"/>
      <c r="BR8" s="311">
        <v>2</v>
      </c>
      <c r="BS8" s="311"/>
      <c r="BT8" s="311">
        <v>7</v>
      </c>
      <c r="BU8" s="311"/>
      <c r="BV8" s="311"/>
      <c r="BW8" s="311"/>
      <c r="BX8" s="311">
        <v>1</v>
      </c>
      <c r="BY8" s="311"/>
      <c r="BZ8" s="311">
        <v>3</v>
      </c>
      <c r="CA8" s="311"/>
      <c r="CB8" s="311">
        <v>11</v>
      </c>
      <c r="CC8" s="310">
        <f>SUM(BQ8:CB8)</f>
        <v>24</v>
      </c>
      <c r="CD8" s="311"/>
      <c r="CE8" s="311"/>
      <c r="CF8" s="311"/>
      <c r="CG8" s="311"/>
      <c r="CH8" s="309"/>
      <c r="CI8" s="311">
        <v>15</v>
      </c>
      <c r="CJ8" s="311">
        <v>7</v>
      </c>
      <c r="CK8" s="311"/>
      <c r="CL8" s="311">
        <v>14</v>
      </c>
      <c r="CM8" s="311"/>
      <c r="CN8" s="311"/>
      <c r="CO8" s="311">
        <v>12</v>
      </c>
      <c r="CP8" s="310">
        <f>SUM(CD8:CO8)</f>
        <v>48</v>
      </c>
      <c r="CQ8" s="301">
        <f>vacaciones!E6</f>
        <v>150</v>
      </c>
      <c r="CR8" s="310">
        <f t="shared" si="1"/>
        <v>124</v>
      </c>
      <c r="CS8" s="795">
        <f t="shared" si="2"/>
        <v>26</v>
      </c>
    </row>
    <row r="9" spans="1:97" ht="20.25" customHeight="1" x14ac:dyDescent="0.3">
      <c r="A9" s="297">
        <v>4</v>
      </c>
      <c r="B9" s="312" t="s">
        <v>107</v>
      </c>
      <c r="C9" s="308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0">
        <f t="shared" si="0"/>
        <v>0</v>
      </c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0">
        <f t="shared" ref="AC9:AC15" si="3">SUM(Q9:AB9)</f>
        <v>0</v>
      </c>
      <c r="AD9" s="311"/>
      <c r="AE9" s="311"/>
      <c r="AF9" s="311"/>
      <c r="AG9" s="311"/>
      <c r="AH9" s="311"/>
      <c r="AI9" s="311"/>
      <c r="AJ9" s="311"/>
      <c r="AK9" s="311"/>
      <c r="AL9" s="311"/>
      <c r="AM9" s="311"/>
      <c r="AN9" s="311"/>
      <c r="AO9" s="311"/>
      <c r="AP9" s="310">
        <f t="shared" ref="AP9:AP15" si="4">SUM(AD9:AO9)</f>
        <v>0</v>
      </c>
      <c r="AQ9" s="311"/>
      <c r="AR9" s="311"/>
      <c r="AS9" s="311"/>
      <c r="AT9" s="311"/>
      <c r="AU9" s="311"/>
      <c r="AV9" s="311"/>
      <c r="AW9" s="311"/>
      <c r="AX9" s="311"/>
      <c r="AY9" s="311"/>
      <c r="AZ9" s="311"/>
      <c r="BA9" s="311"/>
      <c r="BB9" s="311"/>
      <c r="BC9" s="310">
        <f>SUM(AQ9:BB9)</f>
        <v>0</v>
      </c>
      <c r="BD9" s="311"/>
      <c r="BE9" s="311"/>
      <c r="BF9" s="311"/>
      <c r="BG9" s="311"/>
      <c r="BH9" s="311"/>
      <c r="BI9" s="311"/>
      <c r="BJ9" s="311"/>
      <c r="BK9" s="311"/>
      <c r="BL9" s="311"/>
      <c r="BM9" s="311"/>
      <c r="BN9" s="311"/>
      <c r="BO9" s="311"/>
      <c r="BP9" s="310">
        <f>SUM(BD9:BO9)</f>
        <v>0</v>
      </c>
      <c r="BQ9" s="309"/>
      <c r="BR9" s="309"/>
      <c r="BS9" s="309"/>
      <c r="BT9" s="309"/>
      <c r="BU9" s="309"/>
      <c r="BV9" s="309"/>
      <c r="BW9" s="309"/>
      <c r="BX9" s="309"/>
      <c r="BY9" s="311"/>
      <c r="BZ9" s="311"/>
      <c r="CA9" s="311"/>
      <c r="CB9" s="311"/>
      <c r="CC9" s="310">
        <f>SUM(BQ9:CB9)</f>
        <v>0</v>
      </c>
      <c r="CD9" s="311">
        <v>14</v>
      </c>
      <c r="CE9" s="309"/>
      <c r="CF9" s="309"/>
      <c r="CG9" s="309"/>
      <c r="CH9" s="309"/>
      <c r="CI9" s="309"/>
      <c r="CJ9" s="309"/>
      <c r="CK9" s="309"/>
      <c r="CL9" s="311"/>
      <c r="CM9" s="311"/>
      <c r="CN9" s="311"/>
      <c r="CO9" s="311"/>
      <c r="CP9" s="310">
        <f>SUM(CD9:CO9)</f>
        <v>14</v>
      </c>
      <c r="CQ9" s="301">
        <f>vacaciones!E7</f>
        <v>30</v>
      </c>
      <c r="CR9" s="310">
        <f t="shared" si="1"/>
        <v>14</v>
      </c>
      <c r="CS9" s="795">
        <f t="shared" si="2"/>
        <v>16</v>
      </c>
    </row>
    <row r="10" spans="1:97" ht="20.25" customHeight="1" x14ac:dyDescent="0.3">
      <c r="A10" s="297">
        <f>+A9+1</f>
        <v>5</v>
      </c>
      <c r="B10" s="312" t="s">
        <v>16</v>
      </c>
      <c r="C10" s="308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0">
        <f t="shared" si="0"/>
        <v>0</v>
      </c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0">
        <f t="shared" si="3"/>
        <v>0</v>
      </c>
      <c r="AD10" s="311"/>
      <c r="AE10" s="311"/>
      <c r="AF10" s="311"/>
      <c r="AG10" s="311"/>
      <c r="AH10" s="311"/>
      <c r="AI10" s="311"/>
      <c r="AJ10" s="311"/>
      <c r="AK10" s="311"/>
      <c r="AL10" s="311"/>
      <c r="AM10" s="311"/>
      <c r="AN10" s="311"/>
      <c r="AO10" s="311"/>
      <c r="AP10" s="310">
        <f t="shared" si="4"/>
        <v>0</v>
      </c>
      <c r="AQ10" s="311"/>
      <c r="AR10" s="311"/>
      <c r="AS10" s="311"/>
      <c r="AT10" s="311"/>
      <c r="AU10" s="311"/>
      <c r="AV10" s="311"/>
      <c r="AW10" s="311"/>
      <c r="AX10" s="311"/>
      <c r="AY10" s="311"/>
      <c r="AZ10" s="311"/>
      <c r="BA10" s="311"/>
      <c r="BB10" s="311"/>
      <c r="BC10" s="310">
        <f t="shared" ref="BC10:BC15" si="5">SUM(AQ10:BB10)</f>
        <v>0</v>
      </c>
      <c r="BD10" s="311"/>
      <c r="BE10" s="311"/>
      <c r="BF10" s="311"/>
      <c r="BG10" s="311"/>
      <c r="BH10" s="311"/>
      <c r="BI10" s="311"/>
      <c r="BJ10" s="311"/>
      <c r="BK10" s="311"/>
      <c r="BL10" s="311"/>
      <c r="BM10" s="311"/>
      <c r="BN10" s="311"/>
      <c r="BO10" s="311"/>
      <c r="BP10" s="310">
        <f t="shared" ref="BP10:BP15" si="6">SUM(BD10:BO10)</f>
        <v>0</v>
      </c>
      <c r="BQ10" s="309"/>
      <c r="BR10" s="309"/>
      <c r="BS10" s="309"/>
      <c r="BT10" s="309"/>
      <c r="BU10" s="309"/>
      <c r="BV10" s="309"/>
      <c r="BW10" s="309"/>
      <c r="BX10" s="309"/>
      <c r="BY10" s="311"/>
      <c r="BZ10" s="311"/>
      <c r="CA10" s="311"/>
      <c r="CB10" s="311"/>
      <c r="CC10" s="310">
        <f t="shared" ref="CC10:CC15" si="7">SUM(BQ10:CB10)</f>
        <v>0</v>
      </c>
      <c r="CD10" s="309"/>
      <c r="CE10" s="309"/>
      <c r="CF10" s="309"/>
      <c r="CG10" s="309"/>
      <c r="CH10" s="309"/>
      <c r="CI10" s="309"/>
      <c r="CJ10" s="311">
        <v>10</v>
      </c>
      <c r="CK10" s="311">
        <v>7</v>
      </c>
      <c r="CL10" s="311"/>
      <c r="CM10" s="311"/>
      <c r="CN10" s="311"/>
      <c r="CO10" s="311"/>
      <c r="CP10" s="310">
        <f t="shared" ref="CP10:CP15" si="8">SUM(CD10:CO10)</f>
        <v>17</v>
      </c>
      <c r="CQ10" s="301">
        <f>vacaciones!E8</f>
        <v>0</v>
      </c>
      <c r="CR10" s="310">
        <f t="shared" si="1"/>
        <v>17</v>
      </c>
      <c r="CS10" s="795">
        <f t="shared" si="2"/>
        <v>-17</v>
      </c>
    </row>
    <row r="11" spans="1:97" ht="20.25" customHeight="1" x14ac:dyDescent="0.3">
      <c r="A11" s="297">
        <f>+A10+1</f>
        <v>6</v>
      </c>
      <c r="B11" s="312" t="s">
        <v>57</v>
      </c>
      <c r="C11" s="308"/>
      <c r="D11" s="309"/>
      <c r="E11" s="309"/>
      <c r="F11" s="309"/>
      <c r="G11" s="309"/>
      <c r="H11" s="311">
        <v>1</v>
      </c>
      <c r="I11" s="309"/>
      <c r="J11" s="309"/>
      <c r="K11" s="309"/>
      <c r="L11" s="309"/>
      <c r="M11" s="309"/>
      <c r="N11" s="309"/>
      <c r="O11" s="309"/>
      <c r="P11" s="310">
        <f t="shared" si="0"/>
        <v>1</v>
      </c>
      <c r="Q11" s="311"/>
      <c r="R11" s="311"/>
      <c r="S11" s="311"/>
      <c r="T11" s="311"/>
      <c r="U11" s="311"/>
      <c r="V11" s="311"/>
      <c r="W11" s="311"/>
      <c r="X11" s="311">
        <v>7</v>
      </c>
      <c r="Y11" s="311"/>
      <c r="Z11" s="311"/>
      <c r="AA11" s="311"/>
      <c r="AB11" s="311">
        <v>1</v>
      </c>
      <c r="AC11" s="310">
        <f t="shared" si="3"/>
        <v>8</v>
      </c>
      <c r="AD11" s="311">
        <v>1</v>
      </c>
      <c r="AE11" s="311">
        <v>4</v>
      </c>
      <c r="AF11" s="311">
        <v>2</v>
      </c>
      <c r="AG11" s="311"/>
      <c r="AH11" s="311">
        <v>1</v>
      </c>
      <c r="AI11" s="311"/>
      <c r="AJ11" s="311">
        <v>1</v>
      </c>
      <c r="AK11" s="311"/>
      <c r="AL11" s="311"/>
      <c r="AM11" s="311">
        <v>1</v>
      </c>
      <c r="AN11" s="311"/>
      <c r="AO11" s="311">
        <v>3</v>
      </c>
      <c r="AP11" s="310">
        <f t="shared" si="4"/>
        <v>13</v>
      </c>
      <c r="AQ11" s="311">
        <v>2</v>
      </c>
      <c r="AR11" s="311">
        <v>1</v>
      </c>
      <c r="AS11" s="311"/>
      <c r="AT11" s="311">
        <v>1</v>
      </c>
      <c r="AU11" s="311">
        <v>7</v>
      </c>
      <c r="AV11" s="311"/>
      <c r="AW11" s="311">
        <v>2</v>
      </c>
      <c r="AX11" s="311">
        <v>1</v>
      </c>
      <c r="AY11" s="311"/>
      <c r="AZ11" s="311"/>
      <c r="BA11" s="311">
        <v>1</v>
      </c>
      <c r="BB11" s="311">
        <v>1</v>
      </c>
      <c r="BC11" s="310">
        <f t="shared" si="5"/>
        <v>16</v>
      </c>
      <c r="BD11" s="311">
        <v>2</v>
      </c>
      <c r="BE11" s="311">
        <v>7</v>
      </c>
      <c r="BF11" s="311"/>
      <c r="BG11" s="311">
        <v>1</v>
      </c>
      <c r="BH11" s="311"/>
      <c r="BI11" s="311">
        <v>1</v>
      </c>
      <c r="BJ11" s="311">
        <v>1</v>
      </c>
      <c r="BK11" s="311">
        <v>1</v>
      </c>
      <c r="BL11" s="311"/>
      <c r="BM11" s="311">
        <v>2</v>
      </c>
      <c r="BN11" s="311">
        <v>1</v>
      </c>
      <c r="BO11" s="311">
        <v>8</v>
      </c>
      <c r="BP11" s="310">
        <f t="shared" si="6"/>
        <v>24</v>
      </c>
      <c r="BQ11" s="311">
        <v>13</v>
      </c>
      <c r="BR11" s="311">
        <v>1</v>
      </c>
      <c r="BS11" s="311"/>
      <c r="BT11" s="311"/>
      <c r="BU11" s="311">
        <v>1</v>
      </c>
      <c r="BV11" s="311"/>
      <c r="BW11" s="311">
        <v>8</v>
      </c>
      <c r="BX11" s="311"/>
      <c r="BY11" s="311">
        <v>1</v>
      </c>
      <c r="BZ11" s="311"/>
      <c r="CA11" s="311"/>
      <c r="CB11" s="311">
        <v>2</v>
      </c>
      <c r="CC11" s="310">
        <f t="shared" si="7"/>
        <v>26</v>
      </c>
      <c r="CD11" s="311"/>
      <c r="CE11" s="311">
        <v>7</v>
      </c>
      <c r="CF11" s="311"/>
      <c r="CG11" s="311"/>
      <c r="CH11" s="311"/>
      <c r="CI11" s="311">
        <v>1</v>
      </c>
      <c r="CJ11" s="311">
        <v>10</v>
      </c>
      <c r="CK11" s="311">
        <v>1</v>
      </c>
      <c r="CL11" s="311"/>
      <c r="CM11" s="311"/>
      <c r="CN11" s="311"/>
      <c r="CO11" s="311">
        <v>1</v>
      </c>
      <c r="CP11" s="310">
        <f t="shared" si="8"/>
        <v>20</v>
      </c>
      <c r="CQ11" s="301">
        <f>vacaciones!E9</f>
        <v>180</v>
      </c>
      <c r="CR11" s="310">
        <f t="shared" si="1"/>
        <v>108</v>
      </c>
      <c r="CS11" s="795">
        <f t="shared" si="2"/>
        <v>72</v>
      </c>
    </row>
    <row r="12" spans="1:97" s="254" customFormat="1" ht="20.25" customHeight="1" x14ac:dyDescent="0.3">
      <c r="A12" s="297">
        <v>7</v>
      </c>
      <c r="B12" s="312" t="s">
        <v>18</v>
      </c>
      <c r="C12" s="311">
        <v>45</v>
      </c>
      <c r="D12" s="311"/>
      <c r="E12" s="311">
        <v>1</v>
      </c>
      <c r="F12" s="311"/>
      <c r="G12" s="311">
        <v>1</v>
      </c>
      <c r="H12" s="311"/>
      <c r="I12" s="311">
        <v>4</v>
      </c>
      <c r="J12" s="311">
        <v>1</v>
      </c>
      <c r="K12" s="311">
        <v>3</v>
      </c>
      <c r="L12" s="311"/>
      <c r="M12" s="311"/>
      <c r="N12" s="311"/>
      <c r="O12" s="311">
        <v>1</v>
      </c>
      <c r="P12" s="310">
        <f t="shared" si="0"/>
        <v>11</v>
      </c>
      <c r="Q12" s="311">
        <v>1</v>
      </c>
      <c r="R12" s="311">
        <v>1</v>
      </c>
      <c r="S12" s="311"/>
      <c r="T12" s="311">
        <v>1</v>
      </c>
      <c r="U12" s="311">
        <v>4</v>
      </c>
      <c r="V12" s="311"/>
      <c r="W12" s="311"/>
      <c r="X12" s="311"/>
      <c r="Y12" s="311">
        <v>1</v>
      </c>
      <c r="Z12" s="311">
        <v>1</v>
      </c>
      <c r="AA12" s="311"/>
      <c r="AB12" s="311">
        <v>3</v>
      </c>
      <c r="AC12" s="310">
        <f t="shared" si="3"/>
        <v>12</v>
      </c>
      <c r="AD12" s="311"/>
      <c r="AE12" s="311">
        <v>4</v>
      </c>
      <c r="AF12" s="311"/>
      <c r="AG12" s="311">
        <v>1</v>
      </c>
      <c r="AH12" s="311"/>
      <c r="AI12" s="311">
        <v>4</v>
      </c>
      <c r="AJ12" s="311">
        <v>2</v>
      </c>
      <c r="AK12" s="311"/>
      <c r="AL12" s="311">
        <v>1</v>
      </c>
      <c r="AM12" s="311">
        <v>4</v>
      </c>
      <c r="AN12" s="311">
        <v>1</v>
      </c>
      <c r="AO12" s="311">
        <v>3</v>
      </c>
      <c r="AP12" s="310">
        <f t="shared" si="4"/>
        <v>20</v>
      </c>
      <c r="AQ12" s="311"/>
      <c r="AR12" s="311">
        <v>14</v>
      </c>
      <c r="AS12" s="311">
        <v>2</v>
      </c>
      <c r="AT12" s="311"/>
      <c r="AU12" s="311"/>
      <c r="AV12" s="311"/>
      <c r="AW12" s="311"/>
      <c r="AX12" s="311"/>
      <c r="AY12" s="311"/>
      <c r="AZ12" s="311">
        <v>1</v>
      </c>
      <c r="BA12" s="311">
        <v>3</v>
      </c>
      <c r="BB12" s="311">
        <v>3</v>
      </c>
      <c r="BC12" s="310">
        <f t="shared" si="5"/>
        <v>23</v>
      </c>
      <c r="BD12" s="311"/>
      <c r="BE12" s="311"/>
      <c r="BF12" s="311"/>
      <c r="BG12" s="311"/>
      <c r="BH12" s="311"/>
      <c r="BI12" s="311"/>
      <c r="BJ12" s="311"/>
      <c r="BK12" s="311"/>
      <c r="BL12" s="311"/>
      <c r="BM12" s="311"/>
      <c r="BN12" s="311"/>
      <c r="BO12" s="311"/>
      <c r="BP12" s="310">
        <f t="shared" si="6"/>
        <v>0</v>
      </c>
      <c r="BQ12" s="311"/>
      <c r="BR12" s="311">
        <v>10</v>
      </c>
      <c r="BS12" s="309"/>
      <c r="BT12" s="309"/>
      <c r="BU12" s="309"/>
      <c r="BV12" s="309"/>
      <c r="BW12" s="311">
        <v>1</v>
      </c>
      <c r="BX12" s="311">
        <v>1</v>
      </c>
      <c r="BY12" s="311"/>
      <c r="BZ12" s="309"/>
      <c r="CA12" s="309"/>
      <c r="CB12" s="309"/>
      <c r="CC12" s="310">
        <f t="shared" si="7"/>
        <v>12</v>
      </c>
      <c r="CD12" s="311"/>
      <c r="CE12" s="311">
        <v>11</v>
      </c>
      <c r="CF12" s="311"/>
      <c r="CG12" s="311"/>
      <c r="CH12" s="311"/>
      <c r="CI12" s="311"/>
      <c r="CJ12" s="311"/>
      <c r="CK12" s="311"/>
      <c r="CL12" s="311"/>
      <c r="CM12" s="311"/>
      <c r="CN12" s="311"/>
      <c r="CO12" s="311">
        <v>14</v>
      </c>
      <c r="CP12" s="310">
        <f t="shared" si="8"/>
        <v>25</v>
      </c>
      <c r="CQ12" s="301">
        <f>vacaciones!E10</f>
        <v>270</v>
      </c>
      <c r="CR12" s="310">
        <f t="shared" si="1"/>
        <v>148</v>
      </c>
      <c r="CS12" s="795">
        <f t="shared" si="2"/>
        <v>122</v>
      </c>
    </row>
    <row r="13" spans="1:97" ht="20.25" customHeight="1" x14ac:dyDescent="0.3">
      <c r="A13" s="297">
        <f>+A12+1</f>
        <v>8</v>
      </c>
      <c r="B13" s="312" t="s">
        <v>19</v>
      </c>
      <c r="C13" s="311">
        <v>15</v>
      </c>
      <c r="D13" s="311"/>
      <c r="E13" s="311"/>
      <c r="F13" s="311">
        <v>5</v>
      </c>
      <c r="G13" s="311"/>
      <c r="H13" s="311"/>
      <c r="I13" s="311">
        <v>5</v>
      </c>
      <c r="J13" s="311">
        <v>8</v>
      </c>
      <c r="K13" s="311"/>
      <c r="L13" s="311"/>
      <c r="M13" s="311"/>
      <c r="N13" s="311"/>
      <c r="O13" s="311"/>
      <c r="P13" s="310">
        <f t="shared" si="0"/>
        <v>18</v>
      </c>
      <c r="Q13" s="311"/>
      <c r="R13" s="311"/>
      <c r="S13" s="311"/>
      <c r="T13" s="311"/>
      <c r="U13" s="311"/>
      <c r="V13" s="311"/>
      <c r="W13" s="311"/>
      <c r="X13" s="311">
        <v>2</v>
      </c>
      <c r="Y13" s="311">
        <v>1</v>
      </c>
      <c r="Z13" s="311"/>
      <c r="AA13" s="311"/>
      <c r="AB13" s="311">
        <v>3</v>
      </c>
      <c r="AC13" s="310">
        <f t="shared" si="3"/>
        <v>6</v>
      </c>
      <c r="AD13" s="311">
        <v>1</v>
      </c>
      <c r="AE13" s="311">
        <v>15</v>
      </c>
      <c r="AF13" s="311"/>
      <c r="AG13" s="311"/>
      <c r="AH13" s="311"/>
      <c r="AI13" s="311"/>
      <c r="AJ13" s="311">
        <v>4</v>
      </c>
      <c r="AK13" s="311">
        <v>1</v>
      </c>
      <c r="AL13" s="311"/>
      <c r="AM13" s="311"/>
      <c r="AN13" s="311"/>
      <c r="AO13" s="311"/>
      <c r="AP13" s="310">
        <f t="shared" si="4"/>
        <v>21</v>
      </c>
      <c r="AQ13" s="311"/>
      <c r="AR13" s="311"/>
      <c r="AS13" s="311"/>
      <c r="AT13" s="311"/>
      <c r="AU13" s="311"/>
      <c r="AV13" s="311">
        <v>14</v>
      </c>
      <c r="AW13" s="311"/>
      <c r="AX13" s="311">
        <v>1</v>
      </c>
      <c r="AY13" s="311"/>
      <c r="AZ13" s="311"/>
      <c r="BA13" s="311"/>
      <c r="BB13" s="311">
        <v>22</v>
      </c>
      <c r="BC13" s="310">
        <f t="shared" si="5"/>
        <v>37</v>
      </c>
      <c r="BD13" s="311"/>
      <c r="BE13" s="311"/>
      <c r="BF13" s="311"/>
      <c r="BG13" s="311"/>
      <c r="BH13" s="311"/>
      <c r="BI13" s="311"/>
      <c r="BJ13" s="311"/>
      <c r="BK13" s="311">
        <v>37</v>
      </c>
      <c r="BL13" s="311"/>
      <c r="BM13" s="311">
        <v>1</v>
      </c>
      <c r="BN13" s="311"/>
      <c r="BO13" s="311">
        <v>14</v>
      </c>
      <c r="BP13" s="310">
        <f t="shared" si="6"/>
        <v>52</v>
      </c>
      <c r="BQ13" s="313">
        <v>4</v>
      </c>
      <c r="BR13" s="311"/>
      <c r="BS13" s="311"/>
      <c r="BT13" s="311"/>
      <c r="BU13" s="311"/>
      <c r="BV13" s="311"/>
      <c r="BW13" s="311"/>
      <c r="BX13" s="309"/>
      <c r="BY13" s="311"/>
      <c r="BZ13" s="313">
        <v>30</v>
      </c>
      <c r="CA13" s="311"/>
      <c r="CB13" s="311"/>
      <c r="CC13" s="310">
        <f t="shared" si="7"/>
        <v>34</v>
      </c>
      <c r="CD13" s="313"/>
      <c r="CE13" s="311"/>
      <c r="CF13" s="311"/>
      <c r="CG13" s="311">
        <v>3</v>
      </c>
      <c r="CH13" s="311"/>
      <c r="CI13" s="311"/>
      <c r="CJ13" s="311"/>
      <c r="CK13" s="311"/>
      <c r="CL13" s="311">
        <v>8</v>
      </c>
      <c r="CM13" s="311"/>
      <c r="CN13" s="311"/>
      <c r="CO13" s="311">
        <v>15</v>
      </c>
      <c r="CP13" s="310">
        <f t="shared" si="8"/>
        <v>26</v>
      </c>
      <c r="CQ13" s="301">
        <f>vacaciones!E11</f>
        <v>240</v>
      </c>
      <c r="CR13" s="310">
        <f t="shared" si="1"/>
        <v>209</v>
      </c>
      <c r="CS13" s="795">
        <f t="shared" si="2"/>
        <v>31</v>
      </c>
    </row>
    <row r="14" spans="1:97" ht="20.25" customHeight="1" x14ac:dyDescent="0.3">
      <c r="A14" s="297">
        <f>+A13+1</f>
        <v>9</v>
      </c>
      <c r="B14" s="312" t="s">
        <v>20</v>
      </c>
      <c r="C14" s="311">
        <v>15</v>
      </c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0">
        <f t="shared" si="0"/>
        <v>0</v>
      </c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0">
        <f t="shared" si="3"/>
        <v>0</v>
      </c>
      <c r="AD14" s="311"/>
      <c r="AE14" s="311">
        <v>14</v>
      </c>
      <c r="AF14" s="311"/>
      <c r="AG14" s="311"/>
      <c r="AH14" s="311"/>
      <c r="AI14" s="311"/>
      <c r="AJ14" s="311"/>
      <c r="AK14" s="311"/>
      <c r="AL14" s="311"/>
      <c r="AM14" s="311"/>
      <c r="AN14" s="311"/>
      <c r="AO14" s="311"/>
      <c r="AP14" s="310">
        <f t="shared" si="4"/>
        <v>14</v>
      </c>
      <c r="AQ14" s="311"/>
      <c r="AR14" s="311">
        <v>1</v>
      </c>
      <c r="AS14" s="311"/>
      <c r="AT14" s="311">
        <v>1</v>
      </c>
      <c r="AU14" s="311"/>
      <c r="AV14" s="311">
        <v>5</v>
      </c>
      <c r="AW14" s="311"/>
      <c r="AX14" s="311"/>
      <c r="AY14" s="311"/>
      <c r="AZ14" s="311"/>
      <c r="BA14" s="311"/>
      <c r="BB14" s="311"/>
      <c r="BC14" s="310">
        <f t="shared" si="5"/>
        <v>7</v>
      </c>
      <c r="BD14" s="309"/>
      <c r="BE14" s="309"/>
      <c r="BF14" s="309"/>
      <c r="BG14" s="309"/>
      <c r="BH14" s="309"/>
      <c r="BI14" s="309"/>
      <c r="BJ14" s="309"/>
      <c r="BK14" s="309"/>
      <c r="BL14" s="309"/>
      <c r="BM14" s="309"/>
      <c r="BN14" s="309"/>
      <c r="BO14" s="309"/>
      <c r="BP14" s="310">
        <f t="shared" si="6"/>
        <v>0</v>
      </c>
      <c r="BQ14" s="309"/>
      <c r="BR14" s="309"/>
      <c r="BS14" s="311">
        <v>15</v>
      </c>
      <c r="BT14" s="309"/>
      <c r="BU14" s="309"/>
      <c r="BV14" s="309"/>
      <c r="BW14" s="309"/>
      <c r="BX14" s="309"/>
      <c r="BY14" s="309"/>
      <c r="BZ14" s="309"/>
      <c r="CA14" s="309"/>
      <c r="CB14" s="309"/>
      <c r="CC14" s="310">
        <f t="shared" si="7"/>
        <v>15</v>
      </c>
      <c r="CD14" s="311"/>
      <c r="CE14" s="311"/>
      <c r="CF14" s="311"/>
      <c r="CG14" s="311"/>
      <c r="CH14" s="311"/>
      <c r="CI14" s="311"/>
      <c r="CJ14" s="311">
        <v>14</v>
      </c>
      <c r="CK14" s="311"/>
      <c r="CL14" s="311"/>
      <c r="CM14" s="311"/>
      <c r="CN14" s="311"/>
      <c r="CO14" s="311"/>
      <c r="CP14" s="310">
        <f t="shared" si="8"/>
        <v>14</v>
      </c>
      <c r="CQ14" s="301">
        <f>vacaciones!E12</f>
        <v>240</v>
      </c>
      <c r="CR14" s="310">
        <f t="shared" si="1"/>
        <v>65</v>
      </c>
      <c r="CS14" s="795">
        <f t="shared" si="2"/>
        <v>175</v>
      </c>
    </row>
    <row r="15" spans="1:97" ht="20.25" customHeight="1" x14ac:dyDescent="0.3">
      <c r="A15" s="297">
        <v>10</v>
      </c>
      <c r="B15" s="312" t="s">
        <v>50</v>
      </c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0">
        <f t="shared" si="0"/>
        <v>0</v>
      </c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0">
        <f t="shared" si="3"/>
        <v>0</v>
      </c>
      <c r="AD15" s="311"/>
      <c r="AE15" s="311"/>
      <c r="AF15" s="311"/>
      <c r="AG15" s="311"/>
      <c r="AH15" s="311"/>
      <c r="AI15" s="311">
        <v>6</v>
      </c>
      <c r="AJ15" s="311"/>
      <c r="AK15" s="311"/>
      <c r="AL15" s="311"/>
      <c r="AM15" s="311"/>
      <c r="AN15" s="311"/>
      <c r="AO15" s="311"/>
      <c r="AP15" s="310">
        <f t="shared" si="4"/>
        <v>6</v>
      </c>
      <c r="AQ15" s="311"/>
      <c r="AR15" s="311"/>
      <c r="AS15" s="311"/>
      <c r="AT15" s="311"/>
      <c r="AU15" s="311"/>
      <c r="AV15" s="311"/>
      <c r="AW15" s="311"/>
      <c r="AX15" s="311"/>
      <c r="AY15" s="311"/>
      <c r="AZ15" s="311"/>
      <c r="BA15" s="311"/>
      <c r="BB15" s="311"/>
      <c r="BC15" s="310">
        <f t="shared" si="5"/>
        <v>0</v>
      </c>
      <c r="BD15" s="309"/>
      <c r="BE15" s="309"/>
      <c r="BF15" s="309"/>
      <c r="BG15" s="309"/>
      <c r="BH15" s="309"/>
      <c r="BI15" s="309"/>
      <c r="BJ15" s="309"/>
      <c r="BK15" s="309"/>
      <c r="BL15" s="309"/>
      <c r="BM15" s="309"/>
      <c r="BN15" s="309"/>
      <c r="BO15" s="309"/>
      <c r="BP15" s="310">
        <f t="shared" si="6"/>
        <v>0</v>
      </c>
      <c r="BQ15" s="309"/>
      <c r="BR15" s="309"/>
      <c r="BS15" s="309"/>
      <c r="BT15" s="309"/>
      <c r="BU15" s="309"/>
      <c r="BV15" s="309"/>
      <c r="BW15" s="309"/>
      <c r="BX15" s="309"/>
      <c r="BY15" s="309"/>
      <c r="BZ15" s="309"/>
      <c r="CA15" s="309"/>
      <c r="CB15" s="309"/>
      <c r="CC15" s="310">
        <f t="shared" si="7"/>
        <v>0</v>
      </c>
      <c r="CD15" s="309"/>
      <c r="CE15" s="309"/>
      <c r="CF15" s="309"/>
      <c r="CG15" s="309"/>
      <c r="CH15" s="309"/>
      <c r="CI15" s="309"/>
      <c r="CJ15" s="309"/>
      <c r="CK15" s="309"/>
      <c r="CL15" s="309"/>
      <c r="CM15" s="309"/>
      <c r="CN15" s="309"/>
      <c r="CO15" s="309"/>
      <c r="CP15" s="310">
        <f t="shared" si="8"/>
        <v>0</v>
      </c>
      <c r="CQ15" s="301">
        <f>vacaciones!E13</f>
        <v>240</v>
      </c>
      <c r="CR15" s="310">
        <f t="shared" si="1"/>
        <v>6</v>
      </c>
      <c r="CS15" s="795">
        <f t="shared" si="2"/>
        <v>234</v>
      </c>
    </row>
    <row r="16" spans="1:97" ht="20.25" customHeight="1" x14ac:dyDescent="0.3">
      <c r="A16" s="297">
        <f>+A15+1</f>
        <v>11</v>
      </c>
      <c r="B16" s="312" t="s">
        <v>404</v>
      </c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0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0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  <c r="AN16" s="311"/>
      <c r="AO16" s="311"/>
      <c r="AP16" s="310"/>
      <c r="AQ16" s="311"/>
      <c r="AR16" s="311"/>
      <c r="AS16" s="311"/>
      <c r="AT16" s="311"/>
      <c r="AU16" s="311"/>
      <c r="AV16" s="311"/>
      <c r="AW16" s="311"/>
      <c r="AX16" s="311"/>
      <c r="AY16" s="311"/>
      <c r="AZ16" s="311"/>
      <c r="BA16" s="311"/>
      <c r="BB16" s="311"/>
      <c r="BC16" s="310"/>
      <c r="BD16" s="309"/>
      <c r="BE16" s="309"/>
      <c r="BF16" s="309"/>
      <c r="BG16" s="309"/>
      <c r="BH16" s="309"/>
      <c r="BI16" s="309"/>
      <c r="BJ16" s="309"/>
      <c r="BK16" s="309"/>
      <c r="BL16" s="309"/>
      <c r="BM16" s="309"/>
      <c r="BN16" s="309"/>
      <c r="BO16" s="309"/>
      <c r="BP16" s="310"/>
      <c r="BQ16" s="309"/>
      <c r="BR16" s="309"/>
      <c r="BS16" s="309"/>
      <c r="BT16" s="309"/>
      <c r="BU16" s="309"/>
      <c r="BV16" s="309"/>
      <c r="BW16" s="309"/>
      <c r="BX16" s="309"/>
      <c r="BY16" s="309"/>
      <c r="BZ16" s="309"/>
      <c r="CA16" s="309"/>
      <c r="CB16" s="309"/>
      <c r="CC16" s="310"/>
      <c r="CD16" s="309"/>
      <c r="CE16" s="309"/>
      <c r="CF16" s="309"/>
      <c r="CG16" s="309"/>
      <c r="CH16" s="309"/>
      <c r="CI16" s="309"/>
      <c r="CJ16" s="309"/>
      <c r="CK16" s="309"/>
      <c r="CL16" s="309"/>
      <c r="CM16" s="309"/>
      <c r="CN16" s="309"/>
      <c r="CO16" s="309"/>
      <c r="CP16" s="310"/>
      <c r="CQ16" s="301">
        <f>vacaciones!E14</f>
        <v>0</v>
      </c>
      <c r="CR16" s="310">
        <f t="shared" si="1"/>
        <v>0</v>
      </c>
      <c r="CS16" s="795">
        <f t="shared" si="2"/>
        <v>0</v>
      </c>
    </row>
    <row r="17" spans="1:97" ht="20.25" customHeight="1" x14ac:dyDescent="0.3">
      <c r="A17" s="297">
        <f>+A16+1</f>
        <v>12</v>
      </c>
      <c r="B17" s="312" t="s">
        <v>74</v>
      </c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0">
        <f t="shared" si="0"/>
        <v>0</v>
      </c>
      <c r="Q17" s="311"/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0">
        <f>SUM(Q17:AB17)</f>
        <v>0</v>
      </c>
      <c r="AD17" s="311"/>
      <c r="AE17" s="311"/>
      <c r="AF17" s="311"/>
      <c r="AG17" s="311"/>
      <c r="AH17" s="311"/>
      <c r="AI17" s="311"/>
      <c r="AJ17" s="311"/>
      <c r="AK17" s="311"/>
      <c r="AL17" s="311"/>
      <c r="AM17" s="311"/>
      <c r="AN17" s="311"/>
      <c r="AO17" s="311"/>
      <c r="AP17" s="310">
        <f t="shared" ref="AP17:AP23" si="9">SUM(AD17:AO17)</f>
        <v>0</v>
      </c>
      <c r="AQ17" s="311"/>
      <c r="AR17" s="311"/>
      <c r="AS17" s="311"/>
      <c r="AT17" s="311"/>
      <c r="AU17" s="311"/>
      <c r="AV17" s="311"/>
      <c r="AW17" s="311"/>
      <c r="AX17" s="311"/>
      <c r="AY17" s="311"/>
      <c r="AZ17" s="311"/>
      <c r="BA17" s="311"/>
      <c r="BB17" s="311"/>
      <c r="BC17" s="310">
        <f>SUM(AQ17:BB17)</f>
        <v>0</v>
      </c>
      <c r="BD17" s="311"/>
      <c r="BE17" s="311"/>
      <c r="BF17" s="311"/>
      <c r="BG17" s="311"/>
      <c r="BH17" s="311"/>
      <c r="BI17" s="311"/>
      <c r="BJ17" s="311"/>
      <c r="BK17" s="311"/>
      <c r="BL17" s="311"/>
      <c r="BM17" s="311"/>
      <c r="BN17" s="311"/>
      <c r="BO17" s="311"/>
      <c r="BP17" s="310">
        <f>SUM(BD17:BO17)</f>
        <v>0</v>
      </c>
      <c r="BQ17" s="309"/>
      <c r="BR17" s="311"/>
      <c r="BS17" s="309"/>
      <c r="BT17" s="309"/>
      <c r="BU17" s="309"/>
      <c r="BV17" s="309"/>
      <c r="BW17" s="309"/>
      <c r="BX17" s="309"/>
      <c r="BY17" s="309"/>
      <c r="BZ17" s="311"/>
      <c r="CA17" s="309"/>
      <c r="CB17" s="309"/>
      <c r="CC17" s="310">
        <f>SUM(BQ17:CB17)</f>
        <v>0</v>
      </c>
      <c r="CD17" s="309"/>
      <c r="CE17" s="311"/>
      <c r="CF17" s="311"/>
      <c r="CG17" s="311"/>
      <c r="CH17" s="311"/>
      <c r="CI17" s="311"/>
      <c r="CJ17" s="311"/>
      <c r="CK17" s="311"/>
      <c r="CL17" s="311"/>
      <c r="CM17" s="311"/>
      <c r="CN17" s="311"/>
      <c r="CO17" s="311"/>
      <c r="CP17" s="310">
        <f>SUM(CD17:CO17)</f>
        <v>0</v>
      </c>
      <c r="CQ17" s="310">
        <f>vacaciones!E15</f>
        <v>0</v>
      </c>
      <c r="CR17" s="310">
        <f t="shared" si="1"/>
        <v>0</v>
      </c>
      <c r="CS17" s="795">
        <f t="shared" si="2"/>
        <v>0</v>
      </c>
    </row>
    <row r="18" spans="1:97" ht="20.25" customHeight="1" x14ac:dyDescent="0.3">
      <c r="A18" s="297">
        <v>13</v>
      </c>
      <c r="B18" s="312" t="s">
        <v>22</v>
      </c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0">
        <f t="shared" si="0"/>
        <v>0</v>
      </c>
      <c r="Q18" s="311">
        <v>10</v>
      </c>
      <c r="R18" s="311"/>
      <c r="S18" s="311"/>
      <c r="T18" s="311"/>
      <c r="U18" s="311"/>
      <c r="V18" s="311"/>
      <c r="W18" s="311"/>
      <c r="X18" s="311">
        <v>16</v>
      </c>
      <c r="Y18" s="311">
        <v>30</v>
      </c>
      <c r="Z18" s="311">
        <v>30</v>
      </c>
      <c r="AA18" s="311"/>
      <c r="AB18" s="311"/>
      <c r="AC18" s="310">
        <f>SUM(Q18:AB18)</f>
        <v>86</v>
      </c>
      <c r="AD18" s="311"/>
      <c r="AE18" s="311"/>
      <c r="AF18" s="311"/>
      <c r="AG18" s="311"/>
      <c r="AH18" s="311"/>
      <c r="AI18" s="311"/>
      <c r="AJ18" s="311"/>
      <c r="AK18" s="311">
        <v>3</v>
      </c>
      <c r="AL18" s="311"/>
      <c r="AM18" s="311">
        <v>23</v>
      </c>
      <c r="AN18" s="311"/>
      <c r="AO18" s="311">
        <v>1</v>
      </c>
      <c r="AP18" s="310">
        <f t="shared" si="9"/>
        <v>27</v>
      </c>
      <c r="AQ18" s="311">
        <v>1</v>
      </c>
      <c r="AR18" s="311"/>
      <c r="AS18" s="311"/>
      <c r="AT18" s="311"/>
      <c r="AU18" s="311"/>
      <c r="AV18" s="311"/>
      <c r="AW18" s="311"/>
      <c r="AX18" s="311"/>
      <c r="AY18" s="311"/>
      <c r="AZ18" s="311"/>
      <c r="BA18" s="311">
        <v>1</v>
      </c>
      <c r="BB18" s="311"/>
      <c r="BC18" s="310">
        <f>SUM(AQ18:BB18)</f>
        <v>2</v>
      </c>
      <c r="BD18" s="311"/>
      <c r="BE18" s="311"/>
      <c r="BF18" s="311">
        <v>7</v>
      </c>
      <c r="BG18" s="311"/>
      <c r="BH18" s="311"/>
      <c r="BI18" s="311"/>
      <c r="BJ18" s="311"/>
      <c r="BK18" s="311"/>
      <c r="BL18" s="311"/>
      <c r="BM18" s="311"/>
      <c r="BN18" s="311"/>
      <c r="BO18" s="311">
        <v>4</v>
      </c>
      <c r="BP18" s="310">
        <f>SUM(BD18:BO18)</f>
        <v>11</v>
      </c>
      <c r="BQ18" s="311">
        <v>54</v>
      </c>
      <c r="BR18" s="311"/>
      <c r="BS18" s="311"/>
      <c r="BT18" s="311"/>
      <c r="BU18" s="311"/>
      <c r="BV18" s="311"/>
      <c r="BW18" s="311"/>
      <c r="BX18" s="311"/>
      <c r="BY18" s="311"/>
      <c r="BZ18" s="311"/>
      <c r="CA18" s="311"/>
      <c r="CB18" s="311"/>
      <c r="CC18" s="310">
        <f>SUM(BQ18:CB18)</f>
        <v>54</v>
      </c>
      <c r="CD18" s="311"/>
      <c r="CE18" s="311"/>
      <c r="CF18" s="311"/>
      <c r="CG18" s="311"/>
      <c r="CH18" s="311"/>
      <c r="CI18" s="311"/>
      <c r="CJ18" s="311">
        <v>9</v>
      </c>
      <c r="CK18" s="311"/>
      <c r="CL18" s="311"/>
      <c r="CM18" s="311"/>
      <c r="CN18" s="311">
        <v>11</v>
      </c>
      <c r="CO18" s="311"/>
      <c r="CP18" s="310">
        <f>SUM(CD18:CO18)</f>
        <v>20</v>
      </c>
      <c r="CQ18" s="310">
        <f>vacaciones!E16</f>
        <v>240</v>
      </c>
      <c r="CR18" s="310">
        <f t="shared" si="1"/>
        <v>200</v>
      </c>
      <c r="CS18" s="795">
        <f t="shared" si="2"/>
        <v>40</v>
      </c>
    </row>
    <row r="19" spans="1:97" ht="20.25" customHeight="1" x14ac:dyDescent="0.3">
      <c r="A19" s="297">
        <f>+A18+1</f>
        <v>14</v>
      </c>
      <c r="B19" s="312" t="s">
        <v>21</v>
      </c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0">
        <f t="shared" si="0"/>
        <v>0</v>
      </c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1"/>
      <c r="AC19" s="310">
        <f>SUM(Q19:AB19)</f>
        <v>0</v>
      </c>
      <c r="AD19" s="311"/>
      <c r="AE19" s="311"/>
      <c r="AF19" s="311"/>
      <c r="AG19" s="311"/>
      <c r="AH19" s="311"/>
      <c r="AI19" s="311"/>
      <c r="AJ19" s="311"/>
      <c r="AK19" s="311"/>
      <c r="AL19" s="311"/>
      <c r="AM19" s="311"/>
      <c r="AN19" s="311"/>
      <c r="AO19" s="311"/>
      <c r="AP19" s="310">
        <f t="shared" si="9"/>
        <v>0</v>
      </c>
      <c r="AQ19" s="311"/>
      <c r="AR19" s="311"/>
      <c r="AS19" s="311"/>
      <c r="AT19" s="311"/>
      <c r="AU19" s="311"/>
      <c r="AV19" s="311"/>
      <c r="AW19" s="311"/>
      <c r="AX19" s="311"/>
      <c r="AY19" s="311"/>
      <c r="AZ19" s="311"/>
      <c r="BA19" s="311"/>
      <c r="BB19" s="311"/>
      <c r="BC19" s="310">
        <f>SUM(AQ19:BB19)</f>
        <v>0</v>
      </c>
      <c r="BD19" s="311"/>
      <c r="BE19" s="311"/>
      <c r="BF19" s="311"/>
      <c r="BG19" s="311"/>
      <c r="BH19" s="311"/>
      <c r="BI19" s="311"/>
      <c r="BJ19" s="311"/>
      <c r="BK19" s="311"/>
      <c r="BL19" s="311"/>
      <c r="BM19" s="311"/>
      <c r="BN19" s="311"/>
      <c r="BO19" s="311"/>
      <c r="BP19" s="310">
        <f>SUM(BD19:BO19)</f>
        <v>0</v>
      </c>
      <c r="BQ19" s="309"/>
      <c r="BR19" s="311"/>
      <c r="BS19" s="309"/>
      <c r="BT19" s="309"/>
      <c r="BU19" s="309"/>
      <c r="BV19" s="309"/>
      <c r="BW19" s="309"/>
      <c r="BX19" s="309"/>
      <c r="BY19" s="309"/>
      <c r="BZ19" s="311"/>
      <c r="CA19" s="309"/>
      <c r="CB19" s="309"/>
      <c r="CC19" s="310">
        <f>SUM(BQ19:CB19)</f>
        <v>0</v>
      </c>
      <c r="CD19" s="311"/>
      <c r="CE19" s="311"/>
      <c r="CF19" s="311"/>
      <c r="CG19" s="311"/>
      <c r="CH19" s="311"/>
      <c r="CI19" s="311"/>
      <c r="CJ19" s="311"/>
      <c r="CK19" s="311"/>
      <c r="CL19" s="311"/>
      <c r="CM19" s="311"/>
      <c r="CN19" s="311"/>
      <c r="CO19" s="311"/>
      <c r="CP19" s="310">
        <f>SUM(CD19:CO19)</f>
        <v>0</v>
      </c>
      <c r="CQ19" s="310">
        <f>vacaciones!E17</f>
        <v>0</v>
      </c>
      <c r="CR19" s="310">
        <f t="shared" si="1"/>
        <v>0</v>
      </c>
      <c r="CS19" s="795">
        <f t="shared" si="2"/>
        <v>0</v>
      </c>
    </row>
    <row r="20" spans="1:97" s="254" customFormat="1" ht="20.25" customHeight="1" x14ac:dyDescent="0.3">
      <c r="A20" s="297">
        <f>+A19+1</f>
        <v>15</v>
      </c>
      <c r="B20" s="312" t="s">
        <v>126</v>
      </c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0">
        <f t="shared" si="0"/>
        <v>0</v>
      </c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0">
        <f>SUM(Q20:AB20)</f>
        <v>0</v>
      </c>
      <c r="AD20" s="311"/>
      <c r="AE20" s="311"/>
      <c r="AF20" s="311"/>
      <c r="AG20" s="311"/>
      <c r="AH20" s="311"/>
      <c r="AI20" s="311"/>
      <c r="AJ20" s="311"/>
      <c r="AK20" s="311"/>
      <c r="AL20" s="311"/>
      <c r="AM20" s="311"/>
      <c r="AN20" s="311"/>
      <c r="AO20" s="311"/>
      <c r="AP20" s="310">
        <f t="shared" si="9"/>
        <v>0</v>
      </c>
      <c r="AQ20" s="311"/>
      <c r="AR20" s="311"/>
      <c r="AS20" s="311"/>
      <c r="AT20" s="311"/>
      <c r="AU20" s="311"/>
      <c r="AV20" s="311"/>
      <c r="AW20" s="311"/>
      <c r="AX20" s="311"/>
      <c r="AY20" s="311"/>
      <c r="AZ20" s="311"/>
      <c r="BA20" s="311"/>
      <c r="BB20" s="311"/>
      <c r="BC20" s="310">
        <f>SUM(AQ20:BB20)</f>
        <v>0</v>
      </c>
      <c r="BD20" s="311"/>
      <c r="BE20" s="311"/>
      <c r="BF20" s="311"/>
      <c r="BG20" s="311"/>
      <c r="BH20" s="311"/>
      <c r="BI20" s="311"/>
      <c r="BJ20" s="311"/>
      <c r="BK20" s="311"/>
      <c r="BL20" s="311"/>
      <c r="BM20" s="311"/>
      <c r="BN20" s="311"/>
      <c r="BO20" s="311"/>
      <c r="BP20" s="310">
        <f>SUM(BD20:BO20)</f>
        <v>0</v>
      </c>
      <c r="BQ20" s="311"/>
      <c r="BR20" s="311"/>
      <c r="BS20" s="311"/>
      <c r="BT20" s="311"/>
      <c r="BU20" s="311"/>
      <c r="BV20" s="311"/>
      <c r="BW20" s="311"/>
      <c r="BX20" s="311"/>
      <c r="BY20" s="311"/>
      <c r="BZ20" s="311"/>
      <c r="CA20" s="311"/>
      <c r="CB20" s="311"/>
      <c r="CC20" s="310">
        <f>SUM(BQ20:CB20)</f>
        <v>0</v>
      </c>
      <c r="CD20" s="311"/>
      <c r="CE20" s="311"/>
      <c r="CF20" s="311"/>
      <c r="CG20" s="311"/>
      <c r="CH20" s="311">
        <v>3</v>
      </c>
      <c r="CI20" s="311"/>
      <c r="CJ20" s="311"/>
      <c r="CK20" s="311"/>
      <c r="CL20" s="311"/>
      <c r="CM20" s="311"/>
      <c r="CN20" s="311"/>
      <c r="CO20" s="311">
        <v>4</v>
      </c>
      <c r="CP20" s="310">
        <f>SUM(CD20:CO20)</f>
        <v>7</v>
      </c>
      <c r="CQ20" s="310">
        <f>vacaciones!E18</f>
        <v>30</v>
      </c>
      <c r="CR20" s="310">
        <f t="shared" si="1"/>
        <v>7</v>
      </c>
      <c r="CS20" s="795">
        <f t="shared" si="2"/>
        <v>23</v>
      </c>
    </row>
    <row r="21" spans="1:97" ht="20.25" customHeight="1" x14ac:dyDescent="0.3">
      <c r="A21" s="297">
        <v>16</v>
      </c>
      <c r="B21" s="312" t="s">
        <v>156</v>
      </c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0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0"/>
      <c r="AD21" s="311"/>
      <c r="AE21" s="311"/>
      <c r="AF21" s="311"/>
      <c r="AG21" s="311"/>
      <c r="AH21" s="311"/>
      <c r="AI21" s="311"/>
      <c r="AJ21" s="311"/>
      <c r="AK21" s="311"/>
      <c r="AL21" s="311"/>
      <c r="AM21" s="311"/>
      <c r="AN21" s="311"/>
      <c r="AO21" s="311"/>
      <c r="AP21" s="310"/>
      <c r="AQ21" s="311"/>
      <c r="AR21" s="311"/>
      <c r="AS21" s="311"/>
      <c r="AT21" s="311"/>
      <c r="AU21" s="311"/>
      <c r="AV21" s="311"/>
      <c r="AW21" s="311"/>
      <c r="AX21" s="311"/>
      <c r="AY21" s="311"/>
      <c r="AZ21" s="311"/>
      <c r="BA21" s="311"/>
      <c r="BB21" s="311"/>
      <c r="BC21" s="310"/>
      <c r="BD21" s="311"/>
      <c r="BE21" s="311"/>
      <c r="BF21" s="311"/>
      <c r="BG21" s="311"/>
      <c r="BH21" s="311"/>
      <c r="BI21" s="311"/>
      <c r="BJ21" s="311"/>
      <c r="BK21" s="311"/>
      <c r="BL21" s="311"/>
      <c r="BM21" s="311"/>
      <c r="BN21" s="311"/>
      <c r="BO21" s="311"/>
      <c r="BP21" s="310"/>
      <c r="BQ21" s="311"/>
      <c r="BR21" s="311"/>
      <c r="BS21" s="311"/>
      <c r="BT21" s="311"/>
      <c r="BU21" s="311"/>
      <c r="BV21" s="311"/>
      <c r="BW21" s="311"/>
      <c r="BX21" s="311"/>
      <c r="BY21" s="311"/>
      <c r="BZ21" s="311"/>
      <c r="CA21" s="311"/>
      <c r="CB21" s="311"/>
      <c r="CC21" s="310"/>
      <c r="CD21" s="311"/>
      <c r="CE21" s="311"/>
      <c r="CF21" s="311"/>
      <c r="CG21" s="311"/>
      <c r="CH21" s="311"/>
      <c r="CI21" s="311"/>
      <c r="CJ21" s="311"/>
      <c r="CK21" s="311"/>
      <c r="CL21" s="311"/>
      <c r="CM21" s="311"/>
      <c r="CN21" s="311"/>
      <c r="CO21" s="311"/>
      <c r="CP21" s="310"/>
      <c r="CQ21" s="310"/>
      <c r="CR21" s="310">
        <f t="shared" si="1"/>
        <v>0</v>
      </c>
      <c r="CS21" s="795">
        <f t="shared" si="2"/>
        <v>0</v>
      </c>
    </row>
    <row r="22" spans="1:97" ht="20.25" customHeight="1" x14ac:dyDescent="0.3">
      <c r="A22" s="297">
        <f>+A21+1</f>
        <v>17</v>
      </c>
      <c r="B22" s="312" t="s">
        <v>149</v>
      </c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0">
        <f t="shared" si="0"/>
        <v>0</v>
      </c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1"/>
      <c r="AC22" s="310">
        <f t="shared" ref="AC22:AC27" si="10">SUM(Q22:AB22)</f>
        <v>0</v>
      </c>
      <c r="AD22" s="311"/>
      <c r="AE22" s="311"/>
      <c r="AF22" s="311"/>
      <c r="AG22" s="311"/>
      <c r="AH22" s="311"/>
      <c r="AI22" s="311"/>
      <c r="AJ22" s="311"/>
      <c r="AK22" s="311"/>
      <c r="AL22" s="311"/>
      <c r="AM22" s="311"/>
      <c r="AN22" s="311"/>
      <c r="AO22" s="311"/>
      <c r="AP22" s="310">
        <f t="shared" si="9"/>
        <v>0</v>
      </c>
      <c r="AQ22" s="311"/>
      <c r="AR22" s="311"/>
      <c r="AS22" s="311"/>
      <c r="AT22" s="311"/>
      <c r="AU22" s="311"/>
      <c r="AV22" s="311"/>
      <c r="AW22" s="311"/>
      <c r="AX22" s="311"/>
      <c r="AY22" s="311"/>
      <c r="AZ22" s="311"/>
      <c r="BA22" s="311"/>
      <c r="BB22" s="311"/>
      <c r="BC22" s="310">
        <f t="shared" ref="BC22:BC27" si="11">SUM(AQ22:BB22)</f>
        <v>0</v>
      </c>
      <c r="BD22" s="311"/>
      <c r="BE22" s="311"/>
      <c r="BF22" s="311"/>
      <c r="BG22" s="311"/>
      <c r="BH22" s="311"/>
      <c r="BI22" s="311"/>
      <c r="BJ22" s="311"/>
      <c r="BK22" s="311"/>
      <c r="BL22" s="311"/>
      <c r="BM22" s="311"/>
      <c r="BN22" s="311"/>
      <c r="BO22" s="311"/>
      <c r="BP22" s="310">
        <f t="shared" ref="BP22:BP27" si="12">SUM(BD22:BO22)</f>
        <v>0</v>
      </c>
      <c r="BQ22" s="311"/>
      <c r="BR22" s="311"/>
      <c r="BS22" s="311"/>
      <c r="BT22" s="311"/>
      <c r="BU22" s="311"/>
      <c r="BV22" s="311"/>
      <c r="BW22" s="311"/>
      <c r="BX22" s="311"/>
      <c r="BY22" s="311"/>
      <c r="BZ22" s="311"/>
      <c r="CA22" s="311"/>
      <c r="CB22" s="311"/>
      <c r="CC22" s="310">
        <f t="shared" ref="CC22:CC27" si="13">SUM(BQ22:CB22)</f>
        <v>0</v>
      </c>
      <c r="CD22" s="311"/>
      <c r="CE22" s="311"/>
      <c r="CF22" s="311"/>
      <c r="CG22" s="311"/>
      <c r="CH22" s="311"/>
      <c r="CI22" s="311"/>
      <c r="CJ22" s="311"/>
      <c r="CK22" s="311"/>
      <c r="CL22" s="311"/>
      <c r="CM22" s="311"/>
      <c r="CN22" s="311"/>
      <c r="CO22" s="311"/>
      <c r="CP22" s="310">
        <f t="shared" ref="CP22:CP27" si="14">SUM(CD22:CO22)</f>
        <v>0</v>
      </c>
      <c r="CQ22" s="310">
        <f>vacaciones!E19</f>
        <v>0</v>
      </c>
      <c r="CR22" s="310">
        <f t="shared" si="1"/>
        <v>0</v>
      </c>
      <c r="CS22" s="795">
        <f t="shared" si="2"/>
        <v>0</v>
      </c>
    </row>
    <row r="23" spans="1:97" ht="20.25" customHeight="1" x14ac:dyDescent="0.3">
      <c r="A23" s="297">
        <f>+A22+1</f>
        <v>18</v>
      </c>
      <c r="B23" s="312" t="s">
        <v>51</v>
      </c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0">
        <f t="shared" si="0"/>
        <v>0</v>
      </c>
      <c r="Q23" s="311"/>
      <c r="R23" s="311"/>
      <c r="S23" s="311"/>
      <c r="T23" s="311"/>
      <c r="U23" s="311"/>
      <c r="V23" s="311"/>
      <c r="W23" s="311">
        <v>1</v>
      </c>
      <c r="X23" s="311"/>
      <c r="Y23" s="311"/>
      <c r="Z23" s="311"/>
      <c r="AA23" s="311"/>
      <c r="AB23" s="311"/>
      <c r="AC23" s="310">
        <f t="shared" si="10"/>
        <v>1</v>
      </c>
      <c r="AD23" s="311"/>
      <c r="AE23" s="311">
        <v>30</v>
      </c>
      <c r="AF23" s="311">
        <v>30</v>
      </c>
      <c r="AG23" s="311"/>
      <c r="AH23" s="311"/>
      <c r="AI23" s="311"/>
      <c r="AJ23" s="311">
        <v>1</v>
      </c>
      <c r="AK23" s="311"/>
      <c r="AL23" s="311"/>
      <c r="AM23" s="311"/>
      <c r="AN23" s="311"/>
      <c r="AO23" s="311"/>
      <c r="AP23" s="310">
        <f t="shared" si="9"/>
        <v>61</v>
      </c>
      <c r="AQ23" s="311"/>
      <c r="AR23" s="311">
        <v>7</v>
      </c>
      <c r="AS23" s="311"/>
      <c r="AT23" s="311"/>
      <c r="AU23" s="311"/>
      <c r="AV23" s="311"/>
      <c r="AW23" s="311">
        <v>3</v>
      </c>
      <c r="AX23" s="311"/>
      <c r="AY23" s="311"/>
      <c r="AZ23" s="311"/>
      <c r="BA23" s="311">
        <v>1</v>
      </c>
      <c r="BB23" s="311"/>
      <c r="BC23" s="310">
        <f t="shared" si="11"/>
        <v>11</v>
      </c>
      <c r="BD23" s="311"/>
      <c r="BE23" s="311"/>
      <c r="BF23" s="311"/>
      <c r="BG23" s="311"/>
      <c r="BH23" s="311">
        <v>1</v>
      </c>
      <c r="BI23" s="311"/>
      <c r="BJ23" s="311">
        <v>1</v>
      </c>
      <c r="BK23" s="311"/>
      <c r="BL23" s="311"/>
      <c r="BM23" s="311"/>
      <c r="BN23" s="311"/>
      <c r="BO23" s="311">
        <v>1</v>
      </c>
      <c r="BP23" s="310">
        <f t="shared" si="12"/>
        <v>3</v>
      </c>
      <c r="BQ23" s="311"/>
      <c r="BR23" s="311">
        <v>1</v>
      </c>
      <c r="BS23" s="311">
        <v>7</v>
      </c>
      <c r="BT23" s="311"/>
      <c r="BU23" s="311"/>
      <c r="BV23" s="311"/>
      <c r="BW23" s="311">
        <v>7</v>
      </c>
      <c r="BX23" s="311"/>
      <c r="BY23" s="311"/>
      <c r="BZ23" s="311">
        <v>8</v>
      </c>
      <c r="CA23" s="311"/>
      <c r="CB23" s="311"/>
      <c r="CC23" s="310">
        <f t="shared" si="13"/>
        <v>23</v>
      </c>
      <c r="CD23" s="311"/>
      <c r="CE23" s="311"/>
      <c r="CF23" s="311">
        <v>1</v>
      </c>
      <c r="CG23" s="311"/>
      <c r="CH23" s="311"/>
      <c r="CI23" s="311">
        <v>7</v>
      </c>
      <c r="CJ23" s="311">
        <v>2</v>
      </c>
      <c r="CK23" s="311"/>
      <c r="CL23" s="311"/>
      <c r="CM23" s="311"/>
      <c r="CN23" s="311"/>
      <c r="CO23" s="311"/>
      <c r="CP23" s="310">
        <f t="shared" si="14"/>
        <v>10</v>
      </c>
      <c r="CQ23" s="310">
        <f>vacaciones!E20</f>
        <v>150</v>
      </c>
      <c r="CR23" s="310">
        <f t="shared" si="1"/>
        <v>109</v>
      </c>
      <c r="CS23" s="795">
        <f t="shared" si="2"/>
        <v>41</v>
      </c>
    </row>
    <row r="24" spans="1:97" ht="20.25" customHeight="1" x14ac:dyDescent="0.3">
      <c r="A24" s="297">
        <v>19</v>
      </c>
      <c r="B24" s="312" t="s">
        <v>150</v>
      </c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0">
        <f t="shared" si="0"/>
        <v>0</v>
      </c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0">
        <f t="shared" si="10"/>
        <v>0</v>
      </c>
      <c r="AD24" s="311"/>
      <c r="AE24" s="311"/>
      <c r="AF24" s="311"/>
      <c r="AG24" s="311"/>
      <c r="AH24" s="311"/>
      <c r="AI24" s="311"/>
      <c r="AJ24" s="311"/>
      <c r="AK24" s="311"/>
      <c r="AL24" s="311"/>
      <c r="AM24" s="311"/>
      <c r="AN24" s="311"/>
      <c r="AO24" s="311"/>
      <c r="AP24" s="310">
        <f>SUM(AD24:AO24)</f>
        <v>0</v>
      </c>
      <c r="AQ24" s="311"/>
      <c r="AR24" s="311"/>
      <c r="AS24" s="311"/>
      <c r="AT24" s="311"/>
      <c r="AU24" s="311"/>
      <c r="AV24" s="311"/>
      <c r="AW24" s="311"/>
      <c r="AX24" s="311"/>
      <c r="AY24" s="311"/>
      <c r="AZ24" s="311"/>
      <c r="BA24" s="311"/>
      <c r="BB24" s="311"/>
      <c r="BC24" s="310">
        <f t="shared" si="11"/>
        <v>0</v>
      </c>
      <c r="BD24" s="311"/>
      <c r="BE24" s="311"/>
      <c r="BF24" s="311"/>
      <c r="BG24" s="311"/>
      <c r="BH24" s="311"/>
      <c r="BI24" s="311"/>
      <c r="BJ24" s="311"/>
      <c r="BK24" s="311"/>
      <c r="BL24" s="311"/>
      <c r="BM24" s="311"/>
      <c r="BN24" s="311"/>
      <c r="BO24" s="311"/>
      <c r="BP24" s="310">
        <f t="shared" si="12"/>
        <v>0</v>
      </c>
      <c r="BQ24" s="311"/>
      <c r="BR24" s="311"/>
      <c r="BS24" s="311"/>
      <c r="BT24" s="311"/>
      <c r="BU24" s="311"/>
      <c r="BV24" s="311"/>
      <c r="BW24" s="311"/>
      <c r="BX24" s="311"/>
      <c r="BY24" s="311"/>
      <c r="BZ24" s="311"/>
      <c r="CA24" s="311"/>
      <c r="CB24" s="311"/>
      <c r="CC24" s="310">
        <f t="shared" si="13"/>
        <v>0</v>
      </c>
      <c r="CD24" s="311"/>
      <c r="CE24" s="311"/>
      <c r="CF24" s="311"/>
      <c r="CG24" s="311"/>
      <c r="CH24" s="311"/>
      <c r="CI24" s="311"/>
      <c r="CJ24" s="311"/>
      <c r="CK24" s="311"/>
      <c r="CL24" s="311"/>
      <c r="CM24" s="311"/>
      <c r="CN24" s="311"/>
      <c r="CO24" s="311"/>
      <c r="CP24" s="310">
        <f t="shared" si="14"/>
        <v>0</v>
      </c>
      <c r="CQ24" s="310">
        <f>vacaciones!E21</f>
        <v>0</v>
      </c>
      <c r="CR24" s="310">
        <f t="shared" si="1"/>
        <v>0</v>
      </c>
      <c r="CS24" s="795">
        <f t="shared" si="2"/>
        <v>0</v>
      </c>
    </row>
    <row r="25" spans="1:97" ht="20.25" customHeight="1" x14ac:dyDescent="0.3">
      <c r="A25" s="297">
        <f>+A24+1</f>
        <v>20</v>
      </c>
      <c r="B25" s="307" t="s">
        <v>58</v>
      </c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0">
        <f t="shared" si="0"/>
        <v>0</v>
      </c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0">
        <f t="shared" si="10"/>
        <v>0</v>
      </c>
      <c r="AD25" s="311"/>
      <c r="AE25" s="311">
        <v>7</v>
      </c>
      <c r="AF25" s="311"/>
      <c r="AG25" s="311"/>
      <c r="AH25" s="311">
        <v>2</v>
      </c>
      <c r="AI25" s="311"/>
      <c r="AJ25" s="311"/>
      <c r="AK25" s="311"/>
      <c r="AL25" s="311"/>
      <c r="AM25" s="311"/>
      <c r="AN25" s="311"/>
      <c r="AO25" s="311"/>
      <c r="AP25" s="310">
        <f>SUM(AD25:AO25)</f>
        <v>9</v>
      </c>
      <c r="AQ25" s="311">
        <v>20</v>
      </c>
      <c r="AR25" s="311"/>
      <c r="AS25" s="311"/>
      <c r="AT25" s="311"/>
      <c r="AU25" s="311"/>
      <c r="AV25" s="311"/>
      <c r="AW25" s="311"/>
      <c r="AX25" s="311"/>
      <c r="AY25" s="311"/>
      <c r="AZ25" s="311"/>
      <c r="BA25" s="311">
        <v>1</v>
      </c>
      <c r="BB25" s="311"/>
      <c r="BC25" s="310">
        <f t="shared" si="11"/>
        <v>21</v>
      </c>
      <c r="BD25" s="311"/>
      <c r="BE25" s="311"/>
      <c r="BF25" s="311"/>
      <c r="BG25" s="311"/>
      <c r="BH25" s="311">
        <v>7</v>
      </c>
      <c r="BI25" s="311"/>
      <c r="BJ25" s="311">
        <v>20</v>
      </c>
      <c r="BK25" s="311"/>
      <c r="BL25" s="311"/>
      <c r="BM25" s="311"/>
      <c r="BN25" s="311"/>
      <c r="BO25" s="311"/>
      <c r="BP25" s="310">
        <f t="shared" si="12"/>
        <v>27</v>
      </c>
      <c r="BQ25" s="311"/>
      <c r="BR25" s="311"/>
      <c r="BS25" s="311"/>
      <c r="BT25" s="311"/>
      <c r="BU25" s="311"/>
      <c r="BV25" s="311"/>
      <c r="BW25" s="311"/>
      <c r="BX25" s="311"/>
      <c r="BY25" s="311"/>
      <c r="BZ25" s="311"/>
      <c r="CA25" s="311"/>
      <c r="CB25" s="311"/>
      <c r="CC25" s="310">
        <f t="shared" si="13"/>
        <v>0</v>
      </c>
      <c r="CD25" s="309"/>
      <c r="CE25" s="309"/>
      <c r="CF25" s="309"/>
      <c r="CG25" s="309"/>
      <c r="CH25" s="309"/>
      <c r="CI25" s="309"/>
      <c r="CJ25" s="309"/>
      <c r="CK25" s="309"/>
      <c r="CL25" s="309"/>
      <c r="CM25" s="309"/>
      <c r="CN25" s="309"/>
      <c r="CO25" s="309"/>
      <c r="CP25" s="310">
        <f t="shared" si="14"/>
        <v>0</v>
      </c>
      <c r="CQ25" s="310">
        <f>vacaciones!E22</f>
        <v>240</v>
      </c>
      <c r="CR25" s="310">
        <f t="shared" si="1"/>
        <v>57</v>
      </c>
      <c r="CS25" s="795">
        <f t="shared" si="2"/>
        <v>183</v>
      </c>
    </row>
    <row r="26" spans="1:97" ht="20.25" customHeight="1" x14ac:dyDescent="0.3">
      <c r="A26" s="297">
        <f>+A25+1</f>
        <v>21</v>
      </c>
      <c r="B26" s="307" t="s">
        <v>52</v>
      </c>
      <c r="C26" s="311">
        <v>15</v>
      </c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0">
        <f t="shared" si="0"/>
        <v>0</v>
      </c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0">
        <f t="shared" si="10"/>
        <v>0</v>
      </c>
      <c r="AD26" s="311"/>
      <c r="AE26" s="311">
        <v>8</v>
      </c>
      <c r="AF26" s="311"/>
      <c r="AG26" s="311"/>
      <c r="AH26" s="311"/>
      <c r="AI26" s="311"/>
      <c r="AJ26" s="311">
        <v>8</v>
      </c>
      <c r="AK26" s="311"/>
      <c r="AL26" s="311"/>
      <c r="AM26" s="311"/>
      <c r="AN26" s="311"/>
      <c r="AO26" s="311"/>
      <c r="AP26" s="310">
        <f>SUM(AD26:AO26)</f>
        <v>16</v>
      </c>
      <c r="AQ26" s="311"/>
      <c r="AR26" s="311"/>
      <c r="AS26" s="311"/>
      <c r="AT26" s="311"/>
      <c r="AU26" s="311"/>
      <c r="AV26" s="311"/>
      <c r="AW26" s="311"/>
      <c r="AX26" s="311"/>
      <c r="AY26" s="311"/>
      <c r="AZ26" s="311"/>
      <c r="BA26" s="311">
        <v>1</v>
      </c>
      <c r="BB26" s="311"/>
      <c r="BC26" s="310">
        <f t="shared" si="11"/>
        <v>1</v>
      </c>
      <c r="BD26" s="311"/>
      <c r="BE26" s="311"/>
      <c r="BF26" s="311"/>
      <c r="BG26" s="311"/>
      <c r="BH26" s="311"/>
      <c r="BI26" s="311"/>
      <c r="BJ26" s="311">
        <v>10</v>
      </c>
      <c r="BK26" s="311"/>
      <c r="BL26" s="311"/>
      <c r="BM26" s="311"/>
      <c r="BN26" s="311"/>
      <c r="BO26" s="311"/>
      <c r="BP26" s="310">
        <f t="shared" si="12"/>
        <v>10</v>
      </c>
      <c r="BQ26" s="309"/>
      <c r="BR26" s="311">
        <v>5</v>
      </c>
      <c r="BS26" s="309"/>
      <c r="BT26" s="309"/>
      <c r="BU26" s="309"/>
      <c r="BV26" s="309"/>
      <c r="BW26" s="309"/>
      <c r="BX26" s="309"/>
      <c r="BY26" s="309"/>
      <c r="BZ26" s="309"/>
      <c r="CA26" s="309"/>
      <c r="CB26" s="309"/>
      <c r="CC26" s="310">
        <f t="shared" si="13"/>
        <v>5</v>
      </c>
      <c r="CD26" s="311">
        <v>30</v>
      </c>
      <c r="CE26" s="311"/>
      <c r="CF26" s="309"/>
      <c r="CG26" s="309"/>
      <c r="CH26" s="309"/>
      <c r="CI26" s="309"/>
      <c r="CJ26" s="309"/>
      <c r="CK26" s="309"/>
      <c r="CL26" s="309"/>
      <c r="CM26" s="309"/>
      <c r="CN26" s="309"/>
      <c r="CO26" s="309"/>
      <c r="CP26" s="310">
        <f t="shared" si="14"/>
        <v>30</v>
      </c>
      <c r="CQ26" s="310">
        <f>vacaciones!E23</f>
        <v>240</v>
      </c>
      <c r="CR26" s="310">
        <f t="shared" si="1"/>
        <v>77</v>
      </c>
      <c r="CS26" s="795">
        <f t="shared" si="2"/>
        <v>163</v>
      </c>
    </row>
    <row r="27" spans="1:97" ht="20.25" customHeight="1" x14ac:dyDescent="0.3">
      <c r="A27" s="297">
        <v>22</v>
      </c>
      <c r="B27" s="307" t="s">
        <v>53</v>
      </c>
      <c r="C27" s="311">
        <v>15</v>
      </c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0">
        <f t="shared" si="0"/>
        <v>0</v>
      </c>
      <c r="Q27" s="311">
        <v>4</v>
      </c>
      <c r="R27" s="311"/>
      <c r="S27" s="311"/>
      <c r="T27" s="311"/>
      <c r="U27" s="311">
        <v>3</v>
      </c>
      <c r="V27" s="311"/>
      <c r="W27" s="311"/>
      <c r="X27" s="311"/>
      <c r="Y27" s="311"/>
      <c r="Z27" s="311"/>
      <c r="AA27" s="311"/>
      <c r="AB27" s="311"/>
      <c r="AC27" s="310">
        <f t="shared" si="10"/>
        <v>7</v>
      </c>
      <c r="AD27" s="311"/>
      <c r="AE27" s="311">
        <v>7</v>
      </c>
      <c r="AF27" s="311"/>
      <c r="AG27" s="311"/>
      <c r="AH27" s="311"/>
      <c r="AI27" s="311">
        <v>7</v>
      </c>
      <c r="AJ27" s="311"/>
      <c r="AK27" s="311"/>
      <c r="AL27" s="311"/>
      <c r="AM27" s="311"/>
      <c r="AN27" s="311">
        <v>2</v>
      </c>
      <c r="AO27" s="311">
        <v>3</v>
      </c>
      <c r="AP27" s="310">
        <f>SUM(AD27:AO27)</f>
        <v>19</v>
      </c>
      <c r="AQ27" s="311">
        <v>10</v>
      </c>
      <c r="AR27" s="311">
        <v>2</v>
      </c>
      <c r="AS27" s="311"/>
      <c r="AT27" s="311"/>
      <c r="AU27" s="311"/>
      <c r="AV27" s="311"/>
      <c r="AW27" s="311">
        <v>7</v>
      </c>
      <c r="AX27" s="311"/>
      <c r="AY27" s="311"/>
      <c r="AZ27" s="311"/>
      <c r="BA27" s="311"/>
      <c r="BB27" s="311"/>
      <c r="BC27" s="310">
        <f t="shared" si="11"/>
        <v>19</v>
      </c>
      <c r="BD27" s="311"/>
      <c r="BE27" s="311">
        <v>2</v>
      </c>
      <c r="BF27" s="311"/>
      <c r="BG27" s="311"/>
      <c r="BH27" s="311"/>
      <c r="BI27" s="311"/>
      <c r="BJ27" s="311"/>
      <c r="BK27" s="311"/>
      <c r="BL27" s="311"/>
      <c r="BM27" s="311"/>
      <c r="BN27" s="311"/>
      <c r="BO27" s="311"/>
      <c r="BP27" s="310">
        <f t="shared" si="12"/>
        <v>2</v>
      </c>
      <c r="BQ27" s="311"/>
      <c r="BR27" s="311"/>
      <c r="BS27" s="311">
        <v>6</v>
      </c>
      <c r="BT27" s="311">
        <v>8</v>
      </c>
      <c r="BU27" s="311"/>
      <c r="BV27" s="311"/>
      <c r="BW27" s="311"/>
      <c r="BX27" s="311"/>
      <c r="BY27" s="311"/>
      <c r="BZ27" s="311"/>
      <c r="CA27" s="311"/>
      <c r="CB27" s="311"/>
      <c r="CC27" s="310">
        <f t="shared" si="13"/>
        <v>14</v>
      </c>
      <c r="CD27" s="311"/>
      <c r="CE27" s="311"/>
      <c r="CF27" s="311"/>
      <c r="CG27" s="311"/>
      <c r="CH27" s="311"/>
      <c r="CI27" s="311"/>
      <c r="CJ27" s="311"/>
      <c r="CK27" s="311">
        <v>12</v>
      </c>
      <c r="CL27" s="311"/>
      <c r="CM27" s="311"/>
      <c r="CN27" s="311"/>
      <c r="CO27" s="311"/>
      <c r="CP27" s="310">
        <f t="shared" si="14"/>
        <v>12</v>
      </c>
      <c r="CQ27" s="310">
        <f>vacaciones!E24</f>
        <v>240</v>
      </c>
      <c r="CR27" s="310">
        <f t="shared" si="1"/>
        <v>88</v>
      </c>
      <c r="CS27" s="795">
        <f t="shared" si="2"/>
        <v>152</v>
      </c>
    </row>
    <row r="28" spans="1:97" ht="20.25" customHeight="1" x14ac:dyDescent="0.3">
      <c r="A28" s="297">
        <f>+A27+1</f>
        <v>23</v>
      </c>
      <c r="B28" s="307" t="s">
        <v>157</v>
      </c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0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0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  <c r="AN28" s="311"/>
      <c r="AO28" s="311"/>
      <c r="AP28" s="310"/>
      <c r="AQ28" s="311"/>
      <c r="AR28" s="311"/>
      <c r="AS28" s="311"/>
      <c r="AT28" s="311"/>
      <c r="AU28" s="311"/>
      <c r="AV28" s="311"/>
      <c r="AW28" s="311"/>
      <c r="AX28" s="311"/>
      <c r="AY28" s="311"/>
      <c r="AZ28" s="311"/>
      <c r="BA28" s="311"/>
      <c r="BB28" s="311"/>
      <c r="BC28" s="310"/>
      <c r="BD28" s="311"/>
      <c r="BE28" s="311"/>
      <c r="BF28" s="311"/>
      <c r="BG28" s="311"/>
      <c r="BH28" s="311"/>
      <c r="BI28" s="311"/>
      <c r="BJ28" s="311"/>
      <c r="BK28" s="311"/>
      <c r="BL28" s="311"/>
      <c r="BM28" s="311"/>
      <c r="BN28" s="311"/>
      <c r="BO28" s="311"/>
      <c r="BP28" s="310"/>
      <c r="BQ28" s="311"/>
      <c r="BR28" s="311"/>
      <c r="BS28" s="311"/>
      <c r="BT28" s="311"/>
      <c r="BU28" s="311"/>
      <c r="BV28" s="311"/>
      <c r="BW28" s="311"/>
      <c r="BX28" s="311"/>
      <c r="BY28" s="311"/>
      <c r="BZ28" s="311"/>
      <c r="CA28" s="311"/>
      <c r="CB28" s="311"/>
      <c r="CC28" s="310"/>
      <c r="CD28" s="311"/>
      <c r="CE28" s="311"/>
      <c r="CF28" s="311"/>
      <c r="CG28" s="311"/>
      <c r="CH28" s="311"/>
      <c r="CI28" s="311"/>
      <c r="CJ28" s="311"/>
      <c r="CK28" s="311"/>
      <c r="CL28" s="311"/>
      <c r="CM28" s="311"/>
      <c r="CN28" s="311"/>
      <c r="CO28" s="311"/>
      <c r="CP28" s="310"/>
      <c r="CQ28" s="310"/>
      <c r="CR28" s="310">
        <f t="shared" si="1"/>
        <v>0</v>
      </c>
      <c r="CS28" s="795">
        <f t="shared" si="2"/>
        <v>0</v>
      </c>
    </row>
    <row r="29" spans="1:97" ht="20.25" customHeight="1" x14ac:dyDescent="0.3">
      <c r="A29" s="297">
        <f>+A28+1</f>
        <v>24</v>
      </c>
      <c r="B29" s="312" t="s">
        <v>108</v>
      </c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0">
        <f t="shared" si="0"/>
        <v>0</v>
      </c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0">
        <f>SUM(Q29:AB29)</f>
        <v>0</v>
      </c>
      <c r="AD29" s="311"/>
      <c r="AE29" s="311"/>
      <c r="AF29" s="311"/>
      <c r="AG29" s="311"/>
      <c r="AH29" s="311"/>
      <c r="AI29" s="311"/>
      <c r="AJ29" s="311"/>
      <c r="AK29" s="311"/>
      <c r="AL29" s="311"/>
      <c r="AM29" s="311"/>
      <c r="AN29" s="311"/>
      <c r="AO29" s="311"/>
      <c r="AP29" s="310">
        <f>SUM(AD29:AO29)</f>
        <v>0</v>
      </c>
      <c r="AQ29" s="311"/>
      <c r="AR29" s="311"/>
      <c r="AS29" s="311"/>
      <c r="AT29" s="311"/>
      <c r="AU29" s="311"/>
      <c r="AV29" s="311"/>
      <c r="AW29" s="311"/>
      <c r="AX29" s="311"/>
      <c r="AY29" s="311"/>
      <c r="AZ29" s="311"/>
      <c r="BA29" s="311"/>
      <c r="BB29" s="311"/>
      <c r="BC29" s="310">
        <f>SUM(AQ29:BB29)</f>
        <v>0</v>
      </c>
      <c r="BD29" s="311"/>
      <c r="BE29" s="311"/>
      <c r="BF29" s="311"/>
      <c r="BG29" s="311"/>
      <c r="BH29" s="311"/>
      <c r="BI29" s="311"/>
      <c r="BJ29" s="311"/>
      <c r="BK29" s="311"/>
      <c r="BL29" s="311"/>
      <c r="BM29" s="311"/>
      <c r="BN29" s="311"/>
      <c r="BO29" s="311"/>
      <c r="BP29" s="310">
        <f>SUM(BD29:BO29)</f>
        <v>0</v>
      </c>
      <c r="BQ29" s="311"/>
      <c r="BR29" s="311"/>
      <c r="BS29" s="311"/>
      <c r="BT29" s="311"/>
      <c r="BU29" s="309"/>
      <c r="BV29" s="309"/>
      <c r="BW29" s="309"/>
      <c r="BX29" s="309"/>
      <c r="BY29" s="309"/>
      <c r="BZ29" s="309"/>
      <c r="CA29" s="309"/>
      <c r="CB29" s="311">
        <v>4</v>
      </c>
      <c r="CC29" s="310">
        <f>SUM(BQ29:CB29)</f>
        <v>4</v>
      </c>
      <c r="CD29" s="311"/>
      <c r="CE29" s="311">
        <v>7</v>
      </c>
      <c r="CF29" s="311"/>
      <c r="CG29" s="311"/>
      <c r="CH29" s="309"/>
      <c r="CI29" s="309"/>
      <c r="CJ29" s="311">
        <v>1</v>
      </c>
      <c r="CK29" s="311"/>
      <c r="CL29" s="311">
        <v>8</v>
      </c>
      <c r="CM29" s="311"/>
      <c r="CN29" s="311"/>
      <c r="CO29" s="311"/>
      <c r="CP29" s="310">
        <f>SUM(CD29:CO29)</f>
        <v>16</v>
      </c>
      <c r="CQ29" s="310">
        <f>vacaciones!E25</f>
        <v>30</v>
      </c>
      <c r="CR29" s="310">
        <f t="shared" si="1"/>
        <v>20</v>
      </c>
      <c r="CS29" s="795">
        <f t="shared" si="2"/>
        <v>10</v>
      </c>
    </row>
    <row r="30" spans="1:97" ht="20.25" customHeight="1" x14ac:dyDescent="0.3">
      <c r="A30" s="297">
        <v>25</v>
      </c>
      <c r="B30" s="312" t="s">
        <v>402</v>
      </c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0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0"/>
      <c r="AD30" s="311"/>
      <c r="AE30" s="311"/>
      <c r="AF30" s="311"/>
      <c r="AG30" s="311"/>
      <c r="AH30" s="311"/>
      <c r="AI30" s="311"/>
      <c r="AJ30" s="311"/>
      <c r="AK30" s="311"/>
      <c r="AL30" s="311"/>
      <c r="AM30" s="311"/>
      <c r="AN30" s="311"/>
      <c r="AO30" s="311"/>
      <c r="AP30" s="310"/>
      <c r="AQ30" s="311"/>
      <c r="AR30" s="311"/>
      <c r="AS30" s="311"/>
      <c r="AT30" s="311"/>
      <c r="AU30" s="311"/>
      <c r="AV30" s="311"/>
      <c r="AW30" s="311"/>
      <c r="AX30" s="311"/>
      <c r="AY30" s="311"/>
      <c r="AZ30" s="311"/>
      <c r="BA30" s="311"/>
      <c r="BB30" s="311"/>
      <c r="BC30" s="310"/>
      <c r="BD30" s="311"/>
      <c r="BE30" s="311"/>
      <c r="BF30" s="311"/>
      <c r="BG30" s="311"/>
      <c r="BH30" s="311"/>
      <c r="BI30" s="311"/>
      <c r="BJ30" s="311"/>
      <c r="BK30" s="311"/>
      <c r="BL30" s="311"/>
      <c r="BM30" s="311"/>
      <c r="BN30" s="311"/>
      <c r="BO30" s="311"/>
      <c r="BP30" s="310"/>
      <c r="BQ30" s="311"/>
      <c r="BR30" s="311"/>
      <c r="BS30" s="311"/>
      <c r="BT30" s="311"/>
      <c r="BU30" s="309"/>
      <c r="BV30" s="309"/>
      <c r="BW30" s="309"/>
      <c r="BX30" s="309"/>
      <c r="BY30" s="309"/>
      <c r="BZ30" s="309"/>
      <c r="CA30" s="309"/>
      <c r="CB30" s="311"/>
      <c r="CC30" s="310"/>
      <c r="CD30" s="311"/>
      <c r="CE30" s="311"/>
      <c r="CF30" s="311"/>
      <c r="CG30" s="311"/>
      <c r="CH30" s="309"/>
      <c r="CI30" s="309"/>
      <c r="CJ30" s="311"/>
      <c r="CK30" s="311"/>
      <c r="CL30" s="311"/>
      <c r="CM30" s="311"/>
      <c r="CN30" s="311"/>
      <c r="CO30" s="311"/>
      <c r="CP30" s="310"/>
      <c r="CQ30" s="310">
        <f>vacaciones!E26</f>
        <v>0</v>
      </c>
      <c r="CR30" s="310">
        <f t="shared" si="1"/>
        <v>0</v>
      </c>
      <c r="CS30" s="795">
        <f t="shared" si="2"/>
        <v>0</v>
      </c>
    </row>
    <row r="31" spans="1:97" ht="20.25" customHeight="1" x14ac:dyDescent="0.3">
      <c r="A31" s="297">
        <f>+A30+1</f>
        <v>26</v>
      </c>
      <c r="B31" s="307" t="s">
        <v>87</v>
      </c>
      <c r="C31" s="311"/>
      <c r="D31" s="311"/>
      <c r="E31" s="311">
        <v>1</v>
      </c>
      <c r="F31" s="311"/>
      <c r="G31" s="311"/>
      <c r="H31" s="311"/>
      <c r="I31" s="311">
        <v>1</v>
      </c>
      <c r="J31" s="311"/>
      <c r="K31" s="311">
        <v>2</v>
      </c>
      <c r="L31" s="311"/>
      <c r="M31" s="311"/>
      <c r="N31" s="311"/>
      <c r="O31" s="311"/>
      <c r="P31" s="310">
        <f t="shared" si="0"/>
        <v>4</v>
      </c>
      <c r="Q31" s="311"/>
      <c r="R31" s="311">
        <v>2</v>
      </c>
      <c r="S31" s="311">
        <v>1</v>
      </c>
      <c r="T31" s="311"/>
      <c r="U31" s="311">
        <v>1</v>
      </c>
      <c r="V31" s="311"/>
      <c r="W31" s="311"/>
      <c r="X31" s="311"/>
      <c r="Y31" s="311"/>
      <c r="Z31" s="311"/>
      <c r="AA31" s="311"/>
      <c r="AB31" s="311"/>
      <c r="AC31" s="310">
        <f t="shared" ref="AC31:AC40" si="15">SUM(Q31:AB31)</f>
        <v>4</v>
      </c>
      <c r="AD31" s="311">
        <v>1</v>
      </c>
      <c r="AE31" s="311"/>
      <c r="AF31" s="311">
        <v>2</v>
      </c>
      <c r="AG31" s="311">
        <v>5</v>
      </c>
      <c r="AH31" s="311"/>
      <c r="AI31" s="311">
        <v>1</v>
      </c>
      <c r="AJ31" s="311">
        <v>2</v>
      </c>
      <c r="AK31" s="311">
        <v>5</v>
      </c>
      <c r="AL31" s="311"/>
      <c r="AM31" s="311"/>
      <c r="AN31" s="311">
        <v>1</v>
      </c>
      <c r="AO31" s="311"/>
      <c r="AP31" s="310">
        <f t="shared" ref="AP31:AP40" si="16">SUM(AD31:AO31)</f>
        <v>17</v>
      </c>
      <c r="AQ31" s="311">
        <v>1</v>
      </c>
      <c r="AR31" s="311">
        <v>1</v>
      </c>
      <c r="AS31" s="311"/>
      <c r="AT31" s="311">
        <v>2</v>
      </c>
      <c r="AU31" s="311"/>
      <c r="AV31" s="311"/>
      <c r="AW31" s="311"/>
      <c r="AX31" s="311"/>
      <c r="AY31" s="311"/>
      <c r="AZ31" s="311"/>
      <c r="BA31" s="311">
        <v>1</v>
      </c>
      <c r="BB31" s="311"/>
      <c r="BC31" s="310">
        <f t="shared" ref="BC31:BC40" si="17">SUM(AQ31:BB31)</f>
        <v>5</v>
      </c>
      <c r="BD31" s="311">
        <v>2</v>
      </c>
      <c r="BE31" s="311">
        <v>2</v>
      </c>
      <c r="BF31" s="311">
        <v>1</v>
      </c>
      <c r="BG31" s="311">
        <v>2</v>
      </c>
      <c r="BH31" s="311">
        <v>3</v>
      </c>
      <c r="BI31" s="311"/>
      <c r="BJ31" s="311"/>
      <c r="BK31" s="311"/>
      <c r="BL31" s="311"/>
      <c r="BM31" s="311"/>
      <c r="BN31" s="311">
        <v>4</v>
      </c>
      <c r="BO31" s="311">
        <v>6</v>
      </c>
      <c r="BP31" s="310">
        <f t="shared" ref="BP31:BP40" si="18">SUM(BD31:BO31)</f>
        <v>20</v>
      </c>
      <c r="BQ31" s="311">
        <v>1</v>
      </c>
      <c r="BR31" s="311">
        <v>5</v>
      </c>
      <c r="BS31" s="309"/>
      <c r="BT31" s="309"/>
      <c r="BU31" s="311">
        <v>5</v>
      </c>
      <c r="BV31" s="311">
        <v>2</v>
      </c>
      <c r="BW31" s="311">
        <v>3</v>
      </c>
      <c r="BX31" s="309"/>
      <c r="BY31" s="311">
        <v>2</v>
      </c>
      <c r="BZ31" s="309"/>
      <c r="CA31" s="309"/>
      <c r="CB31" s="309"/>
      <c r="CC31" s="310">
        <f t="shared" ref="CC31:CC40" si="19">SUM(BQ31:CB31)</f>
        <v>18</v>
      </c>
      <c r="CD31" s="311">
        <v>60</v>
      </c>
      <c r="CE31" s="311"/>
      <c r="CF31" s="311">
        <v>2</v>
      </c>
      <c r="CG31" s="309"/>
      <c r="CH31" s="311">
        <v>60</v>
      </c>
      <c r="CI31" s="311"/>
      <c r="CJ31" s="311"/>
      <c r="CK31" s="309"/>
      <c r="CL31" s="311">
        <v>30</v>
      </c>
      <c r="CM31" s="309"/>
      <c r="CN31" s="309"/>
      <c r="CO31" s="309"/>
      <c r="CP31" s="310">
        <f t="shared" ref="CP31:CP40" si="20">SUM(CD31:CO31)</f>
        <v>152</v>
      </c>
      <c r="CQ31" s="310">
        <f>vacaciones!E27</f>
        <v>210</v>
      </c>
      <c r="CR31" s="310">
        <f t="shared" si="1"/>
        <v>220</v>
      </c>
      <c r="CS31" s="795">
        <f t="shared" si="2"/>
        <v>-10</v>
      </c>
    </row>
    <row r="32" spans="1:97" s="254" customFormat="1" ht="20.25" customHeight="1" x14ac:dyDescent="0.3">
      <c r="A32" s="297">
        <f>+A31+1</f>
        <v>27</v>
      </c>
      <c r="B32" s="312" t="s">
        <v>127</v>
      </c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0">
        <f t="shared" si="0"/>
        <v>0</v>
      </c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0">
        <f t="shared" si="15"/>
        <v>0</v>
      </c>
      <c r="AD32" s="311"/>
      <c r="AE32" s="311"/>
      <c r="AF32" s="311"/>
      <c r="AG32" s="311"/>
      <c r="AH32" s="311"/>
      <c r="AI32" s="311"/>
      <c r="AJ32" s="311"/>
      <c r="AK32" s="311"/>
      <c r="AL32" s="311"/>
      <c r="AM32" s="311"/>
      <c r="AN32" s="311"/>
      <c r="AO32" s="311"/>
      <c r="AP32" s="310">
        <f t="shared" si="16"/>
        <v>0</v>
      </c>
      <c r="AQ32" s="311"/>
      <c r="AR32" s="311"/>
      <c r="AS32" s="311"/>
      <c r="AT32" s="311"/>
      <c r="AU32" s="311"/>
      <c r="AV32" s="311"/>
      <c r="AW32" s="311"/>
      <c r="AX32" s="311"/>
      <c r="AY32" s="311"/>
      <c r="AZ32" s="311"/>
      <c r="BA32" s="311"/>
      <c r="BB32" s="311"/>
      <c r="BC32" s="310">
        <f t="shared" si="17"/>
        <v>0</v>
      </c>
      <c r="BD32" s="311"/>
      <c r="BE32" s="309"/>
      <c r="BF32" s="309"/>
      <c r="BG32" s="309"/>
      <c r="BH32" s="309"/>
      <c r="BI32" s="311"/>
      <c r="BJ32" s="311"/>
      <c r="BK32" s="309"/>
      <c r="BL32" s="309"/>
      <c r="BM32" s="309"/>
      <c r="BN32" s="309"/>
      <c r="BO32" s="311"/>
      <c r="BP32" s="310">
        <f t="shared" si="18"/>
        <v>0</v>
      </c>
      <c r="BQ32" s="311"/>
      <c r="BR32" s="311"/>
      <c r="BS32" s="311"/>
      <c r="BT32" s="311"/>
      <c r="BU32" s="311"/>
      <c r="BV32" s="311"/>
      <c r="BW32" s="311"/>
      <c r="BX32" s="311"/>
      <c r="BY32" s="311"/>
      <c r="BZ32" s="311"/>
      <c r="CA32" s="311"/>
      <c r="CB32" s="311"/>
      <c r="CC32" s="310">
        <f t="shared" si="19"/>
        <v>0</v>
      </c>
      <c r="CD32" s="311"/>
      <c r="CE32" s="311"/>
      <c r="CF32" s="311"/>
      <c r="CG32" s="311"/>
      <c r="CH32" s="311"/>
      <c r="CI32" s="311"/>
      <c r="CJ32" s="311"/>
      <c r="CK32" s="311">
        <v>5</v>
      </c>
      <c r="CL32" s="311"/>
      <c r="CM32" s="311"/>
      <c r="CN32" s="311"/>
      <c r="CO32" s="311"/>
      <c r="CP32" s="310">
        <f t="shared" si="20"/>
        <v>5</v>
      </c>
      <c r="CQ32" s="310">
        <f>vacaciones!E28</f>
        <v>30</v>
      </c>
      <c r="CR32" s="310">
        <f t="shared" si="1"/>
        <v>5</v>
      </c>
      <c r="CS32" s="795">
        <f t="shared" si="2"/>
        <v>25</v>
      </c>
    </row>
    <row r="33" spans="1:97" s="254" customFormat="1" ht="20.25" customHeight="1" x14ac:dyDescent="0.3">
      <c r="A33" s="297">
        <v>28</v>
      </c>
      <c r="B33" s="312" t="s">
        <v>379</v>
      </c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0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0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1"/>
      <c r="AP33" s="310"/>
      <c r="AQ33" s="311"/>
      <c r="AR33" s="311"/>
      <c r="AS33" s="311"/>
      <c r="AT33" s="311"/>
      <c r="AU33" s="311"/>
      <c r="AV33" s="311"/>
      <c r="AW33" s="311"/>
      <c r="AX33" s="311"/>
      <c r="AY33" s="311"/>
      <c r="AZ33" s="311"/>
      <c r="BA33" s="311"/>
      <c r="BB33" s="311"/>
      <c r="BC33" s="310"/>
      <c r="BD33" s="311"/>
      <c r="BE33" s="309"/>
      <c r="BF33" s="309"/>
      <c r="BG33" s="309"/>
      <c r="BH33" s="309"/>
      <c r="BI33" s="311"/>
      <c r="BJ33" s="311"/>
      <c r="BK33" s="309"/>
      <c r="BL33" s="309"/>
      <c r="BM33" s="309"/>
      <c r="BN33" s="309"/>
      <c r="BO33" s="311"/>
      <c r="BP33" s="310"/>
      <c r="BQ33" s="311"/>
      <c r="BR33" s="311"/>
      <c r="BS33" s="311"/>
      <c r="BT33" s="311"/>
      <c r="BU33" s="311"/>
      <c r="BV33" s="311"/>
      <c r="BW33" s="311"/>
      <c r="BX33" s="311"/>
      <c r="BY33" s="311"/>
      <c r="BZ33" s="311"/>
      <c r="CA33" s="311"/>
      <c r="CB33" s="311"/>
      <c r="CC33" s="310"/>
      <c r="CD33" s="311"/>
      <c r="CE33" s="311"/>
      <c r="CF33" s="311"/>
      <c r="CG33" s="311"/>
      <c r="CH33" s="311"/>
      <c r="CI33" s="311"/>
      <c r="CJ33" s="311"/>
      <c r="CK33" s="311"/>
      <c r="CL33" s="311"/>
      <c r="CM33" s="311"/>
      <c r="CN33" s="311"/>
      <c r="CO33" s="311"/>
      <c r="CP33" s="310"/>
      <c r="CQ33" s="310"/>
      <c r="CR33" s="310">
        <f t="shared" si="1"/>
        <v>0</v>
      </c>
      <c r="CS33" s="795">
        <f t="shared" si="2"/>
        <v>0</v>
      </c>
    </row>
    <row r="34" spans="1:97" ht="20.25" customHeight="1" x14ac:dyDescent="0.3">
      <c r="A34" s="297">
        <f>+A33+1</f>
        <v>29</v>
      </c>
      <c r="B34" s="312" t="s">
        <v>151</v>
      </c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0">
        <f t="shared" si="0"/>
        <v>0</v>
      </c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0">
        <f t="shared" si="15"/>
        <v>0</v>
      </c>
      <c r="AD34" s="311"/>
      <c r="AE34" s="311"/>
      <c r="AF34" s="311"/>
      <c r="AG34" s="311"/>
      <c r="AH34" s="311"/>
      <c r="AI34" s="311"/>
      <c r="AJ34" s="311"/>
      <c r="AK34" s="311"/>
      <c r="AL34" s="311"/>
      <c r="AM34" s="311"/>
      <c r="AN34" s="311"/>
      <c r="AO34" s="311"/>
      <c r="AP34" s="310">
        <f t="shared" si="16"/>
        <v>0</v>
      </c>
      <c r="AQ34" s="311"/>
      <c r="AR34" s="311"/>
      <c r="AS34" s="311"/>
      <c r="AT34" s="311"/>
      <c r="AU34" s="311"/>
      <c r="AV34" s="311"/>
      <c r="AW34" s="311"/>
      <c r="AX34" s="311"/>
      <c r="AY34" s="311"/>
      <c r="AZ34" s="311"/>
      <c r="BA34" s="311"/>
      <c r="BB34" s="311"/>
      <c r="BC34" s="310">
        <f t="shared" si="17"/>
        <v>0</v>
      </c>
      <c r="BD34" s="311"/>
      <c r="BE34" s="309"/>
      <c r="BF34" s="309"/>
      <c r="BG34" s="309"/>
      <c r="BH34" s="309"/>
      <c r="BI34" s="311"/>
      <c r="BJ34" s="311"/>
      <c r="BK34" s="309"/>
      <c r="BL34" s="309"/>
      <c r="BM34" s="309"/>
      <c r="BN34" s="309"/>
      <c r="BO34" s="311"/>
      <c r="BP34" s="310">
        <f t="shared" si="18"/>
        <v>0</v>
      </c>
      <c r="BQ34" s="311"/>
      <c r="BR34" s="311"/>
      <c r="BS34" s="311"/>
      <c r="BT34" s="311"/>
      <c r="BU34" s="311"/>
      <c r="BV34" s="311"/>
      <c r="BW34" s="311"/>
      <c r="BX34" s="311"/>
      <c r="BY34" s="311"/>
      <c r="BZ34" s="311"/>
      <c r="CA34" s="311"/>
      <c r="CB34" s="311"/>
      <c r="CC34" s="310">
        <f t="shared" si="19"/>
        <v>0</v>
      </c>
      <c r="CD34" s="311"/>
      <c r="CE34" s="311"/>
      <c r="CF34" s="311"/>
      <c r="CG34" s="311"/>
      <c r="CH34" s="311"/>
      <c r="CI34" s="311"/>
      <c r="CJ34" s="311"/>
      <c r="CK34" s="311"/>
      <c r="CL34" s="311"/>
      <c r="CM34" s="311"/>
      <c r="CN34" s="311"/>
      <c r="CO34" s="311"/>
      <c r="CP34" s="310">
        <f t="shared" si="20"/>
        <v>0</v>
      </c>
      <c r="CQ34" s="310">
        <f>vacaciones!E30</f>
        <v>0</v>
      </c>
      <c r="CR34" s="310">
        <f t="shared" si="1"/>
        <v>0</v>
      </c>
      <c r="CS34" s="795">
        <f t="shared" si="2"/>
        <v>0</v>
      </c>
    </row>
    <row r="35" spans="1:97" ht="20.25" customHeight="1" x14ac:dyDescent="0.3">
      <c r="A35" s="297">
        <f>+A34+1</f>
        <v>30</v>
      </c>
      <c r="B35" s="312" t="s">
        <v>346</v>
      </c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0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0"/>
      <c r="AD35" s="311"/>
      <c r="AE35" s="311"/>
      <c r="AF35" s="311"/>
      <c r="AG35" s="311"/>
      <c r="AH35" s="311"/>
      <c r="AI35" s="311"/>
      <c r="AJ35" s="311"/>
      <c r="AK35" s="311"/>
      <c r="AL35" s="311"/>
      <c r="AM35" s="311"/>
      <c r="AN35" s="311"/>
      <c r="AO35" s="311"/>
      <c r="AP35" s="310"/>
      <c r="AQ35" s="311"/>
      <c r="AR35" s="311"/>
      <c r="AS35" s="311"/>
      <c r="AT35" s="311"/>
      <c r="AU35" s="311"/>
      <c r="AV35" s="311"/>
      <c r="AW35" s="311"/>
      <c r="AX35" s="311"/>
      <c r="AY35" s="311"/>
      <c r="AZ35" s="311"/>
      <c r="BA35" s="311"/>
      <c r="BB35" s="311"/>
      <c r="BC35" s="310"/>
      <c r="BD35" s="311"/>
      <c r="BE35" s="309"/>
      <c r="BF35" s="309"/>
      <c r="BG35" s="309"/>
      <c r="BH35" s="309"/>
      <c r="BI35" s="311"/>
      <c r="BJ35" s="311"/>
      <c r="BK35" s="309"/>
      <c r="BL35" s="309"/>
      <c r="BM35" s="309"/>
      <c r="BN35" s="309"/>
      <c r="BO35" s="311"/>
      <c r="BP35" s="310"/>
      <c r="BQ35" s="311"/>
      <c r="BR35" s="311"/>
      <c r="BS35" s="311"/>
      <c r="BT35" s="311"/>
      <c r="BU35" s="311"/>
      <c r="BV35" s="311"/>
      <c r="BW35" s="311"/>
      <c r="BX35" s="311"/>
      <c r="BY35" s="311"/>
      <c r="BZ35" s="311"/>
      <c r="CA35" s="311"/>
      <c r="CB35" s="311"/>
      <c r="CC35" s="310"/>
      <c r="CD35" s="311"/>
      <c r="CE35" s="311"/>
      <c r="CF35" s="311"/>
      <c r="CG35" s="311"/>
      <c r="CH35" s="311"/>
      <c r="CI35" s="311"/>
      <c r="CJ35" s="311"/>
      <c r="CK35" s="311"/>
      <c r="CL35" s="311"/>
      <c r="CM35" s="311"/>
      <c r="CN35" s="311"/>
      <c r="CO35" s="311"/>
      <c r="CP35" s="310"/>
      <c r="CQ35" s="310">
        <f>vacaciones!E31</f>
        <v>0</v>
      </c>
      <c r="CR35" s="310">
        <f t="shared" si="1"/>
        <v>0</v>
      </c>
      <c r="CS35" s="795">
        <f t="shared" si="2"/>
        <v>0</v>
      </c>
    </row>
    <row r="36" spans="1:97" ht="20.25" customHeight="1" x14ac:dyDescent="0.3">
      <c r="A36" s="297">
        <v>31</v>
      </c>
      <c r="B36" s="312" t="s">
        <v>152</v>
      </c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0">
        <f t="shared" si="0"/>
        <v>0</v>
      </c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0">
        <f t="shared" si="15"/>
        <v>0</v>
      </c>
      <c r="AD36" s="311"/>
      <c r="AE36" s="311"/>
      <c r="AF36" s="311"/>
      <c r="AG36" s="311"/>
      <c r="AH36" s="311"/>
      <c r="AI36" s="311"/>
      <c r="AJ36" s="311"/>
      <c r="AK36" s="311"/>
      <c r="AL36" s="311"/>
      <c r="AM36" s="311"/>
      <c r="AN36" s="311"/>
      <c r="AO36" s="311"/>
      <c r="AP36" s="310">
        <f t="shared" si="16"/>
        <v>0</v>
      </c>
      <c r="AQ36" s="311"/>
      <c r="AR36" s="311"/>
      <c r="AS36" s="311"/>
      <c r="AT36" s="311"/>
      <c r="AU36" s="311"/>
      <c r="AV36" s="311"/>
      <c r="AW36" s="311"/>
      <c r="AX36" s="311"/>
      <c r="AY36" s="311"/>
      <c r="AZ36" s="311"/>
      <c r="BA36" s="311"/>
      <c r="BB36" s="311"/>
      <c r="BC36" s="310">
        <f t="shared" si="17"/>
        <v>0</v>
      </c>
      <c r="BD36" s="311"/>
      <c r="BE36" s="309"/>
      <c r="BF36" s="309"/>
      <c r="BG36" s="309"/>
      <c r="BH36" s="309"/>
      <c r="BI36" s="311"/>
      <c r="BJ36" s="311"/>
      <c r="BK36" s="309"/>
      <c r="BL36" s="309"/>
      <c r="BM36" s="309"/>
      <c r="BN36" s="309"/>
      <c r="BO36" s="311"/>
      <c r="BP36" s="310">
        <f t="shared" si="18"/>
        <v>0</v>
      </c>
      <c r="BQ36" s="311"/>
      <c r="BR36" s="311"/>
      <c r="BS36" s="311"/>
      <c r="BT36" s="311"/>
      <c r="BU36" s="311"/>
      <c r="BV36" s="311"/>
      <c r="BW36" s="311"/>
      <c r="BX36" s="311"/>
      <c r="BY36" s="311"/>
      <c r="BZ36" s="311"/>
      <c r="CA36" s="311"/>
      <c r="CB36" s="311"/>
      <c r="CC36" s="310">
        <f t="shared" si="19"/>
        <v>0</v>
      </c>
      <c r="CD36" s="311"/>
      <c r="CE36" s="311"/>
      <c r="CF36" s="311"/>
      <c r="CG36" s="311"/>
      <c r="CH36" s="311"/>
      <c r="CI36" s="311"/>
      <c r="CJ36" s="311"/>
      <c r="CK36" s="311"/>
      <c r="CL36" s="311"/>
      <c r="CM36" s="311"/>
      <c r="CN36" s="311"/>
      <c r="CO36" s="311"/>
      <c r="CP36" s="310">
        <f t="shared" si="20"/>
        <v>0</v>
      </c>
      <c r="CQ36" s="310">
        <f>vacaciones!E32</f>
        <v>30</v>
      </c>
      <c r="CR36" s="310">
        <f t="shared" si="1"/>
        <v>0</v>
      </c>
      <c r="CS36" s="795">
        <f t="shared" si="2"/>
        <v>30</v>
      </c>
    </row>
    <row r="37" spans="1:97" ht="20.25" customHeight="1" x14ac:dyDescent="0.3">
      <c r="A37" s="297">
        <f>+A36+1</f>
        <v>32</v>
      </c>
      <c r="B37" s="312" t="s">
        <v>59</v>
      </c>
      <c r="C37" s="311"/>
      <c r="D37" s="311"/>
      <c r="E37" s="311"/>
      <c r="F37" s="311"/>
      <c r="G37" s="311"/>
      <c r="H37" s="311"/>
      <c r="I37" s="311">
        <v>2</v>
      </c>
      <c r="J37" s="311"/>
      <c r="K37" s="311"/>
      <c r="L37" s="311"/>
      <c r="M37" s="311"/>
      <c r="N37" s="311"/>
      <c r="O37" s="311">
        <v>24</v>
      </c>
      <c r="P37" s="310">
        <f t="shared" si="0"/>
        <v>26</v>
      </c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0">
        <f t="shared" si="15"/>
        <v>0</v>
      </c>
      <c r="AD37" s="311"/>
      <c r="AE37" s="311"/>
      <c r="AF37" s="311">
        <v>1</v>
      </c>
      <c r="AG37" s="311"/>
      <c r="AH37" s="311">
        <v>1</v>
      </c>
      <c r="AI37" s="311">
        <v>5</v>
      </c>
      <c r="AJ37" s="311">
        <v>1</v>
      </c>
      <c r="AK37" s="311">
        <v>1</v>
      </c>
      <c r="AL37" s="311"/>
      <c r="AM37" s="311">
        <v>1</v>
      </c>
      <c r="AN37" s="311">
        <v>1</v>
      </c>
      <c r="AO37" s="311">
        <v>29</v>
      </c>
      <c r="AP37" s="310">
        <f t="shared" si="16"/>
        <v>40</v>
      </c>
      <c r="AQ37" s="311"/>
      <c r="AR37" s="311"/>
      <c r="AS37" s="311"/>
      <c r="AT37" s="311"/>
      <c r="AU37" s="311"/>
      <c r="AV37" s="311"/>
      <c r="AW37" s="311"/>
      <c r="AX37" s="311"/>
      <c r="AY37" s="311"/>
      <c r="AZ37" s="311"/>
      <c r="BA37" s="311">
        <v>1</v>
      </c>
      <c r="BB37" s="311"/>
      <c r="BC37" s="310">
        <f t="shared" si="17"/>
        <v>1</v>
      </c>
      <c r="BD37" s="309"/>
      <c r="BE37" s="309"/>
      <c r="BF37" s="309"/>
      <c r="BG37" s="309"/>
      <c r="BH37" s="309"/>
      <c r="BI37" s="309"/>
      <c r="BJ37" s="309"/>
      <c r="BK37" s="309"/>
      <c r="BL37" s="309"/>
      <c r="BM37" s="311">
        <v>1</v>
      </c>
      <c r="BN37" s="311">
        <v>3</v>
      </c>
      <c r="BO37" s="311">
        <v>5</v>
      </c>
      <c r="BP37" s="310">
        <f t="shared" si="18"/>
        <v>9</v>
      </c>
      <c r="BQ37" s="311">
        <v>8</v>
      </c>
      <c r="BR37" s="311">
        <v>3</v>
      </c>
      <c r="BS37" s="311"/>
      <c r="BT37" s="311"/>
      <c r="BU37" s="311">
        <v>1</v>
      </c>
      <c r="BV37" s="311"/>
      <c r="BW37" s="311"/>
      <c r="BX37" s="311"/>
      <c r="BY37" s="311"/>
      <c r="BZ37" s="311"/>
      <c r="CA37" s="311"/>
      <c r="CB37" s="311">
        <v>2</v>
      </c>
      <c r="CC37" s="310">
        <f t="shared" si="19"/>
        <v>14</v>
      </c>
      <c r="CD37" s="311"/>
      <c r="CE37" s="311"/>
      <c r="CF37" s="311"/>
      <c r="CG37" s="311"/>
      <c r="CH37" s="311">
        <v>2</v>
      </c>
      <c r="CI37" s="311"/>
      <c r="CJ37" s="311"/>
      <c r="CK37" s="311">
        <v>1</v>
      </c>
      <c r="CL37" s="311">
        <v>1</v>
      </c>
      <c r="CM37" s="311"/>
      <c r="CN37" s="311">
        <v>1</v>
      </c>
      <c r="CO37" s="311">
        <v>30</v>
      </c>
      <c r="CP37" s="310">
        <f t="shared" si="20"/>
        <v>35</v>
      </c>
      <c r="CQ37" s="310">
        <f>vacaciones!E33</f>
        <v>210</v>
      </c>
      <c r="CR37" s="310">
        <f t="shared" si="1"/>
        <v>125</v>
      </c>
      <c r="CS37" s="795">
        <f t="shared" si="2"/>
        <v>85</v>
      </c>
    </row>
    <row r="38" spans="1:97" ht="20.25" customHeight="1" x14ac:dyDescent="0.3">
      <c r="A38" s="297">
        <f>+A37+1</f>
        <v>33</v>
      </c>
      <c r="B38" s="312" t="s">
        <v>97</v>
      </c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0">
        <f t="shared" si="0"/>
        <v>0</v>
      </c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0">
        <f t="shared" si="15"/>
        <v>0</v>
      </c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311"/>
      <c r="AO38" s="311"/>
      <c r="AP38" s="310">
        <f t="shared" si="16"/>
        <v>0</v>
      </c>
      <c r="AQ38" s="311"/>
      <c r="AR38" s="311"/>
      <c r="AS38" s="311"/>
      <c r="AT38" s="311"/>
      <c r="AU38" s="311"/>
      <c r="AV38" s="311"/>
      <c r="AW38" s="311"/>
      <c r="AX38" s="311"/>
      <c r="AY38" s="311"/>
      <c r="AZ38" s="311"/>
      <c r="BA38" s="311"/>
      <c r="BB38" s="311"/>
      <c r="BC38" s="310">
        <f t="shared" si="17"/>
        <v>0</v>
      </c>
      <c r="BD38" s="311"/>
      <c r="BE38" s="309"/>
      <c r="BF38" s="309"/>
      <c r="BG38" s="309"/>
      <c r="BH38" s="309"/>
      <c r="BI38" s="311"/>
      <c r="BJ38" s="311"/>
      <c r="BK38" s="309"/>
      <c r="BL38" s="309"/>
      <c r="BM38" s="309"/>
      <c r="BN38" s="309"/>
      <c r="BO38" s="311"/>
      <c r="BP38" s="310">
        <f t="shared" si="18"/>
        <v>0</v>
      </c>
      <c r="BQ38" s="309"/>
      <c r="BR38" s="311"/>
      <c r="BS38" s="311"/>
      <c r="BT38" s="311"/>
      <c r="BU38" s="311">
        <v>5</v>
      </c>
      <c r="BV38" s="311"/>
      <c r="BW38" s="311"/>
      <c r="BX38" s="311"/>
      <c r="BY38" s="311"/>
      <c r="BZ38" s="311">
        <v>7</v>
      </c>
      <c r="CA38" s="311"/>
      <c r="CB38" s="311"/>
      <c r="CC38" s="310">
        <f t="shared" si="19"/>
        <v>12</v>
      </c>
      <c r="CD38" s="309"/>
      <c r="CE38" s="311"/>
      <c r="CF38" s="311"/>
      <c r="CG38" s="311">
        <v>1</v>
      </c>
      <c r="CH38" s="311"/>
      <c r="CI38" s="311"/>
      <c r="CJ38" s="311"/>
      <c r="CK38" s="311">
        <v>3</v>
      </c>
      <c r="CL38" s="311"/>
      <c r="CM38" s="311"/>
      <c r="CN38" s="311"/>
      <c r="CO38" s="311"/>
      <c r="CP38" s="310">
        <f t="shared" si="20"/>
        <v>4</v>
      </c>
      <c r="CQ38" s="310">
        <f>vacaciones!E34</f>
        <v>60</v>
      </c>
      <c r="CR38" s="310">
        <f t="shared" si="1"/>
        <v>16</v>
      </c>
      <c r="CS38" s="795">
        <f t="shared" si="2"/>
        <v>44</v>
      </c>
    </row>
    <row r="39" spans="1:97" ht="20.25" customHeight="1" x14ac:dyDescent="0.3">
      <c r="A39" s="297">
        <v>34</v>
      </c>
      <c r="B39" s="312" t="s">
        <v>54</v>
      </c>
      <c r="C39" s="311">
        <v>30</v>
      </c>
      <c r="D39" s="311"/>
      <c r="E39" s="311"/>
      <c r="F39" s="311"/>
      <c r="G39" s="311"/>
      <c r="H39" s="311">
        <v>1</v>
      </c>
      <c r="I39" s="311"/>
      <c r="J39" s="311"/>
      <c r="K39" s="311"/>
      <c r="L39" s="311">
        <v>3</v>
      </c>
      <c r="M39" s="311"/>
      <c r="N39" s="311"/>
      <c r="O39" s="311">
        <v>15</v>
      </c>
      <c r="P39" s="310">
        <f t="shared" si="0"/>
        <v>19</v>
      </c>
      <c r="Q39" s="311"/>
      <c r="R39" s="311"/>
      <c r="S39" s="311">
        <v>5</v>
      </c>
      <c r="T39" s="311">
        <v>8</v>
      </c>
      <c r="U39" s="311">
        <v>1</v>
      </c>
      <c r="V39" s="311"/>
      <c r="W39" s="311"/>
      <c r="X39" s="311"/>
      <c r="Y39" s="311">
        <v>3</v>
      </c>
      <c r="Z39" s="311"/>
      <c r="AA39" s="311"/>
      <c r="AB39" s="311">
        <v>9</v>
      </c>
      <c r="AC39" s="310">
        <f t="shared" si="15"/>
        <v>26</v>
      </c>
      <c r="AD39" s="311"/>
      <c r="AE39" s="311"/>
      <c r="AF39" s="311"/>
      <c r="AG39" s="311">
        <v>1</v>
      </c>
      <c r="AH39" s="311">
        <v>7</v>
      </c>
      <c r="AI39" s="311"/>
      <c r="AJ39" s="311">
        <v>1</v>
      </c>
      <c r="AK39" s="311">
        <v>4</v>
      </c>
      <c r="AL39" s="311">
        <v>1</v>
      </c>
      <c r="AM39" s="311"/>
      <c r="AN39" s="311"/>
      <c r="AO39" s="311"/>
      <c r="AP39" s="310">
        <f t="shared" si="16"/>
        <v>14</v>
      </c>
      <c r="AQ39" s="311"/>
      <c r="AR39" s="311"/>
      <c r="AS39" s="311">
        <v>1</v>
      </c>
      <c r="AT39" s="311"/>
      <c r="AU39" s="311"/>
      <c r="AV39" s="311"/>
      <c r="AW39" s="311"/>
      <c r="AX39" s="311"/>
      <c r="AY39" s="311"/>
      <c r="AZ39" s="311"/>
      <c r="BA39" s="311">
        <v>1</v>
      </c>
      <c r="BB39" s="311"/>
      <c r="BC39" s="310">
        <f t="shared" si="17"/>
        <v>2</v>
      </c>
      <c r="BD39" s="311"/>
      <c r="BE39" s="311"/>
      <c r="BF39" s="311"/>
      <c r="BG39" s="311"/>
      <c r="BH39" s="311"/>
      <c r="BI39" s="311"/>
      <c r="BJ39" s="311">
        <v>15</v>
      </c>
      <c r="BK39" s="311"/>
      <c r="BL39" s="311"/>
      <c r="BM39" s="311"/>
      <c r="BN39" s="311"/>
      <c r="BO39" s="311"/>
      <c r="BP39" s="310">
        <f t="shared" si="18"/>
        <v>15</v>
      </c>
      <c r="BQ39" s="315"/>
      <c r="BR39" s="315"/>
      <c r="BS39" s="315"/>
      <c r="BT39" s="315"/>
      <c r="BU39" s="315"/>
      <c r="BV39" s="315"/>
      <c r="BW39" s="315"/>
      <c r="BX39" s="315"/>
      <c r="BY39" s="315"/>
      <c r="BZ39" s="315"/>
      <c r="CA39" s="315"/>
      <c r="CB39" s="315"/>
      <c r="CC39" s="310">
        <f t="shared" si="19"/>
        <v>0</v>
      </c>
      <c r="CD39" s="315"/>
      <c r="CE39" s="315"/>
      <c r="CF39" s="315"/>
      <c r="CG39" s="315"/>
      <c r="CH39" s="315">
        <v>7</v>
      </c>
      <c r="CI39" s="315"/>
      <c r="CJ39" s="315"/>
      <c r="CK39" s="315"/>
      <c r="CL39" s="315"/>
      <c r="CM39" s="315"/>
      <c r="CN39" s="315"/>
      <c r="CO39" s="315"/>
      <c r="CP39" s="310">
        <f t="shared" si="20"/>
        <v>7</v>
      </c>
      <c r="CQ39" s="310">
        <f>vacaciones!E35</f>
        <v>240</v>
      </c>
      <c r="CR39" s="310">
        <f t="shared" si="1"/>
        <v>113</v>
      </c>
      <c r="CS39" s="795">
        <f t="shared" si="2"/>
        <v>127</v>
      </c>
    </row>
    <row r="40" spans="1:97" s="254" customFormat="1" ht="20.25" customHeight="1" x14ac:dyDescent="0.3">
      <c r="A40" s="297">
        <f>+A39+1</f>
        <v>35</v>
      </c>
      <c r="B40" s="312" t="s">
        <v>96</v>
      </c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0">
        <f t="shared" si="0"/>
        <v>0</v>
      </c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1"/>
      <c r="AC40" s="310">
        <f t="shared" si="15"/>
        <v>0</v>
      </c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1"/>
      <c r="AP40" s="310">
        <f t="shared" si="16"/>
        <v>0</v>
      </c>
      <c r="AQ40" s="311"/>
      <c r="AR40" s="311"/>
      <c r="AS40" s="311"/>
      <c r="AT40" s="311"/>
      <c r="AU40" s="311"/>
      <c r="AV40" s="311"/>
      <c r="AW40" s="311"/>
      <c r="AX40" s="311"/>
      <c r="AY40" s="311"/>
      <c r="AZ40" s="311"/>
      <c r="BA40" s="311"/>
      <c r="BB40" s="311"/>
      <c r="BC40" s="310">
        <f t="shared" si="17"/>
        <v>0</v>
      </c>
      <c r="BD40" s="311"/>
      <c r="BE40" s="309"/>
      <c r="BF40" s="309"/>
      <c r="BG40" s="309"/>
      <c r="BH40" s="309"/>
      <c r="BI40" s="311"/>
      <c r="BJ40" s="311"/>
      <c r="BK40" s="309"/>
      <c r="BL40" s="309"/>
      <c r="BM40" s="309"/>
      <c r="BN40" s="309"/>
      <c r="BO40" s="311"/>
      <c r="BP40" s="310">
        <f t="shared" si="18"/>
        <v>0</v>
      </c>
      <c r="BQ40" s="309"/>
      <c r="BR40" s="311"/>
      <c r="BS40" s="311"/>
      <c r="BT40" s="311">
        <v>22</v>
      </c>
      <c r="BU40" s="311"/>
      <c r="BV40" s="311"/>
      <c r="BW40" s="311"/>
      <c r="BX40" s="311"/>
      <c r="BY40" s="311"/>
      <c r="BZ40" s="311"/>
      <c r="CA40" s="311"/>
      <c r="CB40" s="311"/>
      <c r="CC40" s="310">
        <f t="shared" si="19"/>
        <v>22</v>
      </c>
      <c r="CD40" s="309"/>
      <c r="CE40" s="311"/>
      <c r="CF40" s="311"/>
      <c r="CG40" s="311"/>
      <c r="CH40" s="311">
        <v>4</v>
      </c>
      <c r="CI40" s="311"/>
      <c r="CJ40" s="311"/>
      <c r="CK40" s="311"/>
      <c r="CL40" s="311"/>
      <c r="CM40" s="311"/>
      <c r="CN40" s="311"/>
      <c r="CO40" s="311"/>
      <c r="CP40" s="310">
        <f t="shared" si="20"/>
        <v>4</v>
      </c>
      <c r="CQ40" s="310">
        <f>vacaciones!E36</f>
        <v>60</v>
      </c>
      <c r="CR40" s="310">
        <f t="shared" si="1"/>
        <v>26</v>
      </c>
      <c r="CS40" s="795">
        <f t="shared" si="2"/>
        <v>34</v>
      </c>
    </row>
    <row r="41" spans="1:97" ht="20.25" customHeight="1" x14ac:dyDescent="0.3">
      <c r="A41" s="297">
        <f>+A40+1</f>
        <v>36</v>
      </c>
      <c r="B41" s="312" t="s">
        <v>323</v>
      </c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0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0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0"/>
      <c r="AQ41" s="311"/>
      <c r="AR41" s="311"/>
      <c r="AS41" s="311"/>
      <c r="AT41" s="311"/>
      <c r="AU41" s="311"/>
      <c r="AV41" s="311"/>
      <c r="AW41" s="311"/>
      <c r="AX41" s="311"/>
      <c r="AY41" s="311"/>
      <c r="AZ41" s="311"/>
      <c r="BA41" s="311"/>
      <c r="BB41" s="311"/>
      <c r="BC41" s="310"/>
      <c r="BD41" s="311"/>
      <c r="BE41" s="309"/>
      <c r="BF41" s="309"/>
      <c r="BG41" s="309"/>
      <c r="BH41" s="309"/>
      <c r="BI41" s="311"/>
      <c r="BJ41" s="311"/>
      <c r="BK41" s="309"/>
      <c r="BL41" s="309"/>
      <c r="BM41" s="309"/>
      <c r="BN41" s="309"/>
      <c r="BO41" s="311"/>
      <c r="BP41" s="310"/>
      <c r="BQ41" s="309"/>
      <c r="BR41" s="311"/>
      <c r="BS41" s="311"/>
      <c r="BT41" s="311"/>
      <c r="BU41" s="311"/>
      <c r="BV41" s="311"/>
      <c r="BW41" s="311"/>
      <c r="BX41" s="311"/>
      <c r="BY41" s="311"/>
      <c r="BZ41" s="311"/>
      <c r="CA41" s="311"/>
      <c r="CB41" s="311"/>
      <c r="CC41" s="310"/>
      <c r="CD41" s="309"/>
      <c r="CE41" s="311"/>
      <c r="CF41" s="311"/>
      <c r="CG41" s="311"/>
      <c r="CH41" s="311"/>
      <c r="CI41" s="311"/>
      <c r="CJ41" s="311"/>
      <c r="CK41" s="311"/>
      <c r="CL41" s="311"/>
      <c r="CM41" s="311"/>
      <c r="CN41" s="311"/>
      <c r="CO41" s="311"/>
      <c r="CP41" s="310"/>
      <c r="CQ41" s="310">
        <f>vacaciones!E37</f>
        <v>0</v>
      </c>
      <c r="CR41" s="310"/>
      <c r="CS41" s="795">
        <f t="shared" si="2"/>
        <v>0</v>
      </c>
    </row>
    <row r="42" spans="1:97" ht="20.25" customHeight="1" x14ac:dyDescent="0.3">
      <c r="A42" s="297">
        <v>37</v>
      </c>
      <c r="B42" s="312" t="s">
        <v>55</v>
      </c>
      <c r="C42" s="311"/>
      <c r="D42" s="311"/>
      <c r="E42" s="311"/>
      <c r="F42" s="311">
        <v>1</v>
      </c>
      <c r="G42" s="311"/>
      <c r="H42" s="311">
        <v>1</v>
      </c>
      <c r="I42" s="311"/>
      <c r="J42" s="311">
        <v>2</v>
      </c>
      <c r="K42" s="311"/>
      <c r="L42" s="311"/>
      <c r="M42" s="311">
        <v>1</v>
      </c>
      <c r="N42" s="311"/>
      <c r="O42" s="311"/>
      <c r="P42" s="310">
        <f t="shared" si="0"/>
        <v>5</v>
      </c>
      <c r="Q42" s="311">
        <v>7</v>
      </c>
      <c r="R42" s="311"/>
      <c r="S42" s="311"/>
      <c r="T42" s="311"/>
      <c r="U42" s="311"/>
      <c r="V42" s="311">
        <v>1</v>
      </c>
      <c r="W42" s="311">
        <v>1</v>
      </c>
      <c r="X42" s="311"/>
      <c r="Y42" s="311"/>
      <c r="Z42" s="311"/>
      <c r="AA42" s="311"/>
      <c r="AB42" s="311"/>
      <c r="AC42" s="310">
        <f t="shared" ref="AC42:AC47" si="21">SUM(Q42:AB42)</f>
        <v>9</v>
      </c>
      <c r="AD42" s="311"/>
      <c r="AE42" s="311"/>
      <c r="AF42" s="311">
        <v>4</v>
      </c>
      <c r="AG42" s="311">
        <v>1</v>
      </c>
      <c r="AH42" s="311"/>
      <c r="AI42" s="311"/>
      <c r="AJ42" s="311">
        <v>6</v>
      </c>
      <c r="AK42" s="311">
        <v>1</v>
      </c>
      <c r="AL42" s="311">
        <v>1</v>
      </c>
      <c r="AM42" s="311">
        <v>1</v>
      </c>
      <c r="AN42" s="311">
        <v>3</v>
      </c>
      <c r="AO42" s="311"/>
      <c r="AP42" s="310">
        <f t="shared" ref="AP42:AP47" si="22">SUM(AD42:AO42)</f>
        <v>17</v>
      </c>
      <c r="AQ42" s="311"/>
      <c r="AR42" s="311"/>
      <c r="AS42" s="311"/>
      <c r="AT42" s="311">
        <v>2</v>
      </c>
      <c r="AU42" s="311">
        <v>10</v>
      </c>
      <c r="AV42" s="311"/>
      <c r="AW42" s="311">
        <v>1</v>
      </c>
      <c r="AX42" s="311"/>
      <c r="AY42" s="311">
        <v>2</v>
      </c>
      <c r="AZ42" s="311">
        <v>1</v>
      </c>
      <c r="BA42" s="311">
        <v>3</v>
      </c>
      <c r="BB42" s="311">
        <v>1</v>
      </c>
      <c r="BC42" s="310">
        <f t="shared" ref="BC42:BC47" si="23">SUM(AQ42:BB42)</f>
        <v>20</v>
      </c>
      <c r="BD42" s="311">
        <v>1</v>
      </c>
      <c r="BE42" s="311">
        <v>8</v>
      </c>
      <c r="BF42" s="311"/>
      <c r="BG42" s="311">
        <v>2</v>
      </c>
      <c r="BH42" s="311">
        <v>2</v>
      </c>
      <c r="BI42" s="311"/>
      <c r="BJ42" s="311">
        <v>3</v>
      </c>
      <c r="BK42" s="311">
        <v>7</v>
      </c>
      <c r="BL42" s="311"/>
      <c r="BM42" s="311">
        <v>2</v>
      </c>
      <c r="BN42" s="311"/>
      <c r="BO42" s="311">
        <v>6</v>
      </c>
      <c r="BP42" s="310">
        <f t="shared" ref="BP42:BP47" si="24">SUM(BD42:BO42)</f>
        <v>31</v>
      </c>
      <c r="BQ42" s="311">
        <v>2</v>
      </c>
      <c r="BR42" s="311">
        <v>2</v>
      </c>
      <c r="BS42" s="311">
        <v>6</v>
      </c>
      <c r="BT42" s="311"/>
      <c r="BU42" s="311">
        <v>4</v>
      </c>
      <c r="BV42" s="311"/>
      <c r="BW42" s="311"/>
      <c r="BX42" s="311">
        <v>5</v>
      </c>
      <c r="BY42" s="311"/>
      <c r="BZ42" s="311">
        <f>3+1</f>
        <v>4</v>
      </c>
      <c r="CA42" s="311"/>
      <c r="CB42" s="311">
        <v>1</v>
      </c>
      <c r="CC42" s="310">
        <f t="shared" ref="CC42:CC47" si="25">SUM(BQ42:CB42)</f>
        <v>24</v>
      </c>
      <c r="CD42" s="311">
        <v>1</v>
      </c>
      <c r="CE42" s="311">
        <v>1</v>
      </c>
      <c r="CF42" s="311">
        <v>5</v>
      </c>
      <c r="CG42" s="311"/>
      <c r="CH42" s="311">
        <v>3</v>
      </c>
      <c r="CI42" s="311"/>
      <c r="CJ42" s="311">
        <v>8</v>
      </c>
      <c r="CK42" s="311"/>
      <c r="CL42" s="311">
        <f>1+1</f>
        <v>2</v>
      </c>
      <c r="CM42" s="311">
        <f>1+1+1</f>
        <v>3</v>
      </c>
      <c r="CN42" s="311">
        <f>1+2</f>
        <v>3</v>
      </c>
      <c r="CO42" s="311">
        <f>1+1</f>
        <v>2</v>
      </c>
      <c r="CP42" s="310">
        <f t="shared" ref="CP42:CP47" si="26">SUM(CD42:CO42)</f>
        <v>28</v>
      </c>
      <c r="CQ42" s="310">
        <f>vacaciones!E38</f>
        <v>240</v>
      </c>
      <c r="CR42" s="310">
        <f t="shared" ref="CR42:CR47" si="27">C42+P42+AC42+AP42+BC42+BP42+CC42+CP42</f>
        <v>134</v>
      </c>
      <c r="CS42" s="795">
        <f t="shared" si="2"/>
        <v>106</v>
      </c>
    </row>
    <row r="43" spans="1:97" ht="20.25" customHeight="1" x14ac:dyDescent="0.3">
      <c r="A43" s="297">
        <f>+A42+1</f>
        <v>38</v>
      </c>
      <c r="B43" s="312" t="s">
        <v>56</v>
      </c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0">
        <f t="shared" si="0"/>
        <v>0</v>
      </c>
      <c r="Q43" s="311"/>
      <c r="R43" s="311"/>
      <c r="S43" s="311"/>
      <c r="T43" s="311"/>
      <c r="U43" s="311"/>
      <c r="V43" s="311">
        <v>1</v>
      </c>
      <c r="W43" s="311"/>
      <c r="X43" s="311"/>
      <c r="Y43" s="311"/>
      <c r="Z43" s="311">
        <v>1</v>
      </c>
      <c r="AA43" s="311"/>
      <c r="AB43" s="311"/>
      <c r="AC43" s="310">
        <f t="shared" si="21"/>
        <v>2</v>
      </c>
      <c r="AD43" s="311"/>
      <c r="AE43" s="311"/>
      <c r="AF43" s="311"/>
      <c r="AG43" s="311">
        <v>2</v>
      </c>
      <c r="AH43" s="311"/>
      <c r="AI43" s="311">
        <v>1</v>
      </c>
      <c r="AJ43" s="311">
        <v>1</v>
      </c>
      <c r="AK43" s="311"/>
      <c r="AL43" s="311">
        <v>1</v>
      </c>
      <c r="AM43" s="311">
        <v>1</v>
      </c>
      <c r="AN43" s="311">
        <v>1</v>
      </c>
      <c r="AO43" s="311">
        <v>1</v>
      </c>
      <c r="AP43" s="310">
        <f t="shared" si="22"/>
        <v>8</v>
      </c>
      <c r="AQ43" s="311">
        <v>2</v>
      </c>
      <c r="AR43" s="311">
        <v>1</v>
      </c>
      <c r="AS43" s="311"/>
      <c r="AT43" s="311">
        <v>1</v>
      </c>
      <c r="AU43" s="311"/>
      <c r="AV43" s="311"/>
      <c r="AW43" s="311">
        <v>1</v>
      </c>
      <c r="AX43" s="311"/>
      <c r="AY43" s="311"/>
      <c r="AZ43" s="311"/>
      <c r="BA43" s="311">
        <v>1</v>
      </c>
      <c r="BB43" s="311"/>
      <c r="BC43" s="310">
        <f t="shared" si="23"/>
        <v>6</v>
      </c>
      <c r="BD43" s="311"/>
      <c r="BE43" s="309"/>
      <c r="BF43" s="309"/>
      <c r="BG43" s="309"/>
      <c r="BH43" s="309"/>
      <c r="BI43" s="311"/>
      <c r="BJ43" s="311"/>
      <c r="BK43" s="309"/>
      <c r="BL43" s="309"/>
      <c r="BM43" s="309"/>
      <c r="BN43" s="309"/>
      <c r="BO43" s="311">
        <v>6</v>
      </c>
      <c r="BP43" s="310">
        <f t="shared" si="24"/>
        <v>6</v>
      </c>
      <c r="BQ43" s="311"/>
      <c r="BR43" s="311">
        <v>1</v>
      </c>
      <c r="BS43" s="311"/>
      <c r="BT43" s="311"/>
      <c r="BU43" s="311"/>
      <c r="BV43" s="311"/>
      <c r="BW43" s="311"/>
      <c r="BX43" s="311"/>
      <c r="BY43" s="311"/>
      <c r="BZ43" s="311"/>
      <c r="CA43" s="311"/>
      <c r="CB43" s="311"/>
      <c r="CC43" s="310">
        <f t="shared" si="25"/>
        <v>1</v>
      </c>
      <c r="CD43" s="311"/>
      <c r="CE43" s="311"/>
      <c r="CF43" s="311">
        <v>1</v>
      </c>
      <c r="CG43" s="311"/>
      <c r="CH43" s="311"/>
      <c r="CI43" s="311">
        <v>1</v>
      </c>
      <c r="CJ43" s="311">
        <v>1</v>
      </c>
      <c r="CK43" s="311">
        <v>1</v>
      </c>
      <c r="CL43" s="311">
        <v>1</v>
      </c>
      <c r="CM43" s="311">
        <v>2</v>
      </c>
      <c r="CN43" s="311"/>
      <c r="CO43" s="311"/>
      <c r="CP43" s="310">
        <f t="shared" si="26"/>
        <v>7</v>
      </c>
      <c r="CQ43" s="310">
        <f>vacaciones!E39</f>
        <v>150</v>
      </c>
      <c r="CR43" s="310">
        <f t="shared" si="27"/>
        <v>30</v>
      </c>
      <c r="CS43" s="795">
        <f t="shared" si="2"/>
        <v>120</v>
      </c>
    </row>
    <row r="44" spans="1:97" ht="20.25" customHeight="1" x14ac:dyDescent="0.3">
      <c r="A44" s="297">
        <f>+A43+1</f>
        <v>39</v>
      </c>
      <c r="B44" s="312" t="s">
        <v>153</v>
      </c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0">
        <f t="shared" si="0"/>
        <v>0</v>
      </c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0">
        <f t="shared" si="21"/>
        <v>0</v>
      </c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0">
        <f t="shared" si="22"/>
        <v>0</v>
      </c>
      <c r="AQ44" s="311"/>
      <c r="AR44" s="311"/>
      <c r="AS44" s="311"/>
      <c r="AT44" s="311"/>
      <c r="AU44" s="311"/>
      <c r="AV44" s="311"/>
      <c r="AW44" s="311"/>
      <c r="AX44" s="311"/>
      <c r="AY44" s="311"/>
      <c r="AZ44" s="311"/>
      <c r="BA44" s="311"/>
      <c r="BB44" s="311"/>
      <c r="BC44" s="310">
        <f t="shared" si="23"/>
        <v>0</v>
      </c>
      <c r="BD44" s="311"/>
      <c r="BE44" s="309"/>
      <c r="BF44" s="309"/>
      <c r="BG44" s="309"/>
      <c r="BH44" s="309"/>
      <c r="BI44" s="311"/>
      <c r="BJ44" s="311"/>
      <c r="BK44" s="309"/>
      <c r="BL44" s="309"/>
      <c r="BM44" s="309"/>
      <c r="BN44" s="309"/>
      <c r="BO44" s="311"/>
      <c r="BP44" s="310">
        <f t="shared" si="24"/>
        <v>0</v>
      </c>
      <c r="BQ44" s="309"/>
      <c r="BR44" s="311"/>
      <c r="BS44" s="311"/>
      <c r="BT44" s="311"/>
      <c r="BU44" s="311"/>
      <c r="BV44" s="311"/>
      <c r="BW44" s="311"/>
      <c r="BX44" s="311"/>
      <c r="BY44" s="311"/>
      <c r="BZ44" s="311"/>
      <c r="CA44" s="311"/>
      <c r="CB44" s="311"/>
      <c r="CC44" s="310">
        <f t="shared" si="25"/>
        <v>0</v>
      </c>
      <c r="CD44" s="309"/>
      <c r="CE44" s="311"/>
      <c r="CF44" s="311"/>
      <c r="CG44" s="311"/>
      <c r="CH44" s="311"/>
      <c r="CI44" s="311"/>
      <c r="CJ44" s="311"/>
      <c r="CK44" s="311"/>
      <c r="CL44" s="311"/>
      <c r="CM44" s="311"/>
      <c r="CN44" s="311"/>
      <c r="CO44" s="311"/>
      <c r="CP44" s="310">
        <f t="shared" si="26"/>
        <v>0</v>
      </c>
      <c r="CQ44" s="310">
        <f>vacaciones!E40</f>
        <v>30</v>
      </c>
      <c r="CR44" s="310">
        <f t="shared" si="27"/>
        <v>0</v>
      </c>
      <c r="CS44" s="795">
        <f t="shared" si="2"/>
        <v>30</v>
      </c>
    </row>
    <row r="45" spans="1:97" ht="20.25" customHeight="1" x14ac:dyDescent="0.3">
      <c r="A45" s="297">
        <v>40</v>
      </c>
      <c r="B45" s="312" t="s">
        <v>95</v>
      </c>
      <c r="C45" s="311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0">
        <f t="shared" si="0"/>
        <v>0</v>
      </c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0">
        <f t="shared" si="21"/>
        <v>0</v>
      </c>
      <c r="AD45" s="311"/>
      <c r="AE45" s="311"/>
      <c r="AF45" s="311"/>
      <c r="AG45" s="311"/>
      <c r="AH45" s="311"/>
      <c r="AI45" s="311"/>
      <c r="AJ45" s="311"/>
      <c r="AK45" s="311"/>
      <c r="AL45" s="311"/>
      <c r="AM45" s="311"/>
      <c r="AN45" s="311"/>
      <c r="AO45" s="311"/>
      <c r="AP45" s="310">
        <f t="shared" si="22"/>
        <v>0</v>
      </c>
      <c r="AQ45" s="311"/>
      <c r="AR45" s="311"/>
      <c r="AS45" s="311"/>
      <c r="AT45" s="311"/>
      <c r="AU45" s="311"/>
      <c r="AV45" s="311"/>
      <c r="AW45" s="311"/>
      <c r="AX45" s="311"/>
      <c r="AY45" s="311"/>
      <c r="AZ45" s="311"/>
      <c r="BA45" s="311"/>
      <c r="BB45" s="311"/>
      <c r="BC45" s="310">
        <f t="shared" si="23"/>
        <v>0</v>
      </c>
      <c r="BD45" s="311"/>
      <c r="BE45" s="309"/>
      <c r="BF45" s="309"/>
      <c r="BG45" s="309"/>
      <c r="BH45" s="309"/>
      <c r="BI45" s="311"/>
      <c r="BJ45" s="311"/>
      <c r="BK45" s="309"/>
      <c r="BL45" s="309"/>
      <c r="BM45" s="309"/>
      <c r="BN45" s="309"/>
      <c r="BO45" s="311"/>
      <c r="BP45" s="310">
        <f t="shared" si="24"/>
        <v>0</v>
      </c>
      <c r="BQ45" s="309"/>
      <c r="BR45" s="311"/>
      <c r="BS45" s="311">
        <v>6</v>
      </c>
      <c r="BT45" s="311"/>
      <c r="BU45" s="311">
        <v>1</v>
      </c>
      <c r="BV45" s="311"/>
      <c r="BW45" s="311">
        <v>2</v>
      </c>
      <c r="BX45" s="311"/>
      <c r="BY45" s="311">
        <v>7</v>
      </c>
      <c r="BZ45" s="311"/>
      <c r="CA45" s="311"/>
      <c r="CB45" s="311">
        <v>14</v>
      </c>
      <c r="CC45" s="310">
        <f t="shared" si="25"/>
        <v>30</v>
      </c>
      <c r="CD45" s="311"/>
      <c r="CE45" s="311"/>
      <c r="CF45" s="311"/>
      <c r="CG45" s="311"/>
      <c r="CH45" s="311"/>
      <c r="CI45" s="311">
        <v>17</v>
      </c>
      <c r="CJ45" s="311">
        <v>3</v>
      </c>
      <c r="CK45" s="311"/>
      <c r="CL45" s="311"/>
      <c r="CM45" s="311"/>
      <c r="CN45" s="311"/>
      <c r="CO45" s="311">
        <v>13</v>
      </c>
      <c r="CP45" s="310">
        <f t="shared" si="26"/>
        <v>33</v>
      </c>
      <c r="CQ45" s="310">
        <f>vacaciones!E41</f>
        <v>60</v>
      </c>
      <c r="CR45" s="310">
        <f t="shared" si="27"/>
        <v>63</v>
      </c>
      <c r="CS45" s="795">
        <f t="shared" si="2"/>
        <v>-3</v>
      </c>
    </row>
    <row r="46" spans="1:97" s="254" customFormat="1" ht="20.25" customHeight="1" x14ac:dyDescent="0.3">
      <c r="A46" s="297">
        <f>+A45+1</f>
        <v>41</v>
      </c>
      <c r="B46" s="312" t="s">
        <v>109</v>
      </c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0">
        <f t="shared" si="0"/>
        <v>0</v>
      </c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0">
        <f t="shared" si="21"/>
        <v>0</v>
      </c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  <c r="AN46" s="311"/>
      <c r="AO46" s="311"/>
      <c r="AP46" s="310">
        <f t="shared" si="22"/>
        <v>0</v>
      </c>
      <c r="AQ46" s="311"/>
      <c r="AR46" s="311"/>
      <c r="AS46" s="311"/>
      <c r="AT46" s="311"/>
      <c r="AU46" s="311"/>
      <c r="AV46" s="311"/>
      <c r="AW46" s="311"/>
      <c r="AX46" s="311"/>
      <c r="AY46" s="311"/>
      <c r="AZ46" s="311"/>
      <c r="BA46" s="311"/>
      <c r="BB46" s="311"/>
      <c r="BC46" s="310">
        <f t="shared" si="23"/>
        <v>0</v>
      </c>
      <c r="BD46" s="311"/>
      <c r="BE46" s="309"/>
      <c r="BF46" s="309"/>
      <c r="BG46" s="309"/>
      <c r="BH46" s="309"/>
      <c r="BI46" s="311"/>
      <c r="BJ46" s="311"/>
      <c r="BK46" s="309"/>
      <c r="BL46" s="309"/>
      <c r="BM46" s="309"/>
      <c r="BN46" s="309"/>
      <c r="BO46" s="311"/>
      <c r="BP46" s="310">
        <f t="shared" si="24"/>
        <v>0</v>
      </c>
      <c r="BQ46" s="309">
        <v>1</v>
      </c>
      <c r="BR46" s="311"/>
      <c r="BS46" s="311"/>
      <c r="BT46" s="311"/>
      <c r="BU46" s="311"/>
      <c r="BV46" s="311"/>
      <c r="BW46" s="311"/>
      <c r="BX46" s="311"/>
      <c r="BY46" s="311"/>
      <c r="BZ46" s="311"/>
      <c r="CA46" s="311"/>
      <c r="CB46" s="311"/>
      <c r="CC46" s="310">
        <f t="shared" si="25"/>
        <v>1</v>
      </c>
      <c r="CD46" s="311"/>
      <c r="CE46" s="311">
        <v>14</v>
      </c>
      <c r="CF46" s="311"/>
      <c r="CG46" s="311"/>
      <c r="CH46" s="311"/>
      <c r="CI46" s="311"/>
      <c r="CJ46" s="311"/>
      <c r="CK46" s="311"/>
      <c r="CL46" s="311"/>
      <c r="CM46" s="311"/>
      <c r="CN46" s="311"/>
      <c r="CO46" s="311"/>
      <c r="CP46" s="310">
        <f t="shared" si="26"/>
        <v>14</v>
      </c>
      <c r="CQ46" s="310">
        <f>vacaciones!E42</f>
        <v>30</v>
      </c>
      <c r="CR46" s="310">
        <f t="shared" si="27"/>
        <v>15</v>
      </c>
      <c r="CS46" s="795">
        <f t="shared" si="2"/>
        <v>15</v>
      </c>
    </row>
    <row r="47" spans="1:97" ht="20.25" customHeight="1" x14ac:dyDescent="0.3">
      <c r="A47" s="297">
        <f>+A46+1</f>
        <v>42</v>
      </c>
      <c r="B47" s="312" t="s">
        <v>61</v>
      </c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0">
        <f t="shared" si="0"/>
        <v>0</v>
      </c>
      <c r="Q47" s="311"/>
      <c r="R47" s="311"/>
      <c r="S47" s="311"/>
      <c r="T47" s="311"/>
      <c r="U47" s="311"/>
      <c r="V47" s="311"/>
      <c r="W47" s="311"/>
      <c r="X47" s="311"/>
      <c r="Y47" s="311"/>
      <c r="Z47" s="311">
        <v>1</v>
      </c>
      <c r="AA47" s="311"/>
      <c r="AB47" s="311">
        <v>4</v>
      </c>
      <c r="AC47" s="310">
        <f t="shared" si="21"/>
        <v>5</v>
      </c>
      <c r="AD47" s="311"/>
      <c r="AE47" s="311"/>
      <c r="AF47" s="311">
        <v>2</v>
      </c>
      <c r="AG47" s="311"/>
      <c r="AH47" s="311">
        <v>2</v>
      </c>
      <c r="AI47" s="311"/>
      <c r="AJ47" s="311">
        <v>1</v>
      </c>
      <c r="AK47" s="311"/>
      <c r="AL47" s="311"/>
      <c r="AM47" s="311"/>
      <c r="AN47" s="311"/>
      <c r="AO47" s="311">
        <v>15</v>
      </c>
      <c r="AP47" s="310">
        <f t="shared" si="22"/>
        <v>20</v>
      </c>
      <c r="AQ47" s="311"/>
      <c r="AR47" s="311">
        <v>3</v>
      </c>
      <c r="AS47" s="311"/>
      <c r="AT47" s="311">
        <v>2</v>
      </c>
      <c r="AU47" s="311"/>
      <c r="AV47" s="311"/>
      <c r="AW47" s="311"/>
      <c r="AX47" s="311"/>
      <c r="AY47" s="311"/>
      <c r="AZ47" s="311">
        <v>7</v>
      </c>
      <c r="BA47" s="311">
        <v>2</v>
      </c>
      <c r="BB47" s="311">
        <v>11</v>
      </c>
      <c r="BC47" s="310">
        <f t="shared" si="23"/>
        <v>25</v>
      </c>
      <c r="BD47" s="311"/>
      <c r="BE47" s="311"/>
      <c r="BF47" s="311"/>
      <c r="BG47" s="311"/>
      <c r="BH47" s="311">
        <v>1</v>
      </c>
      <c r="BI47" s="311"/>
      <c r="BJ47" s="311">
        <v>7</v>
      </c>
      <c r="BK47" s="311"/>
      <c r="BL47" s="311"/>
      <c r="BM47" s="311">
        <v>2</v>
      </c>
      <c r="BN47" s="311"/>
      <c r="BO47" s="311">
        <v>15</v>
      </c>
      <c r="BP47" s="310">
        <f t="shared" si="24"/>
        <v>25</v>
      </c>
      <c r="BQ47" s="311"/>
      <c r="BR47" s="311"/>
      <c r="BS47" s="311">
        <v>7</v>
      </c>
      <c r="BT47" s="311"/>
      <c r="BU47" s="311">
        <v>1</v>
      </c>
      <c r="BV47" s="311"/>
      <c r="BW47" s="311"/>
      <c r="BX47" s="311">
        <v>3</v>
      </c>
      <c r="BY47" s="311"/>
      <c r="BZ47" s="311"/>
      <c r="CA47" s="311"/>
      <c r="CB47" s="311">
        <v>2</v>
      </c>
      <c r="CC47" s="310">
        <f t="shared" si="25"/>
        <v>13</v>
      </c>
      <c r="CD47" s="311"/>
      <c r="CE47" s="311"/>
      <c r="CF47" s="311">
        <v>2</v>
      </c>
      <c r="CG47" s="311"/>
      <c r="CH47" s="311"/>
      <c r="CI47" s="311"/>
      <c r="CJ47" s="311"/>
      <c r="CK47" s="311"/>
      <c r="CL47" s="311">
        <v>7</v>
      </c>
      <c r="CM47" s="311"/>
      <c r="CN47" s="311"/>
      <c r="CO47" s="311"/>
      <c r="CP47" s="310">
        <f t="shared" si="26"/>
        <v>9</v>
      </c>
      <c r="CQ47" s="310">
        <f>vacaciones!E43</f>
        <v>150</v>
      </c>
      <c r="CR47" s="310">
        <f t="shared" si="27"/>
        <v>97</v>
      </c>
      <c r="CS47" s="795">
        <f t="shared" si="2"/>
        <v>53</v>
      </c>
    </row>
    <row r="48" spans="1:97" x14ac:dyDescent="0.3">
      <c r="A48" s="297"/>
      <c r="CC48" s="253"/>
      <c r="CP48" s="253"/>
      <c r="CQ48" s="253"/>
      <c r="CR48" s="253"/>
      <c r="CS48" s="796"/>
    </row>
    <row r="49" spans="1:98" x14ac:dyDescent="0.3">
      <c r="A49" s="297"/>
      <c r="BP49" s="255"/>
    </row>
    <row r="50" spans="1:98" x14ac:dyDescent="0.3">
      <c r="A50" s="297"/>
      <c r="P50" s="255"/>
    </row>
    <row r="51" spans="1:98" x14ac:dyDescent="0.3">
      <c r="A51" s="297"/>
    </row>
    <row r="52" spans="1:98" x14ac:dyDescent="0.3">
      <c r="P52" s="255"/>
      <c r="CT52" s="316"/>
    </row>
    <row r="54" spans="1:98" x14ac:dyDescent="0.3">
      <c r="CT54" s="316"/>
    </row>
  </sheetData>
  <sheetProtection selectLockedCells="1" selectUnlockedCells="1"/>
  <mergeCells count="13">
    <mergeCell ref="A4:B5"/>
    <mergeCell ref="A1:CS1"/>
    <mergeCell ref="A2:CS2"/>
    <mergeCell ref="AD4:AO4"/>
    <mergeCell ref="Q4:AB4"/>
    <mergeCell ref="D4:O4"/>
    <mergeCell ref="AQ4:BB4"/>
    <mergeCell ref="BD4:BO4"/>
    <mergeCell ref="BQ4:CB4"/>
    <mergeCell ref="CQ4:CQ5"/>
    <mergeCell ref="CS4:CS5"/>
    <mergeCell ref="CD4:CO4"/>
    <mergeCell ref="CR4:CR5"/>
  </mergeCells>
  <printOptions horizontalCentered="1"/>
  <pageMargins left="0.19685039370078741" right="0.19685039370078741" top="0.59055118110236227" bottom="0.39370078740157483" header="0.31496062992125984" footer="0"/>
  <pageSetup paperSize="9" scale="55" firstPageNumber="0" orientation="landscape" verticalDpi="300" r:id="rId1"/>
  <headerFooter alignWithMargins="0"/>
  <ignoredErrors>
    <ignoredError sqref="P42:P43 P34 P31:P32 P36:P40 P17:P29 P12:P15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showGridLines="0" topLeftCell="B1" zoomScale="85" zoomScaleNormal="85" workbookViewId="0">
      <selection activeCell="Q10" sqref="Q10"/>
    </sheetView>
  </sheetViews>
  <sheetFormatPr baseColWidth="10" defaultColWidth="11.42578125" defaultRowHeight="12.75" outlineLevelCol="1" x14ac:dyDescent="0.2"/>
  <cols>
    <col min="1" max="1" width="6.28515625" style="104" customWidth="1"/>
    <col min="2" max="2" width="45.85546875" style="104" customWidth="1"/>
    <col min="3" max="3" width="11.42578125" style="104" hidden="1" customWidth="1" outlineLevel="1"/>
    <col min="4" max="4" width="10" style="104" hidden="1" customWidth="1" outlineLevel="1"/>
    <col min="5" max="5" width="12" style="104" customWidth="1" collapsed="1"/>
    <col min="6" max="6" width="2.7109375" style="104" customWidth="1"/>
    <col min="7" max="7" width="12.140625" style="104" customWidth="1" outlineLevel="1"/>
    <col min="8" max="8" width="5.5703125" style="104" customWidth="1" outlineLevel="1"/>
    <col min="9" max="10" width="9" style="108" customWidth="1" outlineLevel="1"/>
    <col min="11" max="11" width="12" style="108" customWidth="1" outlineLevel="1"/>
    <col min="12" max="13" width="12" style="123" customWidth="1" outlineLevel="1"/>
    <col min="14" max="14" width="14.7109375" style="123" customWidth="1" outlineLevel="1"/>
    <col min="15" max="15" width="14.28515625" style="104" customWidth="1"/>
    <col min="16" max="16" width="15.42578125" style="111" customWidth="1"/>
    <col min="17" max="17" width="12.85546875" style="110" customWidth="1"/>
    <col min="18" max="18" width="10.5703125" style="109" customWidth="1"/>
    <col min="19" max="19" width="16.5703125" style="111" hidden="1" customWidth="1"/>
    <col min="20" max="20" width="15.85546875" style="111" customWidth="1"/>
    <col min="21" max="22" width="11.42578125" style="104"/>
    <col min="23" max="23" width="15.5703125" style="104" customWidth="1"/>
    <col min="24" max="16384" width="11.42578125" style="104"/>
  </cols>
  <sheetData>
    <row r="1" spans="1:23" x14ac:dyDescent="0.2">
      <c r="A1" s="76"/>
      <c r="B1" s="75"/>
      <c r="C1" s="78"/>
      <c r="D1" s="78"/>
      <c r="E1" s="77"/>
      <c r="F1" s="77"/>
      <c r="G1" s="77"/>
      <c r="H1" s="77"/>
      <c r="I1" s="80"/>
      <c r="J1" s="80"/>
      <c r="K1" s="80"/>
      <c r="L1" s="80"/>
      <c r="M1" s="80"/>
      <c r="N1" s="80"/>
      <c r="O1" s="77"/>
      <c r="P1" s="87"/>
      <c r="Q1" s="88"/>
      <c r="R1" s="89"/>
      <c r="S1" s="90"/>
      <c r="T1" s="90"/>
    </row>
    <row r="2" spans="1:23" x14ac:dyDescent="0.2">
      <c r="A2" s="76"/>
      <c r="B2" s="75"/>
      <c r="C2" s="78"/>
      <c r="D2" s="78"/>
      <c r="E2" s="77"/>
      <c r="F2" s="77"/>
      <c r="G2" s="77"/>
      <c r="H2" s="77"/>
      <c r="I2" s="80"/>
      <c r="J2" s="80"/>
      <c r="K2" s="80"/>
      <c r="L2" s="80"/>
      <c r="M2" s="80"/>
      <c r="N2" s="80"/>
      <c r="O2" s="77"/>
      <c r="P2" s="87"/>
      <c r="Q2" s="88"/>
      <c r="R2" s="89"/>
      <c r="S2" s="90"/>
      <c r="T2" s="90"/>
    </row>
    <row r="3" spans="1:23" x14ac:dyDescent="0.2">
      <c r="A3" s="76"/>
      <c r="B3" s="75"/>
      <c r="C3" s="78"/>
      <c r="D3" s="78"/>
      <c r="E3" s="77"/>
      <c r="F3" s="77"/>
      <c r="G3" s="77"/>
      <c r="H3" s="77"/>
      <c r="I3" s="80"/>
      <c r="J3" s="80"/>
      <c r="K3" s="80"/>
      <c r="L3" s="80"/>
      <c r="M3" s="80"/>
      <c r="N3" s="80"/>
      <c r="O3" s="77"/>
      <c r="P3" s="87"/>
      <c r="Q3" s="88"/>
      <c r="R3" s="89"/>
      <c r="S3" s="90"/>
      <c r="T3" s="90"/>
    </row>
    <row r="4" spans="1:23" x14ac:dyDescent="0.2">
      <c r="A4" s="76"/>
      <c r="B4" s="75"/>
      <c r="C4" s="78"/>
      <c r="D4" s="78"/>
      <c r="E4" s="77"/>
      <c r="F4" s="77"/>
      <c r="G4" s="77"/>
      <c r="H4" s="77"/>
      <c r="I4" s="80"/>
      <c r="J4" s="80"/>
      <c r="K4" s="80"/>
      <c r="L4" s="80"/>
      <c r="M4" s="80"/>
      <c r="N4" s="80"/>
      <c r="O4" s="77"/>
      <c r="P4" s="87"/>
      <c r="Q4" s="88"/>
      <c r="R4" s="89"/>
      <c r="S4" s="90"/>
      <c r="T4" s="90"/>
      <c r="V4" s="749"/>
      <c r="W4" s="749"/>
    </row>
    <row r="5" spans="1:23" ht="15.75" customHeight="1" x14ac:dyDescent="0.2">
      <c r="A5" s="1203" t="s">
        <v>167</v>
      </c>
      <c r="B5" s="1203"/>
      <c r="C5" s="1203"/>
      <c r="D5" s="1203"/>
      <c r="E5" s="1203"/>
      <c r="F5" s="1203"/>
      <c r="G5" s="1203"/>
      <c r="H5" s="1203"/>
      <c r="I5" s="1203"/>
      <c r="J5" s="1203"/>
      <c r="K5" s="1203"/>
      <c r="L5" s="1203"/>
      <c r="M5" s="1203"/>
      <c r="N5" s="1203"/>
      <c r="O5" s="1203"/>
      <c r="P5" s="1203"/>
      <c r="Q5" s="1203"/>
      <c r="R5" s="1203"/>
      <c r="S5" s="91"/>
      <c r="T5" s="91"/>
      <c r="V5" s="749"/>
      <c r="W5" s="749"/>
    </row>
    <row r="6" spans="1:23" ht="12.75" customHeight="1" x14ac:dyDescent="0.2">
      <c r="A6" s="1203">
        <f>+'Control de dias gozados 2019'!B2</f>
        <v>0</v>
      </c>
      <c r="B6" s="1203"/>
      <c r="C6" s="1203"/>
      <c r="D6" s="1203"/>
      <c r="E6" s="1203"/>
      <c r="F6" s="1203"/>
      <c r="G6" s="1203"/>
      <c r="H6" s="1203"/>
      <c r="I6" s="1203"/>
      <c r="J6" s="1203"/>
      <c r="K6" s="1203"/>
      <c r="L6" s="1203"/>
      <c r="M6" s="1203"/>
      <c r="N6" s="1203"/>
      <c r="O6" s="1203"/>
      <c r="P6" s="1203"/>
      <c r="Q6" s="1203"/>
      <c r="R6" s="1203"/>
      <c r="S6" s="90"/>
      <c r="T6" s="90"/>
      <c r="V6" s="749"/>
      <c r="W6" s="749"/>
    </row>
    <row r="7" spans="1:23" x14ac:dyDescent="0.2">
      <c r="A7" s="76"/>
      <c r="B7" s="75"/>
      <c r="C7" s="78"/>
      <c r="D7" s="78"/>
      <c r="E7" s="77"/>
      <c r="F7" s="77"/>
      <c r="G7" s="77"/>
      <c r="H7" s="77"/>
      <c r="I7" s="80"/>
      <c r="J7" s="80"/>
      <c r="K7" s="80"/>
      <c r="L7" s="80"/>
      <c r="M7" s="80"/>
      <c r="N7" s="80"/>
      <c r="O7" s="77"/>
      <c r="P7" s="87"/>
      <c r="Q7" s="88"/>
      <c r="R7" s="89"/>
      <c r="S7" s="90"/>
      <c r="T7" s="90"/>
      <c r="V7" s="749"/>
      <c r="W7" s="749"/>
    </row>
    <row r="8" spans="1:23" x14ac:dyDescent="0.2">
      <c r="A8" s="76"/>
      <c r="B8" s="75"/>
      <c r="C8" s="78"/>
      <c r="D8" s="78"/>
      <c r="E8" s="77"/>
      <c r="F8" s="77"/>
      <c r="G8" s="99">
        <v>44134</v>
      </c>
      <c r="H8" s="99"/>
      <c r="I8" s="80"/>
      <c r="J8" s="80"/>
      <c r="K8" s="80"/>
      <c r="L8" s="80"/>
      <c r="M8" s="80"/>
      <c r="N8" s="80"/>
      <c r="O8" s="77"/>
      <c r="P8" s="87"/>
      <c r="Q8" s="92"/>
      <c r="R8" s="89"/>
      <c r="S8" s="90"/>
      <c r="T8" s="90"/>
      <c r="V8" s="749"/>
      <c r="W8" s="750">
        <v>44043</v>
      </c>
    </row>
    <row r="9" spans="1:23" ht="36" x14ac:dyDescent="0.2">
      <c r="A9" s="59" t="s">
        <v>155</v>
      </c>
      <c r="B9" s="59" t="s">
        <v>68</v>
      </c>
      <c r="C9" s="60" t="s">
        <v>0</v>
      </c>
      <c r="D9" s="60" t="s">
        <v>124</v>
      </c>
      <c r="E9" s="60" t="s">
        <v>166</v>
      </c>
      <c r="F9" s="74"/>
      <c r="G9" s="60" t="s">
        <v>165</v>
      </c>
      <c r="H9" s="1201" t="s">
        <v>164</v>
      </c>
      <c r="I9" s="1202"/>
      <c r="J9" s="82" t="s">
        <v>163</v>
      </c>
      <c r="K9" s="82" t="s">
        <v>161</v>
      </c>
      <c r="L9" s="82" t="s">
        <v>173</v>
      </c>
      <c r="M9" s="82" t="s">
        <v>176</v>
      </c>
      <c r="N9" s="82" t="s">
        <v>395</v>
      </c>
      <c r="O9" s="98" t="s">
        <v>171</v>
      </c>
      <c r="P9" s="98" t="s">
        <v>172</v>
      </c>
      <c r="Q9" s="97" t="s">
        <v>158</v>
      </c>
      <c r="R9" s="73" t="s">
        <v>159</v>
      </c>
      <c r="S9" s="84"/>
      <c r="V9" s="749"/>
      <c r="W9" s="751">
        <v>43906</v>
      </c>
    </row>
    <row r="10" spans="1:23" x14ac:dyDescent="0.2">
      <c r="A10" s="61">
        <v>1</v>
      </c>
      <c r="B10" s="62" t="s">
        <v>85</v>
      </c>
      <c r="C10" s="63">
        <v>42736</v>
      </c>
      <c r="D10" s="63">
        <v>42736</v>
      </c>
      <c r="E10" s="63">
        <f>+D10</f>
        <v>42736</v>
      </c>
      <c r="F10" s="100"/>
      <c r="G10" s="113">
        <f>$G$8-E10</f>
        <v>1398</v>
      </c>
      <c r="H10" s="118">
        <v>2.2000000000000002</v>
      </c>
      <c r="I10" s="116">
        <f t="shared" ref="I10:I23" si="0">H10*30</f>
        <v>66</v>
      </c>
      <c r="J10" s="86">
        <v>15</v>
      </c>
      <c r="K10" s="86">
        <v>30</v>
      </c>
      <c r="L10" s="86">
        <v>30</v>
      </c>
      <c r="M10" s="86">
        <v>30</v>
      </c>
      <c r="N10" s="86">
        <v>30</v>
      </c>
      <c r="O10" s="101">
        <f>+G10+I10+J10++K10+L10+M10+N10</f>
        <v>1599</v>
      </c>
      <c r="P10" s="105">
        <f t="shared" ref="P10:P23" si="1">(O10/365)*30</f>
        <v>131.42465753424656</v>
      </c>
      <c r="Q10" s="95" t="e">
        <f>+'Control de dias gozados 2019'!#REF!</f>
        <v>#REF!</v>
      </c>
      <c r="R10" s="351" t="e">
        <f>P10-Q10</f>
        <v>#REF!</v>
      </c>
      <c r="S10" s="353">
        <f>$W$10-I10-J10</f>
        <v>56</v>
      </c>
      <c r="V10" s="749"/>
      <c r="W10" s="752">
        <f>W8-W9</f>
        <v>137</v>
      </c>
    </row>
    <row r="11" spans="1:23" x14ac:dyDescent="0.2">
      <c r="A11" s="64">
        <f t="shared" ref="A11:A46" si="2">+A10+1</f>
        <v>2</v>
      </c>
      <c r="B11" s="66" t="s">
        <v>86</v>
      </c>
      <c r="C11" s="65">
        <v>42979</v>
      </c>
      <c r="D11" s="65">
        <v>42979</v>
      </c>
      <c r="E11" s="63">
        <f t="shared" ref="E11:E17" si="3">+D11</f>
        <v>42979</v>
      </c>
      <c r="F11" s="100"/>
      <c r="G11" s="113">
        <f t="shared" ref="G11:G46" si="4">$G$8-E11</f>
        <v>1155</v>
      </c>
      <c r="H11" s="118">
        <v>1</v>
      </c>
      <c r="I11" s="116">
        <f t="shared" si="0"/>
        <v>30</v>
      </c>
      <c r="J11" s="86">
        <v>15</v>
      </c>
      <c r="K11" s="86">
        <v>30</v>
      </c>
      <c r="L11" s="123">
        <v>30</v>
      </c>
      <c r="M11" s="86">
        <v>30</v>
      </c>
      <c r="N11" s="86">
        <v>30</v>
      </c>
      <c r="O11" s="101">
        <f t="shared" ref="O11:O46" si="5">+G11+I11+J11++K11+L11+M11+N11</f>
        <v>1320</v>
      </c>
      <c r="P11" s="105">
        <f t="shared" si="1"/>
        <v>108.49315068493151</v>
      </c>
      <c r="Q11" s="95" t="e">
        <f>+'Control de dias gozados 2019'!#REF!</f>
        <v>#REF!</v>
      </c>
      <c r="R11" s="351" t="e">
        <f t="shared" ref="R11:R46" si="6">P11-Q11</f>
        <v>#REF!</v>
      </c>
      <c r="S11" s="353">
        <f t="shared" ref="S11:S46" si="7">$W$10-I11-J11</f>
        <v>92</v>
      </c>
      <c r="V11" s="749"/>
      <c r="W11" s="752">
        <f>I11+J11</f>
        <v>45</v>
      </c>
    </row>
    <row r="12" spans="1:23" x14ac:dyDescent="0.2">
      <c r="A12" s="64">
        <f t="shared" si="2"/>
        <v>3</v>
      </c>
      <c r="B12" s="66" t="s">
        <v>49</v>
      </c>
      <c r="C12" s="67"/>
      <c r="D12" s="67">
        <v>41883</v>
      </c>
      <c r="E12" s="63">
        <f t="shared" si="3"/>
        <v>41883</v>
      </c>
      <c r="F12" s="100"/>
      <c r="G12" s="113">
        <f t="shared" si="4"/>
        <v>2251</v>
      </c>
      <c r="H12" s="119">
        <v>1.5</v>
      </c>
      <c r="I12" s="116">
        <f t="shared" si="0"/>
        <v>45</v>
      </c>
      <c r="J12" s="106">
        <v>0</v>
      </c>
      <c r="K12" s="86">
        <v>30</v>
      </c>
      <c r="L12" s="86">
        <v>30</v>
      </c>
      <c r="M12" s="86">
        <v>30</v>
      </c>
      <c r="N12" s="86">
        <v>21</v>
      </c>
      <c r="O12" s="101">
        <f t="shared" si="5"/>
        <v>2407</v>
      </c>
      <c r="P12" s="105">
        <f t="shared" si="1"/>
        <v>197.83561643835617</v>
      </c>
      <c r="Q12" s="95" t="e">
        <f>+'Control de dias gozados 2019'!#REF!</f>
        <v>#REF!</v>
      </c>
      <c r="R12" s="351" t="e">
        <f t="shared" si="6"/>
        <v>#REF!</v>
      </c>
      <c r="S12" s="353">
        <f t="shared" si="7"/>
        <v>92</v>
      </c>
      <c r="V12" s="749"/>
      <c r="W12" s="752">
        <f>W10-W11</f>
        <v>92</v>
      </c>
    </row>
    <row r="13" spans="1:23" x14ac:dyDescent="0.2">
      <c r="A13" s="64">
        <f t="shared" si="2"/>
        <v>4</v>
      </c>
      <c r="B13" s="66" t="s">
        <v>107</v>
      </c>
      <c r="C13" s="67"/>
      <c r="D13" s="67">
        <v>43313</v>
      </c>
      <c r="E13" s="63">
        <f t="shared" si="3"/>
        <v>43313</v>
      </c>
      <c r="F13" s="100"/>
      <c r="G13" s="113">
        <f t="shared" si="4"/>
        <v>821</v>
      </c>
      <c r="H13" s="118">
        <v>1.5</v>
      </c>
      <c r="I13" s="116">
        <f t="shared" si="0"/>
        <v>45</v>
      </c>
      <c r="J13" s="86">
        <v>30</v>
      </c>
      <c r="K13" s="86">
        <v>30</v>
      </c>
      <c r="L13" s="123">
        <v>30</v>
      </c>
      <c r="M13" s="86">
        <v>30</v>
      </c>
      <c r="N13" s="86">
        <v>30</v>
      </c>
      <c r="O13" s="101">
        <f t="shared" si="5"/>
        <v>1016</v>
      </c>
      <c r="P13" s="105">
        <f t="shared" si="1"/>
        <v>83.506849315068493</v>
      </c>
      <c r="Q13" s="95" t="e">
        <f>+'Control de dias gozados 2019'!#REF!</f>
        <v>#REF!</v>
      </c>
      <c r="R13" s="351" t="e">
        <f t="shared" si="6"/>
        <v>#REF!</v>
      </c>
      <c r="S13" s="353">
        <f t="shared" si="7"/>
        <v>62</v>
      </c>
      <c r="V13" s="749"/>
      <c r="W13" s="749"/>
    </row>
    <row r="14" spans="1:23" s="107" customFormat="1" x14ac:dyDescent="0.2">
      <c r="A14" s="64">
        <f t="shared" si="2"/>
        <v>5</v>
      </c>
      <c r="B14" s="66" t="s">
        <v>16</v>
      </c>
      <c r="C14" s="67" t="s">
        <v>106</v>
      </c>
      <c r="D14" s="67">
        <v>43556</v>
      </c>
      <c r="E14" s="63">
        <f t="shared" si="3"/>
        <v>43556</v>
      </c>
      <c r="F14" s="100"/>
      <c r="G14" s="113">
        <f t="shared" si="4"/>
        <v>578</v>
      </c>
      <c r="H14" s="120">
        <v>1.45</v>
      </c>
      <c r="I14" s="116">
        <f t="shared" si="0"/>
        <v>43.5</v>
      </c>
      <c r="J14" s="86">
        <v>30</v>
      </c>
      <c r="K14" s="86">
        <v>30</v>
      </c>
      <c r="L14" s="86"/>
      <c r="M14" s="86">
        <v>30</v>
      </c>
      <c r="N14" s="86">
        <v>30</v>
      </c>
      <c r="O14" s="101">
        <f t="shared" si="5"/>
        <v>741.5</v>
      </c>
      <c r="P14" s="105">
        <f t="shared" si="1"/>
        <v>60.945205479452049</v>
      </c>
      <c r="Q14" s="95" t="e">
        <f>+'Control de dias gozados 2019'!#REF!</f>
        <v>#REF!</v>
      </c>
      <c r="R14" s="351" t="e">
        <f t="shared" si="6"/>
        <v>#REF!</v>
      </c>
      <c r="S14" s="353">
        <f t="shared" si="7"/>
        <v>63.5</v>
      </c>
      <c r="T14" s="88"/>
      <c r="V14" s="753"/>
      <c r="W14" s="753"/>
    </row>
    <row r="15" spans="1:23" x14ac:dyDescent="0.2">
      <c r="A15" s="64">
        <f t="shared" si="2"/>
        <v>6</v>
      </c>
      <c r="B15" s="66" t="s">
        <v>57</v>
      </c>
      <c r="C15" s="67">
        <v>41365</v>
      </c>
      <c r="D15" s="67">
        <v>41365</v>
      </c>
      <c r="E15" s="63">
        <f t="shared" si="3"/>
        <v>41365</v>
      </c>
      <c r="F15" s="100"/>
      <c r="G15" s="113">
        <f t="shared" si="4"/>
        <v>2769</v>
      </c>
      <c r="H15" s="118">
        <v>2.2000000000000002</v>
      </c>
      <c r="I15" s="116">
        <f t="shared" si="0"/>
        <v>66</v>
      </c>
      <c r="J15" s="86">
        <v>30</v>
      </c>
      <c r="K15" s="86">
        <v>30</v>
      </c>
      <c r="L15" s="123">
        <v>30</v>
      </c>
      <c r="M15" s="86">
        <v>30</v>
      </c>
      <c r="N15" s="86">
        <v>30</v>
      </c>
      <c r="O15" s="101">
        <f t="shared" si="5"/>
        <v>2985</v>
      </c>
      <c r="P15" s="105">
        <f t="shared" si="1"/>
        <v>245.34246575342468</v>
      </c>
      <c r="Q15" s="95" t="e">
        <f>+'Control de dias gozados 2019'!#REF!</f>
        <v>#REF!</v>
      </c>
      <c r="R15" s="351" t="e">
        <f t="shared" si="6"/>
        <v>#REF!</v>
      </c>
      <c r="S15" s="353">
        <f t="shared" si="7"/>
        <v>41</v>
      </c>
      <c r="T15" s="93"/>
    </row>
    <row r="16" spans="1:23" x14ac:dyDescent="0.2">
      <c r="A16" s="64">
        <f t="shared" si="2"/>
        <v>7</v>
      </c>
      <c r="B16" s="66" t="s">
        <v>18</v>
      </c>
      <c r="C16" s="67">
        <v>38504</v>
      </c>
      <c r="D16" s="67">
        <v>40544</v>
      </c>
      <c r="E16" s="63">
        <f t="shared" si="3"/>
        <v>40544</v>
      </c>
      <c r="F16" s="100"/>
      <c r="G16" s="113">
        <f t="shared" si="4"/>
        <v>3590</v>
      </c>
      <c r="H16" s="118">
        <v>1.5</v>
      </c>
      <c r="I16" s="116">
        <f t="shared" si="0"/>
        <v>45</v>
      </c>
      <c r="J16" s="86">
        <v>30</v>
      </c>
      <c r="K16" s="86">
        <v>30</v>
      </c>
      <c r="L16" s="86">
        <v>30</v>
      </c>
      <c r="M16" s="86">
        <v>30</v>
      </c>
      <c r="N16" s="86">
        <v>30</v>
      </c>
      <c r="O16" s="101">
        <f t="shared" si="5"/>
        <v>3785</v>
      </c>
      <c r="P16" s="105">
        <f t="shared" si="1"/>
        <v>311.09589041095893</v>
      </c>
      <c r="Q16" s="95" t="e">
        <f>+'Control de dias gozados 2019'!#REF!</f>
        <v>#REF!</v>
      </c>
      <c r="R16" s="351" t="e">
        <f t="shared" si="6"/>
        <v>#REF!</v>
      </c>
      <c r="S16" s="353">
        <f t="shared" si="7"/>
        <v>62</v>
      </c>
      <c r="T16" s="93"/>
    </row>
    <row r="17" spans="1:20" x14ac:dyDescent="0.2">
      <c r="A17" s="64">
        <f t="shared" si="2"/>
        <v>8</v>
      </c>
      <c r="B17" s="66" t="s">
        <v>19</v>
      </c>
      <c r="C17" s="67">
        <v>40210</v>
      </c>
      <c r="D17" s="67">
        <v>40603</v>
      </c>
      <c r="E17" s="63">
        <f t="shared" si="3"/>
        <v>40603</v>
      </c>
      <c r="F17" s="100"/>
      <c r="G17" s="113">
        <f t="shared" si="4"/>
        <v>3531</v>
      </c>
      <c r="H17" s="118">
        <v>2.1</v>
      </c>
      <c r="I17" s="116">
        <f t="shared" si="0"/>
        <v>63</v>
      </c>
      <c r="J17" s="86">
        <v>30</v>
      </c>
      <c r="K17" s="86">
        <v>30</v>
      </c>
      <c r="L17" s="123">
        <v>30</v>
      </c>
      <c r="M17" s="86">
        <v>30</v>
      </c>
      <c r="N17" s="86">
        <v>30</v>
      </c>
      <c r="O17" s="101">
        <f t="shared" si="5"/>
        <v>3744</v>
      </c>
      <c r="P17" s="105">
        <f t="shared" si="1"/>
        <v>307.72602739726028</v>
      </c>
      <c r="Q17" s="95" t="e">
        <f>+'Control de dias gozados 2019'!#REF!</f>
        <v>#REF!</v>
      </c>
      <c r="R17" s="351" t="e">
        <f t="shared" si="6"/>
        <v>#REF!</v>
      </c>
      <c r="S17" s="353">
        <f t="shared" si="7"/>
        <v>44</v>
      </c>
      <c r="T17" s="93"/>
    </row>
    <row r="18" spans="1:20" x14ac:dyDescent="0.2">
      <c r="A18" s="64">
        <f t="shared" si="2"/>
        <v>9</v>
      </c>
      <c r="B18" s="66" t="s">
        <v>20</v>
      </c>
      <c r="C18" s="67">
        <v>38565</v>
      </c>
      <c r="D18" s="67">
        <v>39630</v>
      </c>
      <c r="E18" s="67">
        <v>40725</v>
      </c>
      <c r="F18" s="102"/>
      <c r="G18" s="113">
        <f t="shared" si="4"/>
        <v>3409</v>
      </c>
      <c r="H18" s="119">
        <v>1.5</v>
      </c>
      <c r="I18" s="116">
        <f t="shared" si="0"/>
        <v>45</v>
      </c>
      <c r="J18" s="86">
        <v>30</v>
      </c>
      <c r="K18" s="86">
        <v>30</v>
      </c>
      <c r="L18" s="86">
        <v>30</v>
      </c>
      <c r="M18" s="86">
        <v>30</v>
      </c>
      <c r="N18" s="86">
        <v>30</v>
      </c>
      <c r="O18" s="101">
        <f t="shared" si="5"/>
        <v>3604</v>
      </c>
      <c r="P18" s="105">
        <f t="shared" si="1"/>
        <v>296.21917808219177</v>
      </c>
      <c r="Q18" s="95" t="e">
        <f>+'Control de dias gozados 2019'!#REF!</f>
        <v>#REF!</v>
      </c>
      <c r="R18" s="351" t="e">
        <f t="shared" si="6"/>
        <v>#REF!</v>
      </c>
      <c r="S18" s="353">
        <f t="shared" si="7"/>
        <v>62</v>
      </c>
      <c r="T18" s="93"/>
    </row>
    <row r="19" spans="1:20" x14ac:dyDescent="0.2">
      <c r="A19" s="64">
        <f t="shared" si="2"/>
        <v>10</v>
      </c>
      <c r="B19" s="66" t="s">
        <v>50</v>
      </c>
      <c r="C19" s="67">
        <v>38565</v>
      </c>
      <c r="D19" s="67">
        <v>39203</v>
      </c>
      <c r="E19" s="67">
        <v>40664</v>
      </c>
      <c r="F19" s="102"/>
      <c r="G19" s="113">
        <f t="shared" si="4"/>
        <v>3470</v>
      </c>
      <c r="H19" s="119">
        <v>0.5</v>
      </c>
      <c r="I19" s="116">
        <f t="shared" si="0"/>
        <v>15</v>
      </c>
      <c r="J19" s="86">
        <v>30</v>
      </c>
      <c r="K19" s="86">
        <v>30</v>
      </c>
      <c r="L19" s="123">
        <v>30</v>
      </c>
      <c r="M19" s="86">
        <v>30</v>
      </c>
      <c r="N19" s="86">
        <v>30</v>
      </c>
      <c r="O19" s="101">
        <f t="shared" si="5"/>
        <v>3635</v>
      </c>
      <c r="P19" s="105">
        <f t="shared" si="1"/>
        <v>298.76712328767121</v>
      </c>
      <c r="Q19" s="95" t="e">
        <f>+'Control de dias gozados 2019'!#REF!</f>
        <v>#REF!</v>
      </c>
      <c r="R19" s="351" t="e">
        <f t="shared" si="6"/>
        <v>#REF!</v>
      </c>
      <c r="S19" s="353">
        <f t="shared" si="7"/>
        <v>92</v>
      </c>
      <c r="T19" s="93"/>
    </row>
    <row r="20" spans="1:20" x14ac:dyDescent="0.2">
      <c r="A20" s="64">
        <f t="shared" si="2"/>
        <v>11</v>
      </c>
      <c r="B20" s="66" t="s">
        <v>74</v>
      </c>
      <c r="C20" s="67">
        <v>39814</v>
      </c>
      <c r="D20" s="67">
        <v>43862</v>
      </c>
      <c r="E20" s="67">
        <f>+D20</f>
        <v>43862</v>
      </c>
      <c r="F20" s="102"/>
      <c r="G20" s="113">
        <f t="shared" si="4"/>
        <v>272</v>
      </c>
      <c r="H20" s="118">
        <v>0</v>
      </c>
      <c r="I20" s="117">
        <f t="shared" si="0"/>
        <v>0</v>
      </c>
      <c r="J20" s="106">
        <v>0</v>
      </c>
      <c r="K20" s="86">
        <v>30</v>
      </c>
      <c r="L20" s="86">
        <v>30</v>
      </c>
      <c r="M20" s="86">
        <v>30</v>
      </c>
      <c r="N20" s="86">
        <v>30</v>
      </c>
      <c r="O20" s="101">
        <f t="shared" si="5"/>
        <v>392</v>
      </c>
      <c r="P20" s="105">
        <f t="shared" si="1"/>
        <v>32.219178082191782</v>
      </c>
      <c r="Q20" s="95" t="e">
        <f>+'Control de dias gozados 2019'!#REF!</f>
        <v>#REF!</v>
      </c>
      <c r="R20" s="351" t="e">
        <f t="shared" si="6"/>
        <v>#REF!</v>
      </c>
      <c r="S20" s="353">
        <f t="shared" si="7"/>
        <v>137</v>
      </c>
      <c r="T20" s="93"/>
    </row>
    <row r="21" spans="1:20" x14ac:dyDescent="0.2">
      <c r="A21" s="64">
        <f t="shared" si="2"/>
        <v>12</v>
      </c>
      <c r="B21" s="66" t="s">
        <v>22</v>
      </c>
      <c r="C21" s="67"/>
      <c r="D21" s="67">
        <v>40452</v>
      </c>
      <c r="E21" s="67">
        <v>40817</v>
      </c>
      <c r="F21" s="102"/>
      <c r="G21" s="113">
        <f t="shared" si="4"/>
        <v>3317</v>
      </c>
      <c r="H21" s="118">
        <v>0.5</v>
      </c>
      <c r="I21" s="116">
        <f t="shared" si="0"/>
        <v>15</v>
      </c>
      <c r="J21" s="86">
        <v>30</v>
      </c>
      <c r="K21" s="86">
        <v>30</v>
      </c>
      <c r="L21" s="123">
        <v>30</v>
      </c>
      <c r="M21" s="86">
        <v>30</v>
      </c>
      <c r="N21" s="86">
        <v>30</v>
      </c>
      <c r="O21" s="101">
        <f t="shared" si="5"/>
        <v>3482</v>
      </c>
      <c r="P21" s="105">
        <f t="shared" si="1"/>
        <v>286.1917808219178</v>
      </c>
      <c r="Q21" s="95" t="e">
        <f>+'Control de dias gozados 2019'!#REF!</f>
        <v>#REF!</v>
      </c>
      <c r="R21" s="351" t="e">
        <f t="shared" si="6"/>
        <v>#REF!</v>
      </c>
      <c r="S21" s="353">
        <f t="shared" si="7"/>
        <v>92</v>
      </c>
      <c r="T21" s="93"/>
    </row>
    <row r="22" spans="1:20" x14ac:dyDescent="0.2">
      <c r="A22" s="64">
        <f t="shared" si="2"/>
        <v>13</v>
      </c>
      <c r="B22" s="66" t="s">
        <v>21</v>
      </c>
      <c r="C22" s="67">
        <v>40634</v>
      </c>
      <c r="D22" s="67">
        <v>43862</v>
      </c>
      <c r="E22" s="67">
        <f t="shared" ref="E22:E27" si="8">+D22</f>
        <v>43862</v>
      </c>
      <c r="F22" s="102"/>
      <c r="G22" s="113">
        <f t="shared" si="4"/>
        <v>272</v>
      </c>
      <c r="H22" s="118">
        <v>0</v>
      </c>
      <c r="I22" s="117">
        <f t="shared" si="0"/>
        <v>0</v>
      </c>
      <c r="J22" s="106">
        <v>0</v>
      </c>
      <c r="K22" s="86">
        <v>30</v>
      </c>
      <c r="L22" s="86">
        <v>30</v>
      </c>
      <c r="M22" s="86">
        <v>30</v>
      </c>
      <c r="N22" s="86">
        <v>30</v>
      </c>
      <c r="O22" s="101">
        <f t="shared" si="5"/>
        <v>392</v>
      </c>
      <c r="P22" s="105">
        <f t="shared" si="1"/>
        <v>32.219178082191782</v>
      </c>
      <c r="Q22" s="95" t="e">
        <f>+'Control de dias gozados 2019'!#REF!</f>
        <v>#REF!</v>
      </c>
      <c r="R22" s="351" t="e">
        <f t="shared" si="6"/>
        <v>#REF!</v>
      </c>
      <c r="S22" s="353">
        <f t="shared" si="7"/>
        <v>137</v>
      </c>
      <c r="T22" s="93"/>
    </row>
    <row r="23" spans="1:20" s="107" customFormat="1" x14ac:dyDescent="0.2">
      <c r="A23" s="64">
        <f t="shared" si="2"/>
        <v>14</v>
      </c>
      <c r="B23" s="66" t="s">
        <v>126</v>
      </c>
      <c r="C23" s="67">
        <v>39142</v>
      </c>
      <c r="D23" s="67">
        <v>43466</v>
      </c>
      <c r="E23" s="67">
        <f t="shared" si="8"/>
        <v>43466</v>
      </c>
      <c r="F23" s="102"/>
      <c r="G23" s="113">
        <f t="shared" si="4"/>
        <v>668</v>
      </c>
      <c r="H23" s="120">
        <v>1.375</v>
      </c>
      <c r="I23" s="116">
        <f t="shared" si="0"/>
        <v>41.25</v>
      </c>
      <c r="J23" s="106">
        <v>0</v>
      </c>
      <c r="K23" s="86">
        <v>30</v>
      </c>
      <c r="L23" s="86">
        <v>2</v>
      </c>
      <c r="M23" s="86"/>
      <c r="N23" s="86"/>
      <c r="O23" s="101">
        <f t="shared" si="5"/>
        <v>741.25</v>
      </c>
      <c r="P23" s="105">
        <f t="shared" si="1"/>
        <v>60.924657534246577</v>
      </c>
      <c r="Q23" s="95" t="e">
        <f>+'Control de dias gozados 2019'!#REF!</f>
        <v>#REF!</v>
      </c>
      <c r="R23" s="351" t="e">
        <f t="shared" si="6"/>
        <v>#REF!</v>
      </c>
      <c r="S23" s="353">
        <f t="shared" si="7"/>
        <v>95.75</v>
      </c>
      <c r="T23" s="88"/>
    </row>
    <row r="24" spans="1:20" x14ac:dyDescent="0.2">
      <c r="A24" s="64">
        <f t="shared" si="2"/>
        <v>15</v>
      </c>
      <c r="B24" s="66" t="s">
        <v>156</v>
      </c>
      <c r="C24" s="67"/>
      <c r="D24" s="67">
        <v>40238</v>
      </c>
      <c r="E24" s="67">
        <f t="shared" si="8"/>
        <v>40238</v>
      </c>
      <c r="F24" s="102"/>
      <c r="G24" s="113"/>
      <c r="H24" s="118">
        <v>2.2000000000000002</v>
      </c>
      <c r="I24" s="116"/>
      <c r="J24" s="86"/>
      <c r="K24" s="86">
        <v>30</v>
      </c>
      <c r="L24" s="86"/>
      <c r="M24" s="86"/>
      <c r="N24" s="86"/>
      <c r="O24" s="101">
        <f t="shared" si="5"/>
        <v>30</v>
      </c>
      <c r="P24" s="105"/>
      <c r="Q24" s="95"/>
      <c r="R24" s="351"/>
      <c r="S24" s="353">
        <f t="shared" si="7"/>
        <v>137</v>
      </c>
      <c r="T24" s="93"/>
    </row>
    <row r="25" spans="1:20" s="107" customFormat="1" x14ac:dyDescent="0.2">
      <c r="A25" s="64">
        <f t="shared" si="2"/>
        <v>16</v>
      </c>
      <c r="B25" s="66" t="s">
        <v>149</v>
      </c>
      <c r="C25" s="67">
        <v>39142</v>
      </c>
      <c r="D25" s="67">
        <v>43789</v>
      </c>
      <c r="E25" s="67">
        <f t="shared" si="8"/>
        <v>43789</v>
      </c>
      <c r="F25" s="102"/>
      <c r="G25" s="113">
        <f t="shared" si="4"/>
        <v>345</v>
      </c>
      <c r="H25" s="120">
        <v>1.25</v>
      </c>
      <c r="I25" s="116">
        <f t="shared" ref="I25:I30" si="9">H25*30</f>
        <v>37.5</v>
      </c>
      <c r="J25" s="86">
        <v>30</v>
      </c>
      <c r="K25" s="86">
        <v>30</v>
      </c>
      <c r="L25" s="123">
        <v>18</v>
      </c>
      <c r="M25" s="86">
        <v>7</v>
      </c>
      <c r="N25" s="86">
        <v>30</v>
      </c>
      <c r="O25" s="101">
        <f t="shared" si="5"/>
        <v>497.5</v>
      </c>
      <c r="P25" s="105">
        <f t="shared" ref="P25:P30" si="10">(O25/365)*30</f>
        <v>40.890410958904106</v>
      </c>
      <c r="Q25" s="95" t="e">
        <f>+'Control de dias gozados 2019'!#REF!</f>
        <v>#REF!</v>
      </c>
      <c r="R25" s="351" t="e">
        <f t="shared" si="6"/>
        <v>#REF!</v>
      </c>
      <c r="S25" s="353">
        <f t="shared" si="7"/>
        <v>69.5</v>
      </c>
      <c r="T25" s="88"/>
    </row>
    <row r="26" spans="1:20" x14ac:dyDescent="0.2">
      <c r="A26" s="64">
        <f t="shared" si="2"/>
        <v>17</v>
      </c>
      <c r="B26" s="66" t="s">
        <v>51</v>
      </c>
      <c r="C26" s="67">
        <v>39142</v>
      </c>
      <c r="D26" s="67">
        <v>41821</v>
      </c>
      <c r="E26" s="67">
        <f t="shared" si="8"/>
        <v>41821</v>
      </c>
      <c r="F26" s="102"/>
      <c r="G26" s="113">
        <f t="shared" si="4"/>
        <v>2313</v>
      </c>
      <c r="H26" s="118">
        <v>2</v>
      </c>
      <c r="I26" s="116">
        <f t="shared" si="9"/>
        <v>60</v>
      </c>
      <c r="J26" s="106">
        <v>0</v>
      </c>
      <c r="K26" s="86">
        <v>30</v>
      </c>
      <c r="L26" s="86">
        <v>30</v>
      </c>
      <c r="M26" s="86">
        <v>30</v>
      </c>
      <c r="N26" s="86">
        <v>30</v>
      </c>
      <c r="O26" s="101">
        <f t="shared" si="5"/>
        <v>2493</v>
      </c>
      <c r="P26" s="105">
        <f t="shared" si="10"/>
        <v>204.9041095890411</v>
      </c>
      <c r="Q26" s="95" t="e">
        <f>+'Control de dias gozados 2019'!#REF!</f>
        <v>#REF!</v>
      </c>
      <c r="R26" s="351" t="e">
        <f t="shared" si="6"/>
        <v>#REF!</v>
      </c>
      <c r="S26" s="353">
        <f t="shared" si="7"/>
        <v>77</v>
      </c>
      <c r="T26" s="93"/>
    </row>
    <row r="27" spans="1:20" x14ac:dyDescent="0.2">
      <c r="A27" s="64">
        <f t="shared" si="2"/>
        <v>18</v>
      </c>
      <c r="B27" s="66" t="s">
        <v>162</v>
      </c>
      <c r="C27" s="67">
        <v>39142</v>
      </c>
      <c r="D27" s="67">
        <v>43556</v>
      </c>
      <c r="E27" s="67">
        <f t="shared" si="8"/>
        <v>43556</v>
      </c>
      <c r="F27" s="102"/>
      <c r="G27" s="113">
        <f t="shared" si="4"/>
        <v>578</v>
      </c>
      <c r="H27" s="118">
        <v>2.1</v>
      </c>
      <c r="I27" s="116">
        <f t="shared" si="9"/>
        <v>63</v>
      </c>
      <c r="J27" s="86">
        <v>30</v>
      </c>
      <c r="K27" s="86">
        <v>30</v>
      </c>
      <c r="L27" s="123">
        <v>30</v>
      </c>
      <c r="M27" s="86">
        <v>30</v>
      </c>
      <c r="N27" s="86">
        <v>30</v>
      </c>
      <c r="O27" s="101">
        <f t="shared" si="5"/>
        <v>791</v>
      </c>
      <c r="P27" s="105">
        <f t="shared" si="10"/>
        <v>65.013698630136986</v>
      </c>
      <c r="Q27" s="95" t="e">
        <f>+'Control de dias gozados 2019'!#REF!</f>
        <v>#REF!</v>
      </c>
      <c r="R27" s="351" t="e">
        <f t="shared" si="6"/>
        <v>#REF!</v>
      </c>
      <c r="S27" s="353">
        <f t="shared" si="7"/>
        <v>44</v>
      </c>
      <c r="T27" s="93"/>
    </row>
    <row r="28" spans="1:20" x14ac:dyDescent="0.2">
      <c r="A28" s="64">
        <f t="shared" si="2"/>
        <v>19</v>
      </c>
      <c r="B28" s="66" t="s">
        <v>110</v>
      </c>
      <c r="C28" s="65"/>
      <c r="D28" s="65">
        <v>39173</v>
      </c>
      <c r="E28" s="65">
        <v>40634</v>
      </c>
      <c r="F28" s="103"/>
      <c r="G28" s="113">
        <f t="shared" si="4"/>
        <v>3500</v>
      </c>
      <c r="H28" s="118">
        <v>2.2000000000000002</v>
      </c>
      <c r="I28" s="116">
        <f t="shared" si="9"/>
        <v>66</v>
      </c>
      <c r="J28" s="86">
        <v>30</v>
      </c>
      <c r="K28" s="86">
        <v>30</v>
      </c>
      <c r="L28" s="86">
        <v>30</v>
      </c>
      <c r="M28" s="86">
        <v>30</v>
      </c>
      <c r="N28" s="86">
        <v>30</v>
      </c>
      <c r="O28" s="101">
        <f t="shared" si="5"/>
        <v>3716</v>
      </c>
      <c r="P28" s="105">
        <f t="shared" si="10"/>
        <v>305.42465753424653</v>
      </c>
      <c r="Q28" s="95" t="e">
        <f>+'Control de dias gozados 2019'!#REF!</f>
        <v>#REF!</v>
      </c>
      <c r="R28" s="351" t="e">
        <f t="shared" si="6"/>
        <v>#REF!</v>
      </c>
      <c r="S28" s="353">
        <f t="shared" si="7"/>
        <v>41</v>
      </c>
      <c r="T28" s="93"/>
    </row>
    <row r="29" spans="1:20" x14ac:dyDescent="0.2">
      <c r="A29" s="64">
        <f t="shared" si="2"/>
        <v>20</v>
      </c>
      <c r="B29" s="66" t="s">
        <v>52</v>
      </c>
      <c r="C29" s="67"/>
      <c r="D29" s="67">
        <v>39630</v>
      </c>
      <c r="E29" s="67">
        <v>40725</v>
      </c>
      <c r="F29" s="102"/>
      <c r="G29" s="113">
        <f t="shared" si="4"/>
        <v>3409</v>
      </c>
      <c r="H29" s="118">
        <v>2.2000000000000002</v>
      </c>
      <c r="I29" s="116">
        <f t="shared" si="9"/>
        <v>66</v>
      </c>
      <c r="J29" s="86">
        <v>15</v>
      </c>
      <c r="K29" s="86">
        <v>30</v>
      </c>
      <c r="L29" s="123">
        <v>30</v>
      </c>
      <c r="M29" s="86">
        <v>30</v>
      </c>
      <c r="N29" s="86">
        <v>30</v>
      </c>
      <c r="O29" s="101">
        <f t="shared" si="5"/>
        <v>3610</v>
      </c>
      <c r="P29" s="105">
        <f t="shared" si="10"/>
        <v>296.71232876712327</v>
      </c>
      <c r="Q29" s="95" t="e">
        <f>+'Control de dias gozados 2019'!#REF!</f>
        <v>#REF!</v>
      </c>
      <c r="R29" s="351" t="e">
        <f t="shared" si="6"/>
        <v>#REF!</v>
      </c>
      <c r="S29" s="353">
        <f t="shared" si="7"/>
        <v>56</v>
      </c>
      <c r="T29" s="93"/>
    </row>
    <row r="30" spans="1:20" x14ac:dyDescent="0.2">
      <c r="A30" s="64">
        <f t="shared" si="2"/>
        <v>21</v>
      </c>
      <c r="B30" s="66" t="s">
        <v>53</v>
      </c>
      <c r="C30" s="67"/>
      <c r="D30" s="67">
        <v>40909</v>
      </c>
      <c r="E30" s="67">
        <f t="shared" ref="E30:E46" si="11">+D30</f>
        <v>40909</v>
      </c>
      <c r="F30" s="102"/>
      <c r="G30" s="113">
        <f t="shared" si="4"/>
        <v>3225</v>
      </c>
      <c r="H30" s="119">
        <v>2</v>
      </c>
      <c r="I30" s="116">
        <f t="shared" si="9"/>
        <v>60</v>
      </c>
      <c r="J30" s="86">
        <v>30</v>
      </c>
      <c r="K30" s="86">
        <v>30</v>
      </c>
      <c r="L30" s="86">
        <v>30</v>
      </c>
      <c r="M30" s="86">
        <v>30</v>
      </c>
      <c r="N30" s="86">
        <v>30</v>
      </c>
      <c r="O30" s="101">
        <f t="shared" si="5"/>
        <v>3435</v>
      </c>
      <c r="P30" s="105">
        <f t="shared" si="10"/>
        <v>282.32876712328772</v>
      </c>
      <c r="Q30" s="95" t="e">
        <f>+'Control de dias gozados 2019'!#REF!</f>
        <v>#REF!</v>
      </c>
      <c r="R30" s="351" t="e">
        <f t="shared" si="6"/>
        <v>#REF!</v>
      </c>
      <c r="S30" s="353">
        <f t="shared" si="7"/>
        <v>47</v>
      </c>
      <c r="T30" s="93"/>
    </row>
    <row r="31" spans="1:20" x14ac:dyDescent="0.2">
      <c r="A31" s="64">
        <f t="shared" si="2"/>
        <v>22</v>
      </c>
      <c r="B31" s="66" t="s">
        <v>157</v>
      </c>
      <c r="C31" s="67"/>
      <c r="D31" s="67">
        <v>39173</v>
      </c>
      <c r="E31" s="67">
        <f t="shared" si="11"/>
        <v>39173</v>
      </c>
      <c r="F31" s="102"/>
      <c r="G31" s="113"/>
      <c r="H31" s="118">
        <v>2.2000000000000002</v>
      </c>
      <c r="I31" s="116"/>
      <c r="J31" s="86"/>
      <c r="K31" s="86">
        <v>30</v>
      </c>
      <c r="M31" s="86"/>
      <c r="N31" s="86"/>
      <c r="O31" s="101">
        <f t="shared" si="5"/>
        <v>30</v>
      </c>
      <c r="P31" s="105"/>
      <c r="Q31" s="95"/>
      <c r="R31" s="351"/>
      <c r="S31" s="353">
        <f t="shared" si="7"/>
        <v>137</v>
      </c>
      <c r="T31" s="93"/>
    </row>
    <row r="32" spans="1:20" x14ac:dyDescent="0.2">
      <c r="A32" s="64">
        <f t="shared" si="2"/>
        <v>23</v>
      </c>
      <c r="B32" s="66" t="s">
        <v>108</v>
      </c>
      <c r="C32" s="67"/>
      <c r="D32" s="67">
        <v>43374</v>
      </c>
      <c r="E32" s="67">
        <f t="shared" si="11"/>
        <v>43374</v>
      </c>
      <c r="F32" s="102"/>
      <c r="G32" s="113">
        <f t="shared" si="4"/>
        <v>760</v>
      </c>
      <c r="H32" s="118">
        <v>2</v>
      </c>
      <c r="I32" s="116">
        <f t="shared" ref="I32:I46" si="12">H32*30</f>
        <v>60</v>
      </c>
      <c r="J32" s="86">
        <v>30</v>
      </c>
      <c r="K32" s="86">
        <v>30</v>
      </c>
      <c r="L32" s="86">
        <v>30</v>
      </c>
      <c r="M32" s="86">
        <v>30</v>
      </c>
      <c r="N32" s="86">
        <v>30</v>
      </c>
      <c r="O32" s="101">
        <f t="shared" si="5"/>
        <v>970</v>
      </c>
      <c r="P32" s="105">
        <f t="shared" ref="P32:P46" si="13">(O32/365)*30</f>
        <v>79.726027397260268</v>
      </c>
      <c r="Q32" s="95" t="e">
        <f>+'Control de dias gozados 2019'!#REF!</f>
        <v>#REF!</v>
      </c>
      <c r="R32" s="351" t="e">
        <f t="shared" si="6"/>
        <v>#REF!</v>
      </c>
      <c r="S32" s="353">
        <f t="shared" si="7"/>
        <v>47</v>
      </c>
      <c r="T32" s="93"/>
    </row>
    <row r="33" spans="1:20" x14ac:dyDescent="0.2">
      <c r="A33" s="64">
        <f t="shared" si="2"/>
        <v>24</v>
      </c>
      <c r="B33" s="66" t="s">
        <v>87</v>
      </c>
      <c r="C33" s="65">
        <v>39661</v>
      </c>
      <c r="D33" s="65">
        <v>40969</v>
      </c>
      <c r="E33" s="67">
        <f t="shared" si="11"/>
        <v>40969</v>
      </c>
      <c r="F33" s="102"/>
      <c r="G33" s="113">
        <f t="shared" si="4"/>
        <v>3165</v>
      </c>
      <c r="H33" s="118">
        <v>2.2000000000000002</v>
      </c>
      <c r="I33" s="116">
        <f t="shared" si="12"/>
        <v>66</v>
      </c>
      <c r="J33" s="86">
        <v>15</v>
      </c>
      <c r="K33" s="86">
        <v>30</v>
      </c>
      <c r="L33" s="123">
        <v>30</v>
      </c>
      <c r="M33" s="86">
        <v>30</v>
      </c>
      <c r="N33" s="86">
        <v>30</v>
      </c>
      <c r="O33" s="101">
        <f t="shared" si="5"/>
        <v>3366</v>
      </c>
      <c r="P33" s="105">
        <f t="shared" si="13"/>
        <v>276.65753424657532</v>
      </c>
      <c r="Q33" s="95" t="e">
        <f>+'Control de dias gozados 2019'!#REF!</f>
        <v>#REF!</v>
      </c>
      <c r="R33" s="351" t="e">
        <f t="shared" si="6"/>
        <v>#REF!</v>
      </c>
      <c r="S33" s="353">
        <f t="shared" si="7"/>
        <v>56</v>
      </c>
      <c r="T33" s="93"/>
    </row>
    <row r="34" spans="1:20" s="107" customFormat="1" x14ac:dyDescent="0.2">
      <c r="A34" s="64">
        <f t="shared" si="2"/>
        <v>25</v>
      </c>
      <c r="B34" s="66" t="s">
        <v>127</v>
      </c>
      <c r="C34" s="65"/>
      <c r="D34" s="65">
        <v>43466</v>
      </c>
      <c r="E34" s="67">
        <f t="shared" si="11"/>
        <v>43466</v>
      </c>
      <c r="F34" s="102"/>
      <c r="G34" s="113">
        <f t="shared" si="4"/>
        <v>668</v>
      </c>
      <c r="H34" s="120">
        <v>0.5</v>
      </c>
      <c r="I34" s="116">
        <f t="shared" si="12"/>
        <v>15</v>
      </c>
      <c r="J34" s="106">
        <v>0</v>
      </c>
      <c r="K34" s="86">
        <v>30</v>
      </c>
      <c r="L34" s="86">
        <v>2</v>
      </c>
      <c r="M34" s="86">
        <v>9</v>
      </c>
      <c r="N34" s="86">
        <v>30</v>
      </c>
      <c r="O34" s="101">
        <f t="shared" si="5"/>
        <v>754</v>
      </c>
      <c r="P34" s="105">
        <f t="shared" si="13"/>
        <v>61.972602739726035</v>
      </c>
      <c r="Q34" s="95" t="e">
        <f>+'Control de dias gozados 2019'!#REF!</f>
        <v>#REF!</v>
      </c>
      <c r="R34" s="351" t="e">
        <f t="shared" si="6"/>
        <v>#REF!</v>
      </c>
      <c r="S34" s="353">
        <f t="shared" si="7"/>
        <v>122</v>
      </c>
      <c r="T34" s="88"/>
    </row>
    <row r="35" spans="1:20" x14ac:dyDescent="0.2">
      <c r="A35" s="64">
        <f t="shared" si="2"/>
        <v>26</v>
      </c>
      <c r="B35" s="66" t="s">
        <v>151</v>
      </c>
      <c r="C35" s="65"/>
      <c r="D35" s="65">
        <v>43678</v>
      </c>
      <c r="E35" s="67">
        <f t="shared" si="11"/>
        <v>43678</v>
      </c>
      <c r="F35" s="102"/>
      <c r="G35" s="113">
        <f t="shared" si="4"/>
        <v>456</v>
      </c>
      <c r="H35" s="118">
        <v>2.1</v>
      </c>
      <c r="I35" s="116">
        <f t="shared" si="12"/>
        <v>63</v>
      </c>
      <c r="J35" s="86">
        <v>30</v>
      </c>
      <c r="K35" s="86">
        <v>30</v>
      </c>
      <c r="L35" s="123">
        <v>30</v>
      </c>
      <c r="M35" s="86">
        <v>30</v>
      </c>
      <c r="N35" s="86">
        <v>30</v>
      </c>
      <c r="O35" s="101">
        <f t="shared" si="5"/>
        <v>669</v>
      </c>
      <c r="P35" s="105">
        <f t="shared" si="13"/>
        <v>54.986301369863014</v>
      </c>
      <c r="Q35" s="95" t="e">
        <f>+'Control de dias gozados 2019'!#REF!</f>
        <v>#REF!</v>
      </c>
      <c r="R35" s="351" t="e">
        <f t="shared" si="6"/>
        <v>#REF!</v>
      </c>
      <c r="S35" s="353">
        <f t="shared" si="7"/>
        <v>44</v>
      </c>
      <c r="T35" s="93"/>
    </row>
    <row r="36" spans="1:20" x14ac:dyDescent="0.2">
      <c r="A36" s="64">
        <f t="shared" si="2"/>
        <v>27</v>
      </c>
      <c r="B36" s="66" t="s">
        <v>152</v>
      </c>
      <c r="C36" s="65"/>
      <c r="D36" s="65">
        <v>43678</v>
      </c>
      <c r="E36" s="67">
        <f t="shared" si="11"/>
        <v>43678</v>
      </c>
      <c r="F36" s="102"/>
      <c r="G36" s="113">
        <f t="shared" si="4"/>
        <v>456</v>
      </c>
      <c r="H36" s="118">
        <v>2.25</v>
      </c>
      <c r="I36" s="116">
        <f t="shared" si="12"/>
        <v>67.5</v>
      </c>
      <c r="J36" s="86">
        <v>30</v>
      </c>
      <c r="K36" s="86">
        <v>30</v>
      </c>
      <c r="L36" s="86">
        <v>30</v>
      </c>
      <c r="M36" s="86">
        <v>30</v>
      </c>
      <c r="N36" s="86">
        <v>30</v>
      </c>
      <c r="O36" s="101">
        <f t="shared" si="5"/>
        <v>673.5</v>
      </c>
      <c r="P36" s="105">
        <f t="shared" si="13"/>
        <v>55.356164383561641</v>
      </c>
      <c r="Q36" s="95" t="e">
        <f>+'Control de dias gozados 2019'!#REF!</f>
        <v>#REF!</v>
      </c>
      <c r="R36" s="351" t="e">
        <f t="shared" si="6"/>
        <v>#REF!</v>
      </c>
      <c r="S36" s="353">
        <f t="shared" si="7"/>
        <v>39.5</v>
      </c>
      <c r="T36" s="93"/>
    </row>
    <row r="37" spans="1:20" x14ac:dyDescent="0.2">
      <c r="A37" s="64">
        <f t="shared" si="2"/>
        <v>28</v>
      </c>
      <c r="B37" s="66" t="s">
        <v>59</v>
      </c>
      <c r="C37" s="67">
        <v>39661</v>
      </c>
      <c r="D37" s="67">
        <v>41283</v>
      </c>
      <c r="E37" s="67">
        <f t="shared" si="11"/>
        <v>41283</v>
      </c>
      <c r="F37" s="102"/>
      <c r="G37" s="113">
        <f t="shared" si="4"/>
        <v>2851</v>
      </c>
      <c r="H37" s="118">
        <v>3.5</v>
      </c>
      <c r="I37" s="116">
        <f t="shared" si="12"/>
        <v>105</v>
      </c>
      <c r="J37" s="86">
        <v>30</v>
      </c>
      <c r="K37" s="86">
        <v>30</v>
      </c>
      <c r="L37" s="123">
        <v>30</v>
      </c>
      <c r="M37" s="86">
        <v>30</v>
      </c>
      <c r="N37" s="86">
        <v>30</v>
      </c>
      <c r="O37" s="101">
        <f t="shared" si="5"/>
        <v>3106</v>
      </c>
      <c r="P37" s="105">
        <f t="shared" si="13"/>
        <v>255.28767123287673</v>
      </c>
      <c r="Q37" s="95" t="e">
        <f>+'Control de dias gozados 2019'!#REF!</f>
        <v>#REF!</v>
      </c>
      <c r="R37" s="351" t="e">
        <f t="shared" si="6"/>
        <v>#REF!</v>
      </c>
      <c r="S37" s="353">
        <f t="shared" si="7"/>
        <v>2</v>
      </c>
      <c r="T37" s="93"/>
    </row>
    <row r="38" spans="1:20" x14ac:dyDescent="0.2">
      <c r="A38" s="64">
        <f t="shared" si="2"/>
        <v>29</v>
      </c>
      <c r="B38" s="66" t="s">
        <v>97</v>
      </c>
      <c r="C38" s="67"/>
      <c r="D38" s="67">
        <v>42856</v>
      </c>
      <c r="E38" s="67">
        <f t="shared" si="11"/>
        <v>42856</v>
      </c>
      <c r="F38" s="102"/>
      <c r="G38" s="113">
        <f t="shared" si="4"/>
        <v>1278</v>
      </c>
      <c r="H38" s="118">
        <v>1</v>
      </c>
      <c r="I38" s="116">
        <f t="shared" si="12"/>
        <v>30</v>
      </c>
      <c r="J38" s="86">
        <v>15</v>
      </c>
      <c r="K38" s="86">
        <v>30</v>
      </c>
      <c r="L38" s="86">
        <v>30</v>
      </c>
      <c r="M38" s="86">
        <v>30</v>
      </c>
      <c r="N38" s="86">
        <v>30</v>
      </c>
      <c r="O38" s="101">
        <f t="shared" si="5"/>
        <v>1443</v>
      </c>
      <c r="P38" s="105">
        <f t="shared" si="13"/>
        <v>118.60273972602739</v>
      </c>
      <c r="Q38" s="95" t="e">
        <f>+'Control de dias gozados 2019'!#REF!</f>
        <v>#REF!</v>
      </c>
      <c r="R38" s="351" t="e">
        <f t="shared" si="6"/>
        <v>#REF!</v>
      </c>
      <c r="S38" s="353">
        <f t="shared" si="7"/>
        <v>92</v>
      </c>
      <c r="T38" s="93"/>
    </row>
    <row r="39" spans="1:20" x14ac:dyDescent="0.2">
      <c r="A39" s="64">
        <f t="shared" si="2"/>
        <v>30</v>
      </c>
      <c r="B39" s="66" t="s">
        <v>54</v>
      </c>
      <c r="C39" s="67">
        <v>39295</v>
      </c>
      <c r="D39" s="67">
        <v>39630</v>
      </c>
      <c r="E39" s="67">
        <v>40725</v>
      </c>
      <c r="F39" s="102"/>
      <c r="G39" s="113">
        <f t="shared" si="4"/>
        <v>3409</v>
      </c>
      <c r="H39" s="118">
        <v>1.6</v>
      </c>
      <c r="I39" s="116">
        <f t="shared" si="12"/>
        <v>48</v>
      </c>
      <c r="J39" s="86">
        <v>30</v>
      </c>
      <c r="K39" s="86">
        <v>30</v>
      </c>
      <c r="L39" s="123">
        <v>30</v>
      </c>
      <c r="M39" s="86">
        <v>30</v>
      </c>
      <c r="N39" s="86">
        <v>30</v>
      </c>
      <c r="O39" s="101">
        <f t="shared" si="5"/>
        <v>3607</v>
      </c>
      <c r="P39" s="105">
        <f t="shared" si="13"/>
        <v>296.46575342465752</v>
      </c>
      <c r="Q39" s="95" t="e">
        <f>+'Control de dias gozados 2019'!#REF!</f>
        <v>#REF!</v>
      </c>
      <c r="R39" s="351" t="e">
        <f t="shared" si="6"/>
        <v>#REF!</v>
      </c>
      <c r="S39" s="353">
        <f t="shared" si="7"/>
        <v>59</v>
      </c>
      <c r="T39" s="93"/>
    </row>
    <row r="40" spans="1:20" s="107" customFormat="1" x14ac:dyDescent="0.2">
      <c r="A40" s="64">
        <f t="shared" si="2"/>
        <v>31</v>
      </c>
      <c r="B40" s="66" t="s">
        <v>96</v>
      </c>
      <c r="C40" s="67"/>
      <c r="D40" s="67">
        <v>43070</v>
      </c>
      <c r="E40" s="67">
        <f t="shared" si="11"/>
        <v>43070</v>
      </c>
      <c r="F40" s="102"/>
      <c r="G40" s="113">
        <f t="shared" si="4"/>
        <v>1064</v>
      </c>
      <c r="H40" s="120">
        <v>1.85</v>
      </c>
      <c r="I40" s="116">
        <f t="shared" si="12"/>
        <v>55.5</v>
      </c>
      <c r="J40" s="86">
        <v>30</v>
      </c>
      <c r="K40" s="86">
        <v>30</v>
      </c>
      <c r="L40" s="86">
        <v>30</v>
      </c>
      <c r="M40" s="86">
        <v>14</v>
      </c>
      <c r="N40" s="86">
        <v>30</v>
      </c>
      <c r="O40" s="101">
        <f t="shared" si="5"/>
        <v>1253.5</v>
      </c>
      <c r="P40" s="105">
        <f t="shared" si="13"/>
        <v>103.02739726027397</v>
      </c>
      <c r="Q40" s="95" t="e">
        <f>+'Control de dias gozados 2019'!#REF!</f>
        <v>#REF!</v>
      </c>
      <c r="R40" s="351" t="e">
        <f t="shared" si="6"/>
        <v>#REF!</v>
      </c>
      <c r="S40" s="353">
        <f t="shared" si="7"/>
        <v>51.5</v>
      </c>
      <c r="T40" s="88"/>
    </row>
    <row r="41" spans="1:20" x14ac:dyDescent="0.2">
      <c r="A41" s="64">
        <f t="shared" si="2"/>
        <v>32</v>
      </c>
      <c r="B41" s="66" t="s">
        <v>55</v>
      </c>
      <c r="C41" s="67"/>
      <c r="D41" s="67">
        <v>39630</v>
      </c>
      <c r="E41" s="67">
        <v>40725</v>
      </c>
      <c r="F41" s="102"/>
      <c r="G41" s="113">
        <f t="shared" si="4"/>
        <v>3409</v>
      </c>
      <c r="H41" s="118">
        <v>2.2000000000000002</v>
      </c>
      <c r="I41" s="116">
        <f t="shared" si="12"/>
        <v>66</v>
      </c>
      <c r="J41" s="86">
        <v>30</v>
      </c>
      <c r="K41" s="86">
        <v>30</v>
      </c>
      <c r="L41" s="123">
        <v>30</v>
      </c>
      <c r="M41" s="86">
        <v>30</v>
      </c>
      <c r="N41" s="86">
        <v>30</v>
      </c>
      <c r="O41" s="101">
        <f t="shared" si="5"/>
        <v>3625</v>
      </c>
      <c r="P41" s="105">
        <f t="shared" si="13"/>
        <v>297.94520547945206</v>
      </c>
      <c r="Q41" s="95" t="e">
        <f>+'Control de dias gozados 2019'!#REF!</f>
        <v>#REF!</v>
      </c>
      <c r="R41" s="351" t="e">
        <f t="shared" si="6"/>
        <v>#REF!</v>
      </c>
      <c r="S41" s="353">
        <f t="shared" si="7"/>
        <v>41</v>
      </c>
      <c r="T41" s="93"/>
    </row>
    <row r="42" spans="1:20" x14ac:dyDescent="0.2">
      <c r="A42" s="64">
        <f t="shared" si="2"/>
        <v>33</v>
      </c>
      <c r="B42" s="66" t="s">
        <v>56</v>
      </c>
      <c r="C42" s="67"/>
      <c r="D42" s="67">
        <v>41671</v>
      </c>
      <c r="E42" s="67">
        <f t="shared" si="11"/>
        <v>41671</v>
      </c>
      <c r="F42" s="102"/>
      <c r="G42" s="113">
        <f t="shared" si="4"/>
        <v>2463</v>
      </c>
      <c r="H42" s="121">
        <v>1.5</v>
      </c>
      <c r="I42" s="116">
        <f t="shared" si="12"/>
        <v>45</v>
      </c>
      <c r="J42" s="86">
        <v>30</v>
      </c>
      <c r="K42" s="86">
        <v>30</v>
      </c>
      <c r="L42" s="86">
        <v>30</v>
      </c>
      <c r="M42" s="86">
        <v>30</v>
      </c>
      <c r="N42" s="86">
        <v>30</v>
      </c>
      <c r="O42" s="101">
        <f t="shared" si="5"/>
        <v>2658</v>
      </c>
      <c r="P42" s="105">
        <f t="shared" si="13"/>
        <v>218.46575342465752</v>
      </c>
      <c r="Q42" s="95" t="e">
        <f>+'Control de dias gozados 2019'!#REF!</f>
        <v>#REF!</v>
      </c>
      <c r="R42" s="351" t="e">
        <f t="shared" si="6"/>
        <v>#REF!</v>
      </c>
      <c r="S42" s="353">
        <f t="shared" si="7"/>
        <v>62</v>
      </c>
      <c r="T42" s="93"/>
    </row>
    <row r="43" spans="1:20" x14ac:dyDescent="0.2">
      <c r="A43" s="64">
        <f t="shared" si="2"/>
        <v>34</v>
      </c>
      <c r="B43" s="66" t="s">
        <v>153</v>
      </c>
      <c r="C43" s="67"/>
      <c r="D43" s="67">
        <v>43466</v>
      </c>
      <c r="E43" s="67">
        <f t="shared" si="11"/>
        <v>43466</v>
      </c>
      <c r="F43" s="102"/>
      <c r="G43" s="113">
        <f t="shared" si="4"/>
        <v>668</v>
      </c>
      <c r="H43" s="121">
        <v>1.5</v>
      </c>
      <c r="I43" s="116">
        <f t="shared" si="12"/>
        <v>45</v>
      </c>
      <c r="J43" s="86">
        <v>30</v>
      </c>
      <c r="K43" s="86">
        <v>30</v>
      </c>
      <c r="L43" s="86">
        <v>30</v>
      </c>
      <c r="M43" s="86">
        <v>30</v>
      </c>
      <c r="N43" s="86">
        <v>30</v>
      </c>
      <c r="O43" s="101">
        <f t="shared" si="5"/>
        <v>863</v>
      </c>
      <c r="P43" s="105">
        <f t="shared" si="13"/>
        <v>70.93150684931507</v>
      </c>
      <c r="Q43" s="95" t="e">
        <f>+'Control de dias gozados 2019'!#REF!</f>
        <v>#REF!</v>
      </c>
      <c r="R43" s="351" t="e">
        <f t="shared" si="6"/>
        <v>#REF!</v>
      </c>
      <c r="S43" s="353">
        <f t="shared" si="7"/>
        <v>62</v>
      </c>
      <c r="T43" s="93"/>
    </row>
    <row r="44" spans="1:20" x14ac:dyDescent="0.2">
      <c r="A44" s="64">
        <f t="shared" si="2"/>
        <v>35</v>
      </c>
      <c r="B44" s="66" t="s">
        <v>95</v>
      </c>
      <c r="C44" s="67"/>
      <c r="D44" s="67">
        <v>43101</v>
      </c>
      <c r="E44" s="67">
        <f t="shared" si="11"/>
        <v>43101</v>
      </c>
      <c r="F44" s="102"/>
      <c r="G44" s="113">
        <f t="shared" si="4"/>
        <v>1033</v>
      </c>
      <c r="H44" s="121">
        <v>2</v>
      </c>
      <c r="I44" s="116">
        <f t="shared" si="12"/>
        <v>60</v>
      </c>
      <c r="J44" s="86">
        <v>30</v>
      </c>
      <c r="K44" s="86">
        <v>30</v>
      </c>
      <c r="L44" s="123">
        <v>30</v>
      </c>
      <c r="M44" s="86">
        <v>30</v>
      </c>
      <c r="N44" s="86">
        <v>30</v>
      </c>
      <c r="O44" s="101">
        <f t="shared" si="5"/>
        <v>1243</v>
      </c>
      <c r="P44" s="105">
        <f t="shared" si="13"/>
        <v>102.16438356164385</v>
      </c>
      <c r="Q44" s="95" t="e">
        <f>+'Control de dias gozados 2019'!#REF!</f>
        <v>#REF!</v>
      </c>
      <c r="R44" s="351" t="e">
        <f t="shared" si="6"/>
        <v>#REF!</v>
      </c>
      <c r="S44" s="353">
        <f t="shared" si="7"/>
        <v>47</v>
      </c>
      <c r="T44" s="93"/>
    </row>
    <row r="45" spans="1:20" s="107" customFormat="1" x14ac:dyDescent="0.2">
      <c r="A45" s="64">
        <f t="shared" si="2"/>
        <v>36</v>
      </c>
      <c r="B45" s="66" t="s">
        <v>109</v>
      </c>
      <c r="C45" s="67"/>
      <c r="D45" s="67">
        <v>43313</v>
      </c>
      <c r="E45" s="67">
        <f t="shared" si="11"/>
        <v>43313</v>
      </c>
      <c r="F45" s="102"/>
      <c r="G45" s="113">
        <f t="shared" si="4"/>
        <v>821</v>
      </c>
      <c r="H45" s="122">
        <v>1.5</v>
      </c>
      <c r="I45" s="116">
        <f t="shared" si="12"/>
        <v>45</v>
      </c>
      <c r="J45" s="86">
        <v>15</v>
      </c>
      <c r="K45" s="86">
        <v>30</v>
      </c>
      <c r="L45" s="86">
        <v>3</v>
      </c>
      <c r="M45" s="86">
        <v>30</v>
      </c>
      <c r="N45" s="86">
        <v>30</v>
      </c>
      <c r="O45" s="101">
        <f t="shared" si="5"/>
        <v>974</v>
      </c>
      <c r="P45" s="105">
        <f t="shared" si="13"/>
        <v>80.054794520547944</v>
      </c>
      <c r="Q45" s="95" t="e">
        <f>+'Control de dias gozados 2019'!#REF!</f>
        <v>#REF!</v>
      </c>
      <c r="R45" s="351" t="e">
        <f t="shared" si="6"/>
        <v>#REF!</v>
      </c>
      <c r="S45" s="353">
        <f t="shared" si="7"/>
        <v>77</v>
      </c>
      <c r="T45" s="88"/>
    </row>
    <row r="46" spans="1:20" x14ac:dyDescent="0.2">
      <c r="A46" s="64">
        <f t="shared" si="2"/>
        <v>37</v>
      </c>
      <c r="B46" s="68" t="s">
        <v>61</v>
      </c>
      <c r="C46" s="69"/>
      <c r="D46" s="69">
        <v>41913</v>
      </c>
      <c r="E46" s="69">
        <f t="shared" si="11"/>
        <v>41913</v>
      </c>
      <c r="F46" s="102"/>
      <c r="G46" s="113">
        <f t="shared" si="4"/>
        <v>2221</v>
      </c>
      <c r="H46" s="121">
        <v>3.5</v>
      </c>
      <c r="I46" s="116">
        <f t="shared" si="12"/>
        <v>105</v>
      </c>
      <c r="J46" s="86">
        <v>30</v>
      </c>
      <c r="K46" s="86">
        <v>30</v>
      </c>
      <c r="L46" s="123">
        <v>30</v>
      </c>
      <c r="M46" s="86">
        <v>30</v>
      </c>
      <c r="N46" s="86">
        <v>30</v>
      </c>
      <c r="O46" s="101">
        <f t="shared" si="5"/>
        <v>2476</v>
      </c>
      <c r="P46" s="105">
        <f t="shared" si="13"/>
        <v>203.50684931506851</v>
      </c>
      <c r="Q46" s="95" t="e">
        <f>+'Control de dias gozados 2019'!#REF!</f>
        <v>#REF!</v>
      </c>
      <c r="R46" s="351" t="e">
        <f t="shared" si="6"/>
        <v>#REF!</v>
      </c>
      <c r="S46" s="353">
        <f t="shared" si="7"/>
        <v>2</v>
      </c>
      <c r="T46" s="93"/>
    </row>
    <row r="47" spans="1:20" x14ac:dyDescent="0.2">
      <c r="A47" s="70"/>
      <c r="B47" s="70" t="s">
        <v>154</v>
      </c>
      <c r="C47" s="71"/>
      <c r="D47" s="71"/>
      <c r="E47" s="71"/>
      <c r="F47" s="83"/>
      <c r="G47" s="71"/>
      <c r="H47" s="114"/>
      <c r="I47" s="115"/>
      <c r="J47" s="72"/>
      <c r="K47" s="72"/>
      <c r="L47" s="72"/>
      <c r="M47" s="72"/>
      <c r="N47" s="72"/>
      <c r="O47" s="72"/>
      <c r="P47" s="96">
        <f>SUM(P10:P46)</f>
        <v>5923.3356164383558</v>
      </c>
      <c r="Q47" s="96" t="e">
        <f>SUM(Q10:Q46)</f>
        <v>#REF!</v>
      </c>
      <c r="R47" s="96" t="e">
        <f>SUM(R10:R46)</f>
        <v>#REF!</v>
      </c>
      <c r="S47" s="352"/>
      <c r="T47" s="112"/>
    </row>
    <row r="48" spans="1:20" x14ac:dyDescent="0.2">
      <c r="A48" s="58"/>
      <c r="B48" s="85"/>
      <c r="C48" s="78"/>
      <c r="D48" s="78"/>
      <c r="E48" s="78"/>
      <c r="F48" s="78"/>
      <c r="G48" s="78"/>
      <c r="H48" s="78"/>
      <c r="I48" s="81"/>
      <c r="J48" s="81"/>
      <c r="K48" s="81"/>
      <c r="L48" s="81"/>
      <c r="M48" s="81"/>
      <c r="N48" s="81"/>
      <c r="O48" s="78"/>
      <c r="P48" s="94"/>
      <c r="Q48" s="93"/>
      <c r="R48" s="94"/>
      <c r="S48" s="90"/>
      <c r="T48" s="90"/>
    </row>
    <row r="49" spans="16:16" x14ac:dyDescent="0.2">
      <c r="P49" s="109"/>
    </row>
    <row r="50" spans="16:16" x14ac:dyDescent="0.2">
      <c r="P50" s="109"/>
    </row>
    <row r="51" spans="16:16" x14ac:dyDescent="0.2">
      <c r="P51" s="109"/>
    </row>
    <row r="52" spans="16:16" x14ac:dyDescent="0.2">
      <c r="P52" s="109"/>
    </row>
    <row r="53" spans="16:16" x14ac:dyDescent="0.2">
      <c r="P53" s="109"/>
    </row>
    <row r="54" spans="16:16" x14ac:dyDescent="0.2">
      <c r="P54" s="109"/>
    </row>
  </sheetData>
  <mergeCells count="3">
    <mergeCell ref="H9:I9"/>
    <mergeCell ref="A5:R5"/>
    <mergeCell ref="A6:R6"/>
  </mergeCells>
  <pageMargins left="0.23622047244094491" right="0.23622047244094491" top="0.35433070866141736" bottom="0.39370078740157483" header="0.31496062992125984" footer="0.31496062992125984"/>
  <pageSetup paperSize="9" scale="79" orientation="landscape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zoomScale="85" zoomScaleNormal="85" workbookViewId="0">
      <selection activeCell="E18" sqref="E18"/>
    </sheetView>
  </sheetViews>
  <sheetFormatPr baseColWidth="10" defaultColWidth="11.42578125" defaultRowHeight="12.75" x14ac:dyDescent="0.2"/>
  <cols>
    <col min="1" max="1" width="4.85546875" style="104" customWidth="1"/>
    <col min="2" max="2" width="46.5703125" style="104" customWidth="1"/>
    <col min="3" max="3" width="39.85546875" style="104" customWidth="1"/>
    <col min="4" max="5" width="14.7109375" style="104" customWidth="1"/>
    <col min="6" max="6" width="14.7109375" style="733" customWidth="1"/>
    <col min="7" max="7" width="46" style="104" customWidth="1"/>
    <col min="8" max="16384" width="11.42578125" style="104"/>
  </cols>
  <sheetData>
    <row r="1" spans="1:7" x14ac:dyDescent="0.2">
      <c r="A1" s="76"/>
      <c r="B1" s="75"/>
    </row>
    <row r="2" spans="1:7" x14ac:dyDescent="0.2">
      <c r="A2" s="76"/>
      <c r="B2" s="75"/>
    </row>
    <row r="3" spans="1:7" x14ac:dyDescent="0.2">
      <c r="A3" s="76"/>
      <c r="B3" s="75"/>
    </row>
    <row r="4" spans="1:7" ht="15.75" x14ac:dyDescent="0.2">
      <c r="A4" s="1203"/>
      <c r="B4" s="1203"/>
    </row>
    <row r="5" spans="1:7" ht="15.75" x14ac:dyDescent="0.2">
      <c r="A5" s="1203"/>
      <c r="B5" s="1203"/>
    </row>
    <row r="6" spans="1:7" ht="15.75" x14ac:dyDescent="0.2">
      <c r="A6" s="79"/>
      <c r="B6" s="79"/>
    </row>
    <row r="7" spans="1:7" x14ac:dyDescent="0.2">
      <c r="A7" s="1208" t="s">
        <v>155</v>
      </c>
      <c r="B7" s="1208" t="s">
        <v>68</v>
      </c>
      <c r="C7" s="1204" t="s">
        <v>174</v>
      </c>
      <c r="D7" s="1205" t="s">
        <v>391</v>
      </c>
      <c r="E7" s="1206"/>
      <c r="F7" s="1207"/>
      <c r="G7" s="1204" t="s">
        <v>179</v>
      </c>
    </row>
    <row r="8" spans="1:7" ht="45" customHeight="1" x14ac:dyDescent="0.2">
      <c r="A8" s="1208"/>
      <c r="B8" s="1208"/>
      <c r="C8" s="1204"/>
      <c r="D8" s="734" t="s">
        <v>392</v>
      </c>
      <c r="E8" s="734" t="s">
        <v>393</v>
      </c>
      <c r="F8" s="734" t="s">
        <v>394</v>
      </c>
      <c r="G8" s="1204"/>
    </row>
    <row r="9" spans="1:7" s="737" customFormat="1" ht="18" customHeight="1" x14ac:dyDescent="0.2">
      <c r="A9" s="746">
        <v>1</v>
      </c>
      <c r="B9" s="747" t="s">
        <v>16</v>
      </c>
      <c r="C9" s="740" t="s">
        <v>175</v>
      </c>
      <c r="D9" s="735">
        <v>44075</v>
      </c>
      <c r="E9" s="735">
        <v>44105</v>
      </c>
      <c r="F9" s="736">
        <f t="shared" ref="F9:F14" si="0">+E9-D9</f>
        <v>30</v>
      </c>
      <c r="G9" s="740" t="s">
        <v>389</v>
      </c>
    </row>
    <row r="10" spans="1:7" s="737" customFormat="1" ht="18" customHeight="1" x14ac:dyDescent="0.2">
      <c r="A10" s="746">
        <v>2</v>
      </c>
      <c r="B10" s="747" t="s">
        <v>126</v>
      </c>
      <c r="C10" s="738" t="s">
        <v>417</v>
      </c>
      <c r="D10" s="738">
        <v>44077</v>
      </c>
      <c r="E10" s="738">
        <v>44165</v>
      </c>
      <c r="F10" s="739">
        <f t="shared" si="0"/>
        <v>88</v>
      </c>
      <c r="G10" s="740" t="s">
        <v>425</v>
      </c>
    </row>
    <row r="11" spans="1:7" s="737" customFormat="1" ht="18" customHeight="1" x14ac:dyDescent="0.2">
      <c r="A11" s="746">
        <v>3</v>
      </c>
      <c r="B11" s="747" t="s">
        <v>149</v>
      </c>
      <c r="C11" s="740" t="s">
        <v>367</v>
      </c>
      <c r="D11" s="735">
        <v>44093</v>
      </c>
      <c r="E11" s="735">
        <v>44130</v>
      </c>
      <c r="F11" s="736">
        <f t="shared" si="0"/>
        <v>37</v>
      </c>
      <c r="G11" s="740" t="s">
        <v>375</v>
      </c>
    </row>
    <row r="12" spans="1:7" s="737" customFormat="1" ht="18" customHeight="1" x14ac:dyDescent="0.2">
      <c r="A12" s="746">
        <v>4</v>
      </c>
      <c r="B12" s="747" t="s">
        <v>127</v>
      </c>
      <c r="C12" s="740" t="s">
        <v>376</v>
      </c>
      <c r="D12" s="735">
        <v>44077</v>
      </c>
      <c r="E12" s="735">
        <v>44127</v>
      </c>
      <c r="F12" s="736">
        <f t="shared" si="0"/>
        <v>50</v>
      </c>
      <c r="G12" s="740" t="s">
        <v>374</v>
      </c>
    </row>
    <row r="13" spans="1:7" s="737" customFormat="1" ht="18" customHeight="1" x14ac:dyDescent="0.2">
      <c r="A13" s="746">
        <v>5</v>
      </c>
      <c r="B13" s="747" t="s">
        <v>96</v>
      </c>
      <c r="C13" s="741" t="s">
        <v>177</v>
      </c>
      <c r="D13" s="738">
        <v>44119</v>
      </c>
      <c r="E13" s="738">
        <v>44196</v>
      </c>
      <c r="F13" s="739">
        <f t="shared" si="0"/>
        <v>77</v>
      </c>
      <c r="G13" s="740" t="s">
        <v>427</v>
      </c>
    </row>
    <row r="14" spans="1:7" s="737" customFormat="1" ht="18" customHeight="1" x14ac:dyDescent="0.2">
      <c r="A14" s="746">
        <v>6</v>
      </c>
      <c r="B14" s="747" t="s">
        <v>109</v>
      </c>
      <c r="C14" s="740" t="s">
        <v>376</v>
      </c>
      <c r="D14" s="735">
        <v>44077</v>
      </c>
      <c r="E14" s="735">
        <v>44104</v>
      </c>
      <c r="F14" s="736">
        <f t="shared" si="0"/>
        <v>27</v>
      </c>
      <c r="G14" s="740" t="s">
        <v>178</v>
      </c>
    </row>
    <row r="15" spans="1:7" s="737" customFormat="1" ht="18" customHeight="1" x14ac:dyDescent="0.2">
      <c r="A15" s="746">
        <v>7</v>
      </c>
      <c r="B15" s="747" t="s">
        <v>49</v>
      </c>
      <c r="C15" s="740" t="s">
        <v>416</v>
      </c>
      <c r="D15" s="735">
        <v>44157</v>
      </c>
      <c r="E15" s="735">
        <v>44196</v>
      </c>
      <c r="F15" s="736">
        <f>+E15-D15</f>
        <v>39</v>
      </c>
      <c r="G15" s="740" t="s">
        <v>370</v>
      </c>
    </row>
    <row r="16" spans="1:7" s="737" customFormat="1" ht="18" customHeight="1" x14ac:dyDescent="0.2">
      <c r="A16" s="746">
        <v>8</v>
      </c>
      <c r="B16" s="747" t="s">
        <v>52</v>
      </c>
      <c r="C16" s="740" t="s">
        <v>456</v>
      </c>
      <c r="D16" s="735">
        <v>44278</v>
      </c>
      <c r="E16" s="735">
        <v>44300</v>
      </c>
      <c r="F16" s="742">
        <f>+E16-D16</f>
        <v>22</v>
      </c>
      <c r="G16" s="835" t="s">
        <v>426</v>
      </c>
    </row>
    <row r="17" spans="1:7" s="737" customFormat="1" ht="18" customHeight="1" x14ac:dyDescent="0.2">
      <c r="A17" s="746">
        <v>9</v>
      </c>
      <c r="B17" s="747" t="s">
        <v>53</v>
      </c>
      <c r="C17" s="740" t="s">
        <v>457</v>
      </c>
      <c r="D17" s="735">
        <v>44256</v>
      </c>
      <c r="E17" s="735">
        <v>44300</v>
      </c>
      <c r="F17" s="742">
        <f>+E17-D17</f>
        <v>44</v>
      </c>
      <c r="G17" s="740" t="s">
        <v>424</v>
      </c>
    </row>
    <row r="18" spans="1:7" s="737" customFormat="1" ht="18" customHeight="1" x14ac:dyDescent="0.2">
      <c r="A18" s="746">
        <v>10</v>
      </c>
      <c r="B18" s="747" t="s">
        <v>152</v>
      </c>
      <c r="C18" s="740"/>
      <c r="D18" s="740"/>
      <c r="E18" s="740"/>
      <c r="F18" s="742"/>
      <c r="G18" s="740"/>
    </row>
    <row r="19" spans="1:7" s="737" customFormat="1" ht="18" customHeight="1" x14ac:dyDescent="0.2">
      <c r="A19" s="746">
        <v>11</v>
      </c>
      <c r="B19" s="747" t="s">
        <v>95</v>
      </c>
      <c r="C19" s="740"/>
      <c r="D19" s="740"/>
      <c r="E19" s="740"/>
      <c r="F19" s="742"/>
      <c r="G19" s="740"/>
    </row>
    <row r="20" spans="1:7" s="737" customFormat="1" ht="18" customHeight="1" x14ac:dyDescent="0.2">
      <c r="A20" s="746">
        <v>12</v>
      </c>
      <c r="B20" s="748" t="s">
        <v>85</v>
      </c>
      <c r="C20" s="740"/>
      <c r="D20" s="740"/>
      <c r="E20" s="740"/>
      <c r="F20" s="742"/>
      <c r="G20" s="740"/>
    </row>
    <row r="21" spans="1:7" s="737" customFormat="1" ht="18" customHeight="1" x14ac:dyDescent="0.2">
      <c r="A21" s="746">
        <v>13</v>
      </c>
      <c r="B21" s="747" t="s">
        <v>86</v>
      </c>
      <c r="C21" s="740"/>
      <c r="D21" s="740"/>
      <c r="E21" s="740"/>
      <c r="F21" s="742"/>
      <c r="G21" s="740"/>
    </row>
    <row r="22" spans="1:7" s="737" customFormat="1" ht="18" customHeight="1" x14ac:dyDescent="0.2">
      <c r="A22" s="746">
        <v>14</v>
      </c>
      <c r="B22" s="747" t="s">
        <v>107</v>
      </c>
      <c r="C22" s="740"/>
      <c r="D22" s="740"/>
      <c r="E22" s="740"/>
      <c r="F22" s="742"/>
      <c r="G22" s="740"/>
    </row>
    <row r="23" spans="1:7" s="737" customFormat="1" ht="18" customHeight="1" x14ac:dyDescent="0.2">
      <c r="A23" s="746">
        <v>15</v>
      </c>
      <c r="B23" s="747" t="s">
        <v>57</v>
      </c>
      <c r="C23" s="740"/>
      <c r="D23" s="740"/>
      <c r="E23" s="740"/>
      <c r="F23" s="742"/>
      <c r="G23" s="740"/>
    </row>
    <row r="24" spans="1:7" s="737" customFormat="1" ht="18" customHeight="1" x14ac:dyDescent="0.2">
      <c r="A24" s="746">
        <v>16</v>
      </c>
      <c r="B24" s="747" t="s">
        <v>18</v>
      </c>
      <c r="C24" s="740"/>
      <c r="D24" s="740"/>
      <c r="E24" s="740"/>
      <c r="F24" s="742"/>
      <c r="G24" s="740"/>
    </row>
    <row r="25" spans="1:7" s="737" customFormat="1" ht="18" customHeight="1" x14ac:dyDescent="0.2">
      <c r="A25" s="746">
        <v>17</v>
      </c>
      <c r="B25" s="747" t="s">
        <v>19</v>
      </c>
      <c r="C25" s="740"/>
      <c r="D25" s="740"/>
      <c r="E25" s="740"/>
      <c r="F25" s="742"/>
      <c r="G25" s="740"/>
    </row>
    <row r="26" spans="1:7" s="737" customFormat="1" ht="18" customHeight="1" x14ac:dyDescent="0.2">
      <c r="A26" s="746">
        <v>18</v>
      </c>
      <c r="B26" s="747" t="s">
        <v>20</v>
      </c>
      <c r="C26" s="740"/>
      <c r="D26" s="740"/>
      <c r="E26" s="740"/>
      <c r="F26" s="742"/>
      <c r="G26" s="740"/>
    </row>
    <row r="27" spans="1:7" s="737" customFormat="1" ht="18" customHeight="1" x14ac:dyDescent="0.2">
      <c r="A27" s="746">
        <v>19</v>
      </c>
      <c r="B27" s="747" t="s">
        <v>50</v>
      </c>
      <c r="C27" s="740"/>
      <c r="D27" s="740"/>
      <c r="E27" s="740"/>
      <c r="F27" s="742"/>
      <c r="G27" s="740"/>
    </row>
    <row r="28" spans="1:7" s="737" customFormat="1" ht="18" customHeight="1" x14ac:dyDescent="0.2">
      <c r="A28" s="746">
        <v>20</v>
      </c>
      <c r="B28" s="747" t="s">
        <v>74</v>
      </c>
      <c r="C28" s="740"/>
      <c r="D28" s="740"/>
      <c r="E28" s="740"/>
      <c r="F28" s="742"/>
      <c r="G28" s="740"/>
    </row>
    <row r="29" spans="1:7" s="737" customFormat="1" ht="18" customHeight="1" x14ac:dyDescent="0.2">
      <c r="A29" s="746">
        <v>21</v>
      </c>
      <c r="B29" s="747" t="s">
        <v>22</v>
      </c>
      <c r="C29" s="740"/>
      <c r="D29" s="740"/>
      <c r="E29" s="740"/>
      <c r="F29" s="742"/>
      <c r="G29" s="740"/>
    </row>
    <row r="30" spans="1:7" s="737" customFormat="1" ht="18" customHeight="1" x14ac:dyDescent="0.2">
      <c r="A30" s="746">
        <v>22</v>
      </c>
      <c r="B30" s="747" t="s">
        <v>21</v>
      </c>
      <c r="C30" s="740"/>
      <c r="D30" s="740"/>
      <c r="E30" s="740"/>
      <c r="F30" s="742"/>
      <c r="G30" s="740"/>
    </row>
    <row r="31" spans="1:7" s="737" customFormat="1" ht="18" customHeight="1" x14ac:dyDescent="0.2">
      <c r="A31" s="746">
        <v>23</v>
      </c>
      <c r="B31" s="747" t="s">
        <v>51</v>
      </c>
      <c r="C31" s="740"/>
      <c r="D31" s="740"/>
      <c r="E31" s="740"/>
      <c r="F31" s="742"/>
      <c r="G31" s="740"/>
    </row>
    <row r="32" spans="1:7" s="737" customFormat="1" ht="18" customHeight="1" x14ac:dyDescent="0.2">
      <c r="A32" s="746">
        <v>24</v>
      </c>
      <c r="B32" s="747" t="s">
        <v>162</v>
      </c>
      <c r="C32" s="740"/>
      <c r="D32" s="740"/>
      <c r="E32" s="740"/>
      <c r="F32" s="742"/>
      <c r="G32" s="740"/>
    </row>
    <row r="33" spans="1:7" s="737" customFormat="1" ht="18" customHeight="1" x14ac:dyDescent="0.2">
      <c r="A33" s="746">
        <v>25</v>
      </c>
      <c r="B33" s="747" t="s">
        <v>110</v>
      </c>
      <c r="C33" s="740"/>
      <c r="D33" s="740"/>
      <c r="E33" s="740"/>
      <c r="F33" s="742"/>
      <c r="G33" s="740"/>
    </row>
    <row r="34" spans="1:7" s="737" customFormat="1" ht="18" customHeight="1" x14ac:dyDescent="0.2">
      <c r="A34" s="746">
        <v>26</v>
      </c>
      <c r="B34" s="747" t="s">
        <v>108</v>
      </c>
      <c r="C34" s="740"/>
      <c r="D34" s="740"/>
      <c r="E34" s="740"/>
      <c r="F34" s="742"/>
      <c r="G34" s="740"/>
    </row>
    <row r="35" spans="1:7" s="737" customFormat="1" ht="18" customHeight="1" x14ac:dyDescent="0.2">
      <c r="A35" s="746">
        <v>27</v>
      </c>
      <c r="B35" s="747" t="s">
        <v>87</v>
      </c>
      <c r="C35" s="740"/>
      <c r="D35" s="740"/>
      <c r="E35" s="740"/>
      <c r="F35" s="742"/>
      <c r="G35" s="740"/>
    </row>
    <row r="36" spans="1:7" s="737" customFormat="1" ht="18" customHeight="1" x14ac:dyDescent="0.2">
      <c r="A36" s="746">
        <v>28</v>
      </c>
      <c r="B36" s="747" t="s">
        <v>151</v>
      </c>
      <c r="C36" s="740"/>
      <c r="D36" s="740"/>
      <c r="E36" s="740"/>
      <c r="F36" s="742"/>
      <c r="G36" s="740"/>
    </row>
    <row r="37" spans="1:7" s="737" customFormat="1" ht="18" customHeight="1" x14ac:dyDescent="0.2">
      <c r="A37" s="746">
        <v>29</v>
      </c>
      <c r="B37" s="747" t="s">
        <v>59</v>
      </c>
      <c r="C37" s="740"/>
      <c r="D37" s="740"/>
      <c r="E37" s="740"/>
      <c r="F37" s="742"/>
      <c r="G37" s="740"/>
    </row>
    <row r="38" spans="1:7" s="737" customFormat="1" ht="18" customHeight="1" x14ac:dyDescent="0.2">
      <c r="A38" s="746">
        <v>30</v>
      </c>
      <c r="B38" s="747" t="s">
        <v>97</v>
      </c>
      <c r="C38" s="740"/>
      <c r="D38" s="740"/>
      <c r="E38" s="740"/>
      <c r="F38" s="742"/>
      <c r="G38" s="740"/>
    </row>
    <row r="39" spans="1:7" s="737" customFormat="1" ht="18" customHeight="1" x14ac:dyDescent="0.2">
      <c r="A39" s="746">
        <v>31</v>
      </c>
      <c r="B39" s="747" t="s">
        <v>54</v>
      </c>
      <c r="C39" s="740"/>
      <c r="D39" s="740"/>
      <c r="E39" s="740"/>
      <c r="F39" s="742"/>
      <c r="G39" s="740"/>
    </row>
    <row r="40" spans="1:7" s="737" customFormat="1" ht="18" customHeight="1" x14ac:dyDescent="0.2">
      <c r="A40" s="746">
        <v>32</v>
      </c>
      <c r="B40" s="747" t="s">
        <v>56</v>
      </c>
      <c r="C40" s="740"/>
      <c r="D40" s="740"/>
      <c r="E40" s="740"/>
      <c r="F40" s="742"/>
      <c r="G40" s="740"/>
    </row>
    <row r="41" spans="1:7" s="737" customFormat="1" ht="18" customHeight="1" x14ac:dyDescent="0.2">
      <c r="A41" s="746">
        <v>33</v>
      </c>
      <c r="B41" s="747" t="s">
        <v>153</v>
      </c>
      <c r="C41" s="740"/>
      <c r="D41" s="740"/>
      <c r="E41" s="740"/>
      <c r="F41" s="742"/>
      <c r="G41" s="740"/>
    </row>
    <row r="42" spans="1:7" s="737" customFormat="1" ht="18" customHeight="1" x14ac:dyDescent="0.2">
      <c r="A42" s="746">
        <v>34</v>
      </c>
      <c r="B42" s="747" t="s">
        <v>61</v>
      </c>
      <c r="C42" s="740"/>
      <c r="D42" s="740"/>
      <c r="E42" s="740"/>
      <c r="F42" s="742"/>
      <c r="G42" s="740"/>
    </row>
    <row r="43" spans="1:7" x14ac:dyDescent="0.2">
      <c r="A43" s="743"/>
      <c r="B43" s="743" t="s">
        <v>154</v>
      </c>
      <c r="C43" s="744"/>
      <c r="D43" s="744"/>
      <c r="E43" s="744"/>
      <c r="F43" s="745"/>
      <c r="G43" s="744"/>
    </row>
  </sheetData>
  <mergeCells count="7">
    <mergeCell ref="G7:G8"/>
    <mergeCell ref="D7:F7"/>
    <mergeCell ref="A4:B4"/>
    <mergeCell ref="A5:B5"/>
    <mergeCell ref="B7:B8"/>
    <mergeCell ref="A7:A8"/>
    <mergeCell ref="C7:C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paperSize="9" scale="80" orientation="landscape" verticalDpi="4294967295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2"/>
  <sheetViews>
    <sheetView view="pageBreakPreview" zoomScale="78" zoomScaleNormal="66" zoomScaleSheetLayoutView="78" workbookViewId="0">
      <pane ySplit="3" topLeftCell="A4" activePane="bottomLeft" state="frozen"/>
      <selection activeCell="B7" sqref="B7"/>
      <selection pane="bottomLeft" activeCell="B7" sqref="B7"/>
    </sheetView>
  </sheetViews>
  <sheetFormatPr baseColWidth="10" defaultColWidth="11.42578125" defaultRowHeight="14.25" x14ac:dyDescent="0.2"/>
  <cols>
    <col min="1" max="1" width="5.5703125" style="30" customWidth="1"/>
    <col min="2" max="2" width="38.42578125" style="30" customWidth="1"/>
    <col min="3" max="3" width="13.42578125" style="43" hidden="1" customWidth="1"/>
    <col min="4" max="4" width="14.28515625" style="44" customWidth="1"/>
    <col min="5" max="6" width="14.5703125" style="44" customWidth="1"/>
    <col min="7" max="7" width="14.5703125" style="45" customWidth="1"/>
    <col min="8" max="19" width="9" style="30" customWidth="1"/>
    <col min="20" max="16384" width="11.42578125" style="30"/>
  </cols>
  <sheetData>
    <row r="1" spans="1:19" ht="19.5" thickBot="1" x14ac:dyDescent="0.35">
      <c r="A1" s="1209" t="s">
        <v>125</v>
      </c>
      <c r="B1" s="1209"/>
      <c r="C1" s="1209"/>
      <c r="D1" s="1209"/>
      <c r="E1" s="1209"/>
      <c r="F1" s="1209"/>
      <c r="G1" s="1209"/>
      <c r="H1" s="1209"/>
      <c r="I1" s="1209"/>
      <c r="J1" s="1209"/>
      <c r="K1" s="1209"/>
      <c r="L1" s="1209"/>
      <c r="M1" s="1209"/>
      <c r="N1" s="1209"/>
      <c r="O1" s="1209"/>
      <c r="P1" s="1209"/>
      <c r="Q1" s="1209"/>
      <c r="R1" s="1209"/>
      <c r="S1" s="1209"/>
    </row>
    <row r="2" spans="1:19" ht="18.75" thickTop="1" x14ac:dyDescent="0.25">
      <c r="A2" s="1210" t="s">
        <v>31</v>
      </c>
      <c r="B2" s="1210" t="s">
        <v>32</v>
      </c>
      <c r="C2" s="1211" t="s">
        <v>0</v>
      </c>
      <c r="D2" s="1211" t="s">
        <v>124</v>
      </c>
      <c r="E2" s="1210" t="s">
        <v>128</v>
      </c>
      <c r="F2" s="1210" t="s">
        <v>129</v>
      </c>
      <c r="G2" s="1210" t="s">
        <v>33</v>
      </c>
      <c r="H2" s="1212">
        <v>2020</v>
      </c>
      <c r="I2" s="1212"/>
      <c r="J2" s="1212"/>
      <c r="K2" s="1212"/>
      <c r="L2" s="1212"/>
      <c r="M2" s="1212"/>
      <c r="N2" s="1212"/>
      <c r="O2" s="1212"/>
      <c r="P2" s="1212"/>
      <c r="Q2" s="1212"/>
      <c r="R2" s="1212"/>
      <c r="S2" s="1212"/>
    </row>
    <row r="3" spans="1:19" ht="45" customHeight="1" x14ac:dyDescent="0.2">
      <c r="A3" s="1210"/>
      <c r="B3" s="1210"/>
      <c r="C3" s="1211"/>
      <c r="D3" s="1211"/>
      <c r="E3" s="1210"/>
      <c r="F3" s="1210"/>
      <c r="G3" s="1210"/>
      <c r="H3" s="31" t="s">
        <v>4</v>
      </c>
      <c r="I3" s="31" t="s">
        <v>5</v>
      </c>
      <c r="J3" s="31" t="s">
        <v>6</v>
      </c>
      <c r="K3" s="31" t="s">
        <v>7</v>
      </c>
      <c r="L3" s="31" t="s">
        <v>8</v>
      </c>
      <c r="M3" s="31" t="s">
        <v>9</v>
      </c>
      <c r="N3" s="31" t="s">
        <v>10</v>
      </c>
      <c r="O3" s="31" t="s">
        <v>11</v>
      </c>
      <c r="P3" s="31" t="s">
        <v>12</v>
      </c>
      <c r="Q3" s="31" t="s">
        <v>13</v>
      </c>
      <c r="R3" s="31" t="s">
        <v>14</v>
      </c>
      <c r="S3" s="31" t="s">
        <v>15</v>
      </c>
    </row>
    <row r="4" spans="1:19" x14ac:dyDescent="0.2">
      <c r="A4" s="32">
        <v>1</v>
      </c>
      <c r="B4" s="33" t="s">
        <v>111</v>
      </c>
      <c r="C4" s="34"/>
      <c r="D4" s="35">
        <v>43753</v>
      </c>
      <c r="E4" s="54"/>
      <c r="F4" s="54">
        <v>2019</v>
      </c>
      <c r="G4" s="36">
        <v>30</v>
      </c>
      <c r="H4" s="37"/>
      <c r="I4" s="37"/>
      <c r="J4" s="47"/>
      <c r="K4" s="37"/>
      <c r="L4" s="38"/>
      <c r="M4" s="37"/>
      <c r="N4" s="37"/>
      <c r="O4" s="37"/>
      <c r="P4" s="37"/>
      <c r="Q4" s="48"/>
      <c r="R4" s="37"/>
      <c r="S4" s="37"/>
    </row>
    <row r="5" spans="1:19" x14ac:dyDescent="0.2">
      <c r="A5" s="32">
        <v>2</v>
      </c>
      <c r="B5" s="33" t="s">
        <v>75</v>
      </c>
      <c r="C5" s="34"/>
      <c r="D5" s="35">
        <v>42767</v>
      </c>
      <c r="E5" s="54">
        <v>49</v>
      </c>
      <c r="F5" s="54">
        <v>2019</v>
      </c>
      <c r="G5" s="36">
        <v>30</v>
      </c>
      <c r="H5" s="48"/>
      <c r="J5" s="37"/>
      <c r="K5" s="37"/>
      <c r="L5" s="38"/>
      <c r="M5" s="37"/>
      <c r="N5" s="37"/>
      <c r="O5" s="37"/>
      <c r="P5" s="37"/>
      <c r="Q5" s="37"/>
      <c r="R5" s="37"/>
      <c r="S5" s="37"/>
    </row>
    <row r="6" spans="1:19" x14ac:dyDescent="0.2">
      <c r="A6" s="32">
        <v>3</v>
      </c>
      <c r="B6" s="33" t="s">
        <v>86</v>
      </c>
      <c r="C6" s="34"/>
      <c r="D6" s="35">
        <v>42979</v>
      </c>
      <c r="E6" s="54">
        <v>11</v>
      </c>
      <c r="F6" s="54">
        <v>2019</v>
      </c>
      <c r="G6" s="36">
        <v>30</v>
      </c>
      <c r="H6" s="37"/>
      <c r="I6" s="37"/>
      <c r="J6" s="37"/>
      <c r="K6" s="37"/>
      <c r="L6" s="38"/>
      <c r="M6" s="37"/>
      <c r="N6" s="37"/>
      <c r="O6" s="37"/>
      <c r="P6" s="49"/>
      <c r="Q6" s="37"/>
      <c r="R6" s="37"/>
      <c r="S6" s="37"/>
    </row>
    <row r="7" spans="1:19" x14ac:dyDescent="0.2">
      <c r="A7" s="32">
        <v>4</v>
      </c>
      <c r="B7" s="33" t="s">
        <v>49</v>
      </c>
      <c r="C7" s="34"/>
      <c r="D7" s="35">
        <v>41883</v>
      </c>
      <c r="E7" s="54">
        <v>26</v>
      </c>
      <c r="F7" s="54">
        <v>2019</v>
      </c>
      <c r="G7" s="36">
        <v>30</v>
      </c>
      <c r="H7" s="37"/>
      <c r="I7" s="37"/>
      <c r="J7" s="37"/>
      <c r="K7" s="37"/>
      <c r="L7" s="38"/>
      <c r="M7" s="37"/>
      <c r="N7" s="37"/>
      <c r="O7" s="37"/>
      <c r="P7" s="49"/>
      <c r="Q7" s="37"/>
      <c r="R7" s="37"/>
      <c r="S7" s="37"/>
    </row>
    <row r="8" spans="1:19" x14ac:dyDescent="0.2">
      <c r="A8" s="32">
        <v>5</v>
      </c>
      <c r="B8" s="33" t="s">
        <v>100</v>
      </c>
      <c r="C8" s="34"/>
      <c r="D8" s="35">
        <v>43313</v>
      </c>
      <c r="E8" s="54">
        <v>16</v>
      </c>
      <c r="F8" s="54">
        <v>2019</v>
      </c>
      <c r="G8" s="36">
        <v>30</v>
      </c>
      <c r="H8" s="37"/>
      <c r="I8" s="37"/>
      <c r="J8" s="37"/>
      <c r="K8" s="37"/>
      <c r="L8" s="38"/>
      <c r="M8" s="37"/>
      <c r="N8" s="37"/>
      <c r="O8" s="49"/>
      <c r="P8" s="37"/>
      <c r="Q8" s="37"/>
      <c r="R8" s="37"/>
      <c r="S8" s="37"/>
    </row>
    <row r="9" spans="1:19" x14ac:dyDescent="0.2">
      <c r="A9" s="32">
        <v>6</v>
      </c>
      <c r="B9" s="33" t="s">
        <v>112</v>
      </c>
      <c r="C9" s="34"/>
      <c r="D9" s="35">
        <v>43760</v>
      </c>
      <c r="E9" s="54"/>
      <c r="F9" s="54">
        <v>2019</v>
      </c>
      <c r="G9" s="36">
        <v>30</v>
      </c>
      <c r="H9" s="37"/>
      <c r="I9" s="37"/>
      <c r="J9" s="37"/>
      <c r="K9" s="37"/>
      <c r="L9" s="38"/>
      <c r="M9" s="37"/>
      <c r="N9" s="39"/>
      <c r="O9" s="37"/>
      <c r="P9" s="37"/>
      <c r="Q9" s="48"/>
      <c r="R9" s="37"/>
      <c r="S9" s="37"/>
    </row>
    <row r="10" spans="1:19" x14ac:dyDescent="0.2">
      <c r="A10" s="32">
        <v>7</v>
      </c>
      <c r="B10" s="33" t="s">
        <v>34</v>
      </c>
      <c r="C10" s="34">
        <v>41030</v>
      </c>
      <c r="D10" s="35">
        <v>43556</v>
      </c>
      <c r="E10" s="54">
        <v>30</v>
      </c>
      <c r="F10" s="54">
        <v>2019</v>
      </c>
      <c r="G10" s="36">
        <v>30</v>
      </c>
      <c r="H10" s="37"/>
      <c r="I10" s="37"/>
      <c r="J10" s="37"/>
      <c r="K10" s="48"/>
      <c r="L10" s="37"/>
      <c r="M10" s="37"/>
      <c r="N10" s="37"/>
      <c r="O10" s="37"/>
      <c r="P10" s="37"/>
      <c r="Q10" s="37"/>
      <c r="R10" s="37"/>
      <c r="S10" s="37"/>
    </row>
    <row r="11" spans="1:19" x14ac:dyDescent="0.2">
      <c r="A11" s="32">
        <v>8</v>
      </c>
      <c r="B11" s="33" t="s">
        <v>17</v>
      </c>
      <c r="C11" s="34">
        <v>41365</v>
      </c>
      <c r="D11" s="35">
        <v>41365</v>
      </c>
      <c r="E11" s="54">
        <v>72</v>
      </c>
      <c r="F11" s="54">
        <v>2019</v>
      </c>
      <c r="G11" s="36">
        <v>30</v>
      </c>
      <c r="H11" s="37"/>
      <c r="I11" s="32"/>
      <c r="J11" s="33"/>
      <c r="K11" s="50"/>
      <c r="L11" s="37"/>
      <c r="M11" s="37"/>
      <c r="N11" s="37"/>
      <c r="O11" s="37"/>
      <c r="P11" s="37"/>
      <c r="Q11" s="37"/>
      <c r="R11" s="37"/>
      <c r="S11" s="37"/>
    </row>
    <row r="12" spans="1:19" x14ac:dyDescent="0.2">
      <c r="A12" s="32">
        <v>9</v>
      </c>
      <c r="B12" s="33" t="s">
        <v>35</v>
      </c>
      <c r="C12" s="34">
        <v>38504</v>
      </c>
      <c r="D12" s="35">
        <v>40545</v>
      </c>
      <c r="E12" s="54">
        <v>122</v>
      </c>
      <c r="F12" s="54">
        <v>2019</v>
      </c>
      <c r="G12" s="36">
        <v>30</v>
      </c>
      <c r="H12" s="50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1:19" x14ac:dyDescent="0.2">
      <c r="A13" s="32">
        <v>10</v>
      </c>
      <c r="B13" s="33" t="s">
        <v>36</v>
      </c>
      <c r="C13" s="34">
        <v>40210</v>
      </c>
      <c r="D13" s="35">
        <v>40603</v>
      </c>
      <c r="E13" s="54">
        <v>61</v>
      </c>
      <c r="F13" s="54">
        <v>2019</v>
      </c>
      <c r="G13" s="36">
        <v>30</v>
      </c>
      <c r="H13" s="37"/>
      <c r="I13" s="37"/>
      <c r="J13" s="48"/>
      <c r="K13" s="37"/>
      <c r="L13" s="37"/>
      <c r="M13" s="40"/>
      <c r="N13" s="40"/>
      <c r="P13" s="47"/>
      <c r="Q13" s="37"/>
      <c r="R13" s="37"/>
      <c r="S13" s="37"/>
    </row>
    <row r="14" spans="1:19" x14ac:dyDescent="0.2">
      <c r="A14" s="32">
        <v>11</v>
      </c>
      <c r="B14" s="33" t="s">
        <v>37</v>
      </c>
      <c r="C14" s="34">
        <v>38565</v>
      </c>
      <c r="D14" s="35">
        <v>39630</v>
      </c>
      <c r="E14" s="54">
        <v>175</v>
      </c>
      <c r="F14" s="54">
        <v>2019</v>
      </c>
      <c r="G14" s="36">
        <v>30</v>
      </c>
      <c r="H14" s="37"/>
      <c r="I14" s="37"/>
      <c r="J14" s="37"/>
      <c r="K14" s="37"/>
      <c r="L14" s="37"/>
      <c r="M14" s="37"/>
      <c r="N14" s="51"/>
      <c r="P14" s="37"/>
      <c r="Q14" s="37"/>
      <c r="R14" s="37"/>
      <c r="S14" s="37"/>
    </row>
    <row r="15" spans="1:19" x14ac:dyDescent="0.2">
      <c r="A15" s="32">
        <v>12</v>
      </c>
      <c r="B15" s="33" t="s">
        <v>38</v>
      </c>
      <c r="C15" s="34">
        <v>38353</v>
      </c>
      <c r="D15" s="35">
        <v>39203</v>
      </c>
      <c r="E15" s="54">
        <v>234</v>
      </c>
      <c r="F15" s="54">
        <v>2019</v>
      </c>
      <c r="G15" s="36">
        <v>30</v>
      </c>
      <c r="H15" s="37"/>
      <c r="I15" s="37"/>
      <c r="J15" s="37"/>
      <c r="K15" s="37"/>
      <c r="L15" s="50"/>
      <c r="M15" s="37"/>
      <c r="N15" s="37"/>
      <c r="O15" s="37"/>
      <c r="P15" s="37"/>
      <c r="Q15" s="37"/>
      <c r="R15" s="37"/>
      <c r="S15" s="37"/>
    </row>
    <row r="16" spans="1:19" x14ac:dyDescent="0.2">
      <c r="A16" s="32">
        <v>13</v>
      </c>
      <c r="B16" s="33" t="s">
        <v>76</v>
      </c>
      <c r="C16" s="34">
        <v>40422</v>
      </c>
      <c r="D16" s="35">
        <v>40452</v>
      </c>
      <c r="E16" s="54">
        <v>40</v>
      </c>
      <c r="F16" s="54">
        <v>2019</v>
      </c>
      <c r="G16" s="36">
        <v>30</v>
      </c>
      <c r="H16" s="37"/>
      <c r="I16" s="37"/>
      <c r="J16" s="37"/>
      <c r="K16" s="37"/>
      <c r="L16" s="37"/>
      <c r="M16" s="37"/>
      <c r="N16" s="37"/>
      <c r="O16" s="37"/>
      <c r="P16" s="37"/>
      <c r="Q16" s="50"/>
      <c r="R16" s="37"/>
      <c r="S16" s="37"/>
    </row>
    <row r="17" spans="1:19" x14ac:dyDescent="0.2">
      <c r="A17" s="32">
        <v>14</v>
      </c>
      <c r="B17" s="33" t="s">
        <v>101</v>
      </c>
      <c r="C17" s="34"/>
      <c r="D17" s="35">
        <v>43466</v>
      </c>
      <c r="E17" s="54">
        <v>23</v>
      </c>
      <c r="F17" s="54">
        <v>2019</v>
      </c>
      <c r="G17" s="36">
        <v>30</v>
      </c>
      <c r="H17" s="4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spans="1:19" x14ac:dyDescent="0.2">
      <c r="A18" s="32">
        <v>15</v>
      </c>
      <c r="B18" s="33" t="s">
        <v>39</v>
      </c>
      <c r="C18" s="34">
        <v>40238</v>
      </c>
      <c r="D18" s="35">
        <v>40238</v>
      </c>
      <c r="E18" s="54"/>
      <c r="F18" s="54">
        <v>2019</v>
      </c>
      <c r="G18" s="36">
        <v>30</v>
      </c>
      <c r="H18" s="37"/>
      <c r="I18" s="40"/>
      <c r="J18" s="52"/>
      <c r="K18" s="40"/>
      <c r="L18" s="40"/>
      <c r="M18" s="40"/>
      <c r="N18" s="40"/>
      <c r="O18" s="37"/>
      <c r="P18" s="37"/>
      <c r="Q18" s="37"/>
      <c r="R18" s="37"/>
      <c r="S18" s="37"/>
    </row>
    <row r="19" spans="1:19" x14ac:dyDescent="0.2">
      <c r="A19" s="32">
        <v>16</v>
      </c>
      <c r="B19" s="33" t="s">
        <v>113</v>
      </c>
      <c r="C19" s="34"/>
      <c r="D19" s="35">
        <v>43789</v>
      </c>
      <c r="E19" s="54"/>
      <c r="F19" s="54">
        <v>2019</v>
      </c>
      <c r="G19" s="36">
        <v>30</v>
      </c>
      <c r="H19" s="37"/>
      <c r="I19" s="40"/>
      <c r="J19" s="41"/>
      <c r="K19" s="40"/>
      <c r="L19" s="40"/>
      <c r="M19" s="40"/>
      <c r="N19" s="40"/>
      <c r="O19" s="37"/>
      <c r="P19" s="37"/>
      <c r="Q19" s="37"/>
      <c r="R19" s="48"/>
      <c r="S19" s="37"/>
    </row>
    <row r="20" spans="1:19" x14ac:dyDescent="0.2">
      <c r="A20" s="32">
        <v>17</v>
      </c>
      <c r="B20" s="33" t="s">
        <v>77</v>
      </c>
      <c r="C20" s="34"/>
      <c r="D20" s="35">
        <v>41821</v>
      </c>
      <c r="E20" s="54">
        <v>42</v>
      </c>
      <c r="F20" s="54">
        <v>2019</v>
      </c>
      <c r="G20" s="36">
        <v>30</v>
      </c>
      <c r="H20" s="37"/>
      <c r="I20" s="40"/>
      <c r="J20" s="40"/>
      <c r="K20" s="41"/>
      <c r="L20" s="40"/>
      <c r="M20" s="40"/>
      <c r="N20" s="52"/>
      <c r="O20" s="37"/>
      <c r="P20" s="37"/>
      <c r="Q20" s="37"/>
      <c r="R20" s="37"/>
      <c r="S20" s="37"/>
    </row>
    <row r="21" spans="1:19" x14ac:dyDescent="0.2">
      <c r="A21" s="32">
        <v>18</v>
      </c>
      <c r="B21" s="33" t="s">
        <v>114</v>
      </c>
      <c r="C21" s="34"/>
      <c r="D21" s="35">
        <v>43773</v>
      </c>
      <c r="E21" s="54"/>
      <c r="F21" s="54">
        <v>2019</v>
      </c>
      <c r="G21" s="36">
        <v>30</v>
      </c>
      <c r="H21" s="37"/>
      <c r="I21" s="40"/>
      <c r="J21" s="40"/>
      <c r="K21" s="41"/>
      <c r="L21" s="40"/>
      <c r="M21" s="40"/>
      <c r="N21" s="40"/>
      <c r="O21" s="37"/>
      <c r="P21" s="37"/>
      <c r="Q21" s="37"/>
      <c r="R21" s="48"/>
      <c r="S21" s="37"/>
    </row>
    <row r="22" spans="1:19" x14ac:dyDescent="0.2">
      <c r="A22" s="32">
        <v>19</v>
      </c>
      <c r="B22" s="33" t="s">
        <v>115</v>
      </c>
      <c r="C22" s="34"/>
      <c r="D22" s="35">
        <v>43556</v>
      </c>
      <c r="E22" s="54"/>
      <c r="F22" s="54">
        <v>2019</v>
      </c>
      <c r="G22" s="36">
        <v>30</v>
      </c>
      <c r="H22" s="37"/>
      <c r="I22" s="40"/>
      <c r="J22" s="40"/>
      <c r="K22" s="52"/>
      <c r="L22" s="40"/>
      <c r="M22" s="40"/>
      <c r="N22" s="37"/>
      <c r="O22" s="37"/>
      <c r="P22" s="37"/>
      <c r="Q22" s="37"/>
      <c r="R22" s="37"/>
      <c r="S22" s="37"/>
    </row>
    <row r="23" spans="1:19" x14ac:dyDescent="0.2">
      <c r="A23" s="32">
        <v>20</v>
      </c>
      <c r="B23" s="33" t="s">
        <v>40</v>
      </c>
      <c r="C23" s="34">
        <v>38473</v>
      </c>
      <c r="D23" s="35">
        <v>39173</v>
      </c>
      <c r="E23" s="54">
        <v>240</v>
      </c>
      <c r="F23" s="54">
        <v>2019</v>
      </c>
      <c r="G23" s="36">
        <v>30</v>
      </c>
      <c r="H23" s="37"/>
      <c r="I23" s="37"/>
      <c r="J23" s="37"/>
      <c r="K23" s="50"/>
      <c r="L23" s="37"/>
      <c r="M23" s="37"/>
      <c r="N23" s="37"/>
      <c r="O23" s="37"/>
      <c r="P23" s="37"/>
      <c r="Q23" s="37"/>
      <c r="R23" s="37"/>
      <c r="S23" s="37"/>
    </row>
    <row r="24" spans="1:19" x14ac:dyDescent="0.2">
      <c r="A24" s="32">
        <v>21</v>
      </c>
      <c r="B24" s="33" t="s">
        <v>41</v>
      </c>
      <c r="C24" s="34">
        <v>39448</v>
      </c>
      <c r="D24" s="35">
        <v>39630</v>
      </c>
      <c r="E24" s="54">
        <v>163</v>
      </c>
      <c r="F24" s="54">
        <v>2019</v>
      </c>
      <c r="G24" s="36">
        <v>30</v>
      </c>
      <c r="H24" s="37"/>
      <c r="I24" s="37"/>
      <c r="J24" s="37"/>
      <c r="K24" s="37"/>
      <c r="L24" s="37"/>
      <c r="M24" s="37"/>
      <c r="N24" s="51"/>
      <c r="O24" s="37"/>
      <c r="P24" s="37"/>
      <c r="Q24" s="37"/>
      <c r="R24" s="37"/>
      <c r="S24" s="37"/>
    </row>
    <row r="25" spans="1:19" x14ac:dyDescent="0.2">
      <c r="A25" s="32">
        <v>22</v>
      </c>
      <c r="B25" s="33" t="s">
        <v>42</v>
      </c>
      <c r="C25" s="34">
        <v>38961</v>
      </c>
      <c r="D25" s="35">
        <v>40909</v>
      </c>
      <c r="E25" s="54">
        <v>152</v>
      </c>
      <c r="F25" s="54">
        <v>2019</v>
      </c>
      <c r="G25" s="36">
        <v>30</v>
      </c>
      <c r="H25" s="50"/>
      <c r="I25" s="42"/>
      <c r="J25" s="37"/>
      <c r="K25" s="37"/>
      <c r="L25" s="37"/>
      <c r="M25" s="37"/>
      <c r="N25" s="37"/>
      <c r="O25" s="37"/>
      <c r="P25" s="37"/>
      <c r="Q25" s="37"/>
      <c r="R25" s="37"/>
      <c r="S25" s="37"/>
    </row>
    <row r="26" spans="1:19" x14ac:dyDescent="0.2">
      <c r="A26" s="32">
        <v>23</v>
      </c>
      <c r="B26" s="33" t="s">
        <v>43</v>
      </c>
      <c r="C26" s="34"/>
      <c r="D26" s="35">
        <v>39173</v>
      </c>
      <c r="E26" s="54"/>
      <c r="F26" s="54">
        <v>2019</v>
      </c>
      <c r="G26" s="36">
        <v>30</v>
      </c>
      <c r="H26" s="37"/>
      <c r="I26" s="37"/>
      <c r="J26" s="37"/>
      <c r="K26" s="50"/>
      <c r="L26" s="37"/>
      <c r="M26" s="37"/>
      <c r="N26" s="37"/>
      <c r="O26" s="37"/>
      <c r="P26" s="37"/>
      <c r="Q26" s="37"/>
      <c r="R26" s="37"/>
      <c r="S26" s="37"/>
    </row>
    <row r="27" spans="1:19" x14ac:dyDescent="0.2">
      <c r="A27" s="32">
        <v>24</v>
      </c>
      <c r="B27" s="33" t="s">
        <v>102</v>
      </c>
      <c r="C27" s="34"/>
      <c r="D27" s="35">
        <v>43374</v>
      </c>
      <c r="E27" s="54">
        <v>10</v>
      </c>
      <c r="F27" s="54">
        <v>2019</v>
      </c>
      <c r="G27" s="36">
        <v>30</v>
      </c>
      <c r="H27" s="37"/>
      <c r="I27" s="37"/>
      <c r="J27" s="37"/>
      <c r="K27" s="37"/>
      <c r="L27" s="37"/>
      <c r="M27" s="37"/>
      <c r="N27" s="37"/>
      <c r="O27" s="37"/>
      <c r="P27" s="37"/>
      <c r="Q27" s="49"/>
      <c r="R27" s="37"/>
      <c r="S27" s="37"/>
    </row>
    <row r="28" spans="1:19" x14ac:dyDescent="0.2">
      <c r="A28" s="32">
        <v>25</v>
      </c>
      <c r="B28" s="33" t="s">
        <v>123</v>
      </c>
      <c r="C28" s="34"/>
      <c r="D28" s="35">
        <v>43832</v>
      </c>
      <c r="E28" s="54"/>
      <c r="F28" s="54">
        <v>2019</v>
      </c>
      <c r="G28" s="36">
        <v>30</v>
      </c>
      <c r="H28" s="37"/>
      <c r="I28" s="37"/>
      <c r="J28" s="37"/>
      <c r="K28" s="37"/>
      <c r="L28" s="37"/>
      <c r="M28" s="37"/>
      <c r="N28" s="37"/>
      <c r="O28" s="37"/>
      <c r="P28" s="37"/>
      <c r="Q28" s="47"/>
      <c r="R28" s="37"/>
      <c r="S28" s="37"/>
    </row>
    <row r="29" spans="1:19" x14ac:dyDescent="0.2">
      <c r="A29" s="32">
        <v>26</v>
      </c>
      <c r="B29" s="33" t="s">
        <v>103</v>
      </c>
      <c r="C29" s="34"/>
      <c r="D29" s="35">
        <v>43374</v>
      </c>
      <c r="E29" s="54"/>
      <c r="F29" s="54">
        <v>2019</v>
      </c>
      <c r="G29" s="36">
        <v>30</v>
      </c>
      <c r="H29" s="37"/>
      <c r="I29" s="37"/>
      <c r="J29" s="37"/>
      <c r="K29" s="37"/>
      <c r="L29" s="37"/>
      <c r="M29" s="37"/>
      <c r="N29" s="37"/>
      <c r="O29" s="37"/>
      <c r="P29" s="37"/>
      <c r="Q29" s="49"/>
      <c r="R29" s="37"/>
      <c r="S29" s="37"/>
    </row>
    <row r="30" spans="1:19" x14ac:dyDescent="0.2">
      <c r="A30" s="32">
        <v>27</v>
      </c>
      <c r="B30" s="33" t="s">
        <v>44</v>
      </c>
      <c r="C30" s="34">
        <v>40483</v>
      </c>
      <c r="D30" s="35">
        <v>40969</v>
      </c>
      <c r="E30" s="54">
        <v>45</v>
      </c>
      <c r="F30" s="54">
        <v>2019</v>
      </c>
      <c r="G30" s="36">
        <v>30</v>
      </c>
      <c r="H30" s="37"/>
      <c r="I30" s="40"/>
      <c r="J30" s="50"/>
      <c r="K30" s="37"/>
      <c r="L30" s="37"/>
      <c r="M30" s="37"/>
      <c r="N30" s="37"/>
      <c r="O30" s="37"/>
      <c r="P30" s="37"/>
      <c r="Q30" s="37"/>
      <c r="R30" s="37"/>
      <c r="S30" s="37"/>
    </row>
    <row r="31" spans="1:19" x14ac:dyDescent="0.2">
      <c r="A31" s="32">
        <v>28</v>
      </c>
      <c r="B31" s="33" t="s">
        <v>116</v>
      </c>
      <c r="C31" s="34"/>
      <c r="D31" s="35">
        <v>43717</v>
      </c>
      <c r="E31" s="54"/>
      <c r="F31" s="54">
        <v>2019</v>
      </c>
      <c r="G31" s="36">
        <v>30</v>
      </c>
      <c r="H31" s="37"/>
      <c r="I31" s="40"/>
      <c r="J31" s="37"/>
      <c r="K31" s="37"/>
      <c r="L31" s="37"/>
      <c r="M31" s="37"/>
      <c r="N31" s="37"/>
      <c r="O31" s="37"/>
      <c r="P31" s="48"/>
      <c r="Q31" s="37"/>
      <c r="R31" s="37"/>
      <c r="S31" s="37"/>
    </row>
    <row r="32" spans="1:19" x14ac:dyDescent="0.2">
      <c r="A32" s="32">
        <v>29</v>
      </c>
      <c r="B32" s="33" t="s">
        <v>117</v>
      </c>
      <c r="C32" s="34"/>
      <c r="D32" s="35">
        <v>43466</v>
      </c>
      <c r="E32" s="54">
        <v>25</v>
      </c>
      <c r="F32" s="54">
        <v>2019</v>
      </c>
      <c r="G32" s="36">
        <v>30</v>
      </c>
      <c r="H32" s="48"/>
      <c r="I32" s="40"/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spans="1:19" x14ac:dyDescent="0.2">
      <c r="A33" s="32">
        <v>30</v>
      </c>
      <c r="B33" s="33" t="s">
        <v>118</v>
      </c>
      <c r="C33" s="34"/>
      <c r="D33" s="35">
        <v>43678</v>
      </c>
      <c r="E33" s="54"/>
      <c r="F33" s="54">
        <v>2019</v>
      </c>
      <c r="G33" s="36">
        <v>30</v>
      </c>
      <c r="H33" s="37"/>
      <c r="I33" s="40"/>
      <c r="J33" s="37"/>
      <c r="K33" s="37"/>
      <c r="L33" s="37"/>
      <c r="M33" s="37"/>
      <c r="N33" s="37"/>
      <c r="O33" s="48"/>
      <c r="P33" s="37"/>
      <c r="Q33" s="37"/>
      <c r="R33" s="37"/>
      <c r="S33" s="37"/>
    </row>
    <row r="34" spans="1:19" x14ac:dyDescent="0.2">
      <c r="A34" s="32">
        <v>31</v>
      </c>
      <c r="B34" s="33" t="s">
        <v>119</v>
      </c>
      <c r="C34" s="34"/>
      <c r="D34" s="35">
        <v>43405</v>
      </c>
      <c r="E34" s="54"/>
      <c r="F34" s="54">
        <v>2019</v>
      </c>
      <c r="G34" s="36">
        <v>30</v>
      </c>
      <c r="H34" s="37"/>
      <c r="I34" s="40"/>
      <c r="J34" s="37"/>
      <c r="K34" s="37"/>
      <c r="L34" s="37"/>
      <c r="M34" s="37"/>
      <c r="N34" s="37"/>
      <c r="O34" s="37"/>
      <c r="P34" s="37"/>
      <c r="Q34" s="37"/>
      <c r="R34" s="50"/>
      <c r="S34" s="37"/>
    </row>
    <row r="35" spans="1:19" x14ac:dyDescent="0.2">
      <c r="A35" s="32">
        <v>32</v>
      </c>
      <c r="B35" s="33" t="s">
        <v>45</v>
      </c>
      <c r="C35" s="34"/>
      <c r="D35" s="34">
        <v>41306</v>
      </c>
      <c r="E35" s="55">
        <v>85</v>
      </c>
      <c r="F35" s="54">
        <v>2019</v>
      </c>
      <c r="G35" s="36">
        <v>30</v>
      </c>
      <c r="H35" s="37"/>
      <c r="I35" s="50"/>
      <c r="J35" s="37"/>
      <c r="K35" s="37"/>
      <c r="L35" s="37"/>
      <c r="M35" s="37"/>
      <c r="N35" s="37"/>
      <c r="O35" s="37"/>
      <c r="P35" s="37"/>
      <c r="Q35" s="37"/>
      <c r="R35" s="37"/>
      <c r="S35" s="37"/>
    </row>
    <row r="36" spans="1:19" x14ac:dyDescent="0.2">
      <c r="A36" s="32">
        <v>33</v>
      </c>
      <c r="B36" s="33" t="s">
        <v>94</v>
      </c>
      <c r="C36" s="34"/>
      <c r="D36" s="34">
        <v>42856</v>
      </c>
      <c r="E36" s="55">
        <v>44</v>
      </c>
      <c r="F36" s="54">
        <v>2019</v>
      </c>
      <c r="G36" s="36">
        <v>30</v>
      </c>
      <c r="H36" s="37"/>
      <c r="I36" s="37"/>
      <c r="J36" s="37"/>
      <c r="K36" s="37"/>
      <c r="L36" s="50"/>
      <c r="M36" s="37"/>
      <c r="N36" s="37"/>
      <c r="O36" s="37"/>
      <c r="P36" s="37"/>
      <c r="Q36" s="37"/>
      <c r="R36" s="37"/>
      <c r="S36" s="37"/>
    </row>
    <row r="37" spans="1:19" x14ac:dyDescent="0.2">
      <c r="A37" s="32">
        <v>34</v>
      </c>
      <c r="B37" s="33" t="s">
        <v>46</v>
      </c>
      <c r="C37" s="34">
        <v>39295</v>
      </c>
      <c r="D37" s="35">
        <v>39630</v>
      </c>
      <c r="E37" s="54">
        <v>127</v>
      </c>
      <c r="F37" s="54">
        <v>2019</v>
      </c>
      <c r="G37" s="36">
        <v>30</v>
      </c>
      <c r="H37" s="37"/>
      <c r="I37" s="37"/>
      <c r="J37" s="37"/>
      <c r="K37" s="37"/>
      <c r="L37" s="37"/>
      <c r="M37" s="37"/>
      <c r="N37" s="50"/>
      <c r="O37" s="37"/>
      <c r="P37" s="37"/>
      <c r="Q37" s="37"/>
      <c r="R37" s="37"/>
      <c r="S37" s="37"/>
    </row>
    <row r="38" spans="1:19" x14ac:dyDescent="0.2">
      <c r="A38" s="32">
        <v>35</v>
      </c>
      <c r="B38" s="33" t="s">
        <v>92</v>
      </c>
      <c r="C38" s="34"/>
      <c r="D38" s="35">
        <v>43435</v>
      </c>
      <c r="E38" s="54">
        <v>34</v>
      </c>
      <c r="F38" s="54">
        <v>2019</v>
      </c>
      <c r="G38" s="36">
        <v>30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50"/>
    </row>
    <row r="39" spans="1:19" x14ac:dyDescent="0.2">
      <c r="A39" s="32">
        <v>36</v>
      </c>
      <c r="B39" s="33" t="s">
        <v>120</v>
      </c>
      <c r="C39" s="34"/>
      <c r="D39" s="35">
        <v>43753</v>
      </c>
      <c r="E39" s="54"/>
      <c r="F39" s="54">
        <v>2019</v>
      </c>
      <c r="G39" s="36">
        <v>30</v>
      </c>
      <c r="H39" s="37"/>
      <c r="I39" s="37"/>
      <c r="J39" s="37"/>
      <c r="K39" s="37"/>
      <c r="L39" s="37"/>
      <c r="M39" s="37"/>
      <c r="N39" s="37"/>
      <c r="O39" s="37"/>
      <c r="P39" s="37"/>
      <c r="Q39" s="48"/>
      <c r="R39" s="37"/>
      <c r="S39" s="37"/>
    </row>
    <row r="40" spans="1:19" x14ac:dyDescent="0.2">
      <c r="A40" s="32">
        <v>37</v>
      </c>
      <c r="B40" s="33" t="s">
        <v>121</v>
      </c>
      <c r="C40" s="34"/>
      <c r="D40" s="35">
        <v>43587</v>
      </c>
      <c r="E40" s="54"/>
      <c r="F40" s="54">
        <v>2019</v>
      </c>
      <c r="G40" s="36">
        <v>30</v>
      </c>
      <c r="H40" s="37"/>
      <c r="I40" s="37"/>
      <c r="J40" s="37"/>
      <c r="K40" s="37"/>
      <c r="L40" s="37"/>
      <c r="M40" s="48"/>
      <c r="N40" s="37"/>
      <c r="O40" s="37"/>
      <c r="P40" s="37"/>
      <c r="Q40" s="37"/>
      <c r="R40" s="37"/>
      <c r="S40" s="37"/>
    </row>
    <row r="41" spans="1:19" x14ac:dyDescent="0.2">
      <c r="A41" s="32">
        <v>38</v>
      </c>
      <c r="B41" s="33" t="s">
        <v>122</v>
      </c>
      <c r="C41" s="34"/>
      <c r="D41" s="35">
        <v>43832</v>
      </c>
      <c r="E41" s="54"/>
      <c r="F41" s="54">
        <v>2019</v>
      </c>
      <c r="G41" s="36">
        <v>30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spans="1:19" x14ac:dyDescent="0.2">
      <c r="A42" s="32">
        <v>39</v>
      </c>
      <c r="B42" s="33" t="s">
        <v>47</v>
      </c>
      <c r="C42" s="34">
        <v>38899</v>
      </c>
      <c r="D42" s="35">
        <v>39630</v>
      </c>
      <c r="E42" s="54">
        <v>106</v>
      </c>
      <c r="F42" s="54">
        <v>2019</v>
      </c>
      <c r="G42" s="36">
        <v>30</v>
      </c>
      <c r="H42" s="37"/>
      <c r="I42" s="37"/>
      <c r="J42" s="37"/>
      <c r="K42" s="37"/>
      <c r="L42" s="37"/>
      <c r="M42" s="37"/>
      <c r="N42" s="53"/>
      <c r="O42" s="37"/>
      <c r="P42" s="37"/>
      <c r="Q42" s="37"/>
      <c r="R42" s="37"/>
      <c r="S42" s="37"/>
    </row>
    <row r="43" spans="1:19" x14ac:dyDescent="0.2">
      <c r="A43" s="32">
        <v>40</v>
      </c>
      <c r="B43" s="33" t="s">
        <v>56</v>
      </c>
      <c r="C43" s="34"/>
      <c r="D43" s="35">
        <v>41671</v>
      </c>
      <c r="E43" s="54">
        <v>150</v>
      </c>
      <c r="F43" s="54">
        <v>2019</v>
      </c>
      <c r="G43" s="36">
        <v>30</v>
      </c>
      <c r="H43" s="42"/>
      <c r="I43" s="48"/>
      <c r="J43" s="37"/>
      <c r="K43" s="37"/>
      <c r="L43" s="37"/>
      <c r="M43" s="37"/>
      <c r="N43" s="37"/>
      <c r="O43" s="37"/>
      <c r="P43" s="37"/>
      <c r="Q43" s="37"/>
      <c r="R43" s="37"/>
      <c r="S43" s="37"/>
    </row>
    <row r="44" spans="1:19" x14ac:dyDescent="0.2">
      <c r="A44" s="32">
        <v>41</v>
      </c>
      <c r="B44" s="33" t="s">
        <v>48</v>
      </c>
      <c r="C44" s="34">
        <v>40210</v>
      </c>
      <c r="D44" s="35">
        <v>40909</v>
      </c>
      <c r="E44" s="54">
        <v>88</v>
      </c>
      <c r="F44" s="54">
        <v>2019</v>
      </c>
      <c r="G44" s="36">
        <v>30</v>
      </c>
      <c r="H44" s="50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1:19" x14ac:dyDescent="0.2">
      <c r="A45" s="32">
        <v>42</v>
      </c>
      <c r="B45" s="33" t="s">
        <v>104</v>
      </c>
      <c r="C45" s="34"/>
      <c r="D45" s="35">
        <v>43466</v>
      </c>
      <c r="E45" s="54">
        <v>30</v>
      </c>
      <c r="F45" s="54">
        <v>2019</v>
      </c>
      <c r="G45" s="36">
        <v>30</v>
      </c>
      <c r="H45" s="50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</row>
    <row r="46" spans="1:19" x14ac:dyDescent="0.2">
      <c r="A46" s="32">
        <v>43</v>
      </c>
      <c r="B46" s="33" t="s">
        <v>91</v>
      </c>
      <c r="C46" s="34"/>
      <c r="D46" s="35">
        <v>43070</v>
      </c>
      <c r="E46" s="54">
        <v>24</v>
      </c>
      <c r="F46" s="54">
        <v>2019</v>
      </c>
      <c r="G46" s="36">
        <v>30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50"/>
    </row>
    <row r="47" spans="1:19" x14ac:dyDescent="0.2">
      <c r="A47" s="32">
        <v>44</v>
      </c>
      <c r="B47" s="33" t="s">
        <v>90</v>
      </c>
      <c r="C47" s="34"/>
      <c r="D47" s="35">
        <v>43101</v>
      </c>
      <c r="E47" s="54">
        <v>0</v>
      </c>
      <c r="F47" s="54">
        <v>2019</v>
      </c>
      <c r="G47" s="36">
        <v>30</v>
      </c>
      <c r="H47" s="48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</row>
    <row r="48" spans="1:19" x14ac:dyDescent="0.2">
      <c r="A48" s="32">
        <v>45</v>
      </c>
      <c r="B48" s="33" t="s">
        <v>105</v>
      </c>
      <c r="C48" s="34"/>
      <c r="D48" s="35">
        <v>43313</v>
      </c>
      <c r="E48" s="54">
        <v>15</v>
      </c>
      <c r="F48" s="54">
        <v>2019</v>
      </c>
      <c r="G48" s="36">
        <v>30</v>
      </c>
      <c r="H48" s="37"/>
      <c r="I48" s="37"/>
      <c r="J48" s="37"/>
      <c r="K48" s="37"/>
      <c r="L48" s="37"/>
      <c r="M48" s="37"/>
      <c r="N48" s="37"/>
      <c r="O48" s="48"/>
      <c r="P48" s="37"/>
      <c r="Q48" s="37"/>
      <c r="R48" s="37"/>
      <c r="S48" s="37"/>
    </row>
    <row r="49" spans="1:19" x14ac:dyDescent="0.2">
      <c r="A49" s="32">
        <v>46</v>
      </c>
      <c r="B49" s="33" t="s">
        <v>62</v>
      </c>
      <c r="C49" s="34">
        <v>40210</v>
      </c>
      <c r="D49" s="35">
        <v>41913</v>
      </c>
      <c r="E49" s="54">
        <v>53</v>
      </c>
      <c r="F49" s="54">
        <v>2019</v>
      </c>
      <c r="G49" s="36">
        <v>30</v>
      </c>
      <c r="H49" s="42"/>
      <c r="I49" s="37"/>
      <c r="J49" s="37"/>
      <c r="K49" s="37"/>
      <c r="L49" s="37"/>
      <c r="M49" s="37"/>
      <c r="N49" s="37"/>
      <c r="O49" s="37"/>
      <c r="P49" s="37"/>
      <c r="Q49" s="48"/>
      <c r="R49" s="37"/>
      <c r="S49" s="37"/>
    </row>
    <row r="50" spans="1:19" x14ac:dyDescent="0.2"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</row>
    <row r="54" spans="1:19" ht="15.75" customHeight="1" x14ac:dyDescent="0.2"/>
    <row r="61" spans="1:19" ht="15.75" customHeight="1" x14ac:dyDescent="0.2"/>
    <row r="62" spans="1:19" ht="15" customHeight="1" x14ac:dyDescent="0.2"/>
    <row r="64" spans="1:19" ht="15" customHeight="1" x14ac:dyDescent="0.2"/>
    <row r="65" ht="15" customHeight="1" x14ac:dyDescent="0.2"/>
    <row r="82" ht="15.75" customHeight="1" x14ac:dyDescent="0.2"/>
    <row r="83" ht="15" customHeight="1" x14ac:dyDescent="0.2"/>
    <row r="84" ht="14.25" customHeight="1" x14ac:dyDescent="0.2"/>
    <row r="97" ht="15.75" customHeight="1" x14ac:dyDescent="0.2"/>
    <row r="98" ht="14.25" customHeight="1" x14ac:dyDescent="0.2"/>
    <row r="99" ht="15" customHeight="1" x14ac:dyDescent="0.2"/>
    <row r="114" ht="15.75" customHeight="1" x14ac:dyDescent="0.2"/>
    <row r="115" ht="14.25" customHeight="1" x14ac:dyDescent="0.2"/>
    <row r="129" ht="15.75" customHeight="1" x14ac:dyDescent="0.2"/>
    <row r="130" ht="14.25" customHeight="1" x14ac:dyDescent="0.2"/>
    <row r="152" ht="15.75" customHeight="1" x14ac:dyDescent="0.2"/>
    <row r="153" ht="14.25" customHeight="1" x14ac:dyDescent="0.2"/>
    <row r="166" ht="15.75" customHeight="1" x14ac:dyDescent="0.2"/>
    <row r="167" ht="14.25" customHeight="1" x14ac:dyDescent="0.2"/>
    <row r="181" ht="15.75" customHeight="1" x14ac:dyDescent="0.2"/>
    <row r="182" ht="14.25" customHeight="1" x14ac:dyDescent="0.2"/>
  </sheetData>
  <sheetProtection selectLockedCells="1" selectUnlockedCells="1"/>
  <mergeCells count="9">
    <mergeCell ref="A1:S1"/>
    <mergeCell ref="A2:A3"/>
    <mergeCell ref="B2:B3"/>
    <mergeCell ref="C2:C3"/>
    <mergeCell ref="D2:D3"/>
    <mergeCell ref="G2:G3"/>
    <mergeCell ref="H2:S2"/>
    <mergeCell ref="E2:E3"/>
    <mergeCell ref="F2:F3"/>
  </mergeCells>
  <printOptions horizontalCentered="1" verticalCentered="1"/>
  <pageMargins left="0" right="0" top="0.55118110236220474" bottom="0.74803149606299213" header="0.51181102362204722" footer="0.51181102362204722"/>
  <pageSetup paperSize="9" scale="68" firstPageNumber="0" orientation="landscape" verticalDpi="4294967294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4"/>
  <sheetViews>
    <sheetView view="pageBreakPreview" zoomScale="78" zoomScaleNormal="66" zoomScaleSheetLayoutView="78" workbookViewId="0">
      <pane ySplit="3" topLeftCell="A37" activePane="bottomLeft" state="frozen"/>
      <selection activeCell="B7" sqref="B7"/>
      <selection pane="bottomLeft" activeCell="B7" sqref="B7"/>
    </sheetView>
  </sheetViews>
  <sheetFormatPr baseColWidth="10" defaultColWidth="11.42578125" defaultRowHeight="14.25" x14ac:dyDescent="0.2"/>
  <cols>
    <col min="1" max="1" width="5.5703125" style="30" customWidth="1"/>
    <col min="2" max="2" width="20.7109375" style="57" customWidth="1"/>
    <col min="3" max="3" width="38.42578125" style="30" customWidth="1"/>
    <col min="4" max="4" width="13.42578125" style="43" hidden="1" customWidth="1"/>
    <col min="5" max="5" width="14.28515625" style="44" customWidth="1"/>
    <col min="6" max="7" width="14.5703125" style="44" customWidth="1"/>
    <col min="8" max="8" width="14.5703125" style="45" customWidth="1"/>
    <col min="9" max="20" width="9" style="30" customWidth="1"/>
    <col min="21" max="16384" width="11.42578125" style="30"/>
  </cols>
  <sheetData>
    <row r="1" spans="1:20" ht="19.5" thickBot="1" x14ac:dyDescent="0.35">
      <c r="A1" s="1209" t="s">
        <v>125</v>
      </c>
      <c r="B1" s="1209"/>
      <c r="C1" s="1209"/>
      <c r="D1" s="1209"/>
      <c r="E1" s="1209"/>
      <c r="F1" s="1209"/>
      <c r="G1" s="1209"/>
      <c r="H1" s="1209"/>
      <c r="I1" s="1209"/>
      <c r="J1" s="1209"/>
      <c r="K1" s="1209"/>
      <c r="L1" s="1209"/>
      <c r="M1" s="1209"/>
      <c r="N1" s="1209"/>
      <c r="O1" s="1209"/>
      <c r="P1" s="1209"/>
      <c r="Q1" s="1209"/>
      <c r="R1" s="1209"/>
      <c r="S1" s="1209"/>
      <c r="T1" s="1209"/>
    </row>
    <row r="2" spans="1:20" ht="18.75" thickTop="1" x14ac:dyDescent="0.25">
      <c r="A2" s="1210" t="s">
        <v>31</v>
      </c>
      <c r="B2" s="1222" t="s">
        <v>138</v>
      </c>
      <c r="C2" s="1210" t="s">
        <v>32</v>
      </c>
      <c r="D2" s="1211" t="s">
        <v>0</v>
      </c>
      <c r="E2" s="1211" t="s">
        <v>124</v>
      </c>
      <c r="F2" s="1210" t="s">
        <v>128</v>
      </c>
      <c r="G2" s="1210" t="s">
        <v>129</v>
      </c>
      <c r="H2" s="1210" t="s">
        <v>33</v>
      </c>
      <c r="I2" s="1212">
        <v>2020</v>
      </c>
      <c r="J2" s="1212"/>
      <c r="K2" s="1212"/>
      <c r="L2" s="1212"/>
      <c r="M2" s="1212"/>
      <c r="N2" s="1212"/>
      <c r="O2" s="1212"/>
      <c r="P2" s="1212"/>
      <c r="Q2" s="1212"/>
      <c r="R2" s="1212"/>
      <c r="S2" s="1212"/>
      <c r="T2" s="1212"/>
    </row>
    <row r="3" spans="1:20" ht="45" customHeight="1" x14ac:dyDescent="0.2">
      <c r="A3" s="1210"/>
      <c r="B3" s="1223"/>
      <c r="C3" s="1210"/>
      <c r="D3" s="1211"/>
      <c r="E3" s="1211"/>
      <c r="F3" s="1210"/>
      <c r="G3" s="1210"/>
      <c r="H3" s="1210"/>
      <c r="I3" s="31" t="s">
        <v>4</v>
      </c>
      <c r="J3" s="31" t="s">
        <v>5</v>
      </c>
      <c r="K3" s="31" t="s">
        <v>6</v>
      </c>
      <c r="L3" s="31" t="s">
        <v>7</v>
      </c>
      <c r="M3" s="31" t="s">
        <v>8</v>
      </c>
      <c r="N3" s="31" t="s">
        <v>9</v>
      </c>
      <c r="O3" s="31" t="s">
        <v>10</v>
      </c>
      <c r="P3" s="31" t="s">
        <v>11</v>
      </c>
      <c r="Q3" s="31" t="s">
        <v>12</v>
      </c>
      <c r="R3" s="31" t="s">
        <v>13</v>
      </c>
      <c r="S3" s="31" t="s">
        <v>14</v>
      </c>
      <c r="T3" s="31" t="s">
        <v>15</v>
      </c>
    </row>
    <row r="4" spans="1:20" x14ac:dyDescent="0.2">
      <c r="A4" s="1213" t="s">
        <v>139</v>
      </c>
      <c r="B4" s="1214"/>
      <c r="C4" s="1214"/>
      <c r="D4" s="1214"/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5"/>
    </row>
    <row r="5" spans="1:20" x14ac:dyDescent="0.2">
      <c r="A5" s="32">
        <v>1</v>
      </c>
      <c r="B5" s="56" t="s">
        <v>139</v>
      </c>
      <c r="C5" s="33" t="s">
        <v>105</v>
      </c>
      <c r="D5" s="34"/>
      <c r="E5" s="35">
        <v>43313</v>
      </c>
      <c r="F5" s="54">
        <v>15</v>
      </c>
      <c r="G5" s="54">
        <v>2019</v>
      </c>
      <c r="H5" s="36">
        <v>30</v>
      </c>
      <c r="I5" s="37"/>
      <c r="J5" s="37"/>
      <c r="K5" s="37"/>
      <c r="L5" s="37"/>
      <c r="M5" s="37"/>
      <c r="N5" s="37"/>
      <c r="O5" s="37"/>
      <c r="P5" s="48"/>
      <c r="Q5" s="37"/>
      <c r="R5" s="37"/>
      <c r="S5" s="37"/>
      <c r="T5" s="37"/>
    </row>
    <row r="6" spans="1:20" x14ac:dyDescent="0.2">
      <c r="A6" s="32">
        <v>2</v>
      </c>
      <c r="B6" s="56" t="s">
        <v>139</v>
      </c>
      <c r="C6" s="33" t="s">
        <v>100</v>
      </c>
      <c r="D6" s="34"/>
      <c r="E6" s="35">
        <v>43313</v>
      </c>
      <c r="F6" s="54">
        <v>16</v>
      </c>
      <c r="G6" s="54">
        <v>2019</v>
      </c>
      <c r="H6" s="36">
        <v>30</v>
      </c>
      <c r="I6" s="37"/>
      <c r="J6" s="37"/>
      <c r="K6" s="37"/>
      <c r="L6" s="37"/>
      <c r="M6" s="38"/>
      <c r="N6" s="37"/>
      <c r="O6" s="37"/>
      <c r="P6" s="49"/>
      <c r="Q6" s="37"/>
      <c r="R6" s="37"/>
      <c r="S6" s="37"/>
      <c r="T6" s="37"/>
    </row>
    <row r="7" spans="1:20" x14ac:dyDescent="0.2">
      <c r="A7" s="32">
        <v>3</v>
      </c>
      <c r="B7" s="56" t="s">
        <v>139</v>
      </c>
      <c r="C7" s="33" t="s">
        <v>101</v>
      </c>
      <c r="D7" s="34"/>
      <c r="E7" s="35">
        <v>43466</v>
      </c>
      <c r="F7" s="54">
        <v>23</v>
      </c>
      <c r="G7" s="54">
        <v>2019</v>
      </c>
      <c r="H7" s="36">
        <v>30</v>
      </c>
      <c r="I7" s="48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r="8" spans="1:20" x14ac:dyDescent="0.2">
      <c r="A8" s="32">
        <v>4</v>
      </c>
      <c r="B8" s="56" t="s">
        <v>139</v>
      </c>
      <c r="C8" s="33" t="s">
        <v>91</v>
      </c>
      <c r="D8" s="34"/>
      <c r="E8" s="35">
        <v>43070</v>
      </c>
      <c r="F8" s="54">
        <v>24</v>
      </c>
      <c r="G8" s="54">
        <v>2019</v>
      </c>
      <c r="H8" s="36">
        <v>30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50"/>
    </row>
    <row r="9" spans="1:20" x14ac:dyDescent="0.2">
      <c r="A9" s="32">
        <v>5</v>
      </c>
      <c r="B9" s="56" t="s">
        <v>139</v>
      </c>
      <c r="C9" s="33" t="s">
        <v>117</v>
      </c>
      <c r="D9" s="34"/>
      <c r="E9" s="35">
        <v>43466</v>
      </c>
      <c r="F9" s="54">
        <v>25</v>
      </c>
      <c r="G9" s="54">
        <v>2019</v>
      </c>
      <c r="H9" s="36">
        <v>30</v>
      </c>
      <c r="I9" s="48"/>
      <c r="J9" s="40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x14ac:dyDescent="0.2">
      <c r="A10" s="32">
        <v>6</v>
      </c>
      <c r="B10" s="56" t="s">
        <v>139</v>
      </c>
      <c r="C10" s="33" t="s">
        <v>34</v>
      </c>
      <c r="D10" s="34">
        <v>41030</v>
      </c>
      <c r="E10" s="35">
        <v>43556</v>
      </c>
      <c r="F10" s="54">
        <v>30</v>
      </c>
      <c r="G10" s="54">
        <v>2019</v>
      </c>
      <c r="H10" s="36">
        <v>30</v>
      </c>
      <c r="I10" s="37"/>
      <c r="J10" s="37"/>
      <c r="K10" s="37"/>
      <c r="L10" s="48"/>
      <c r="M10" s="37"/>
      <c r="N10" s="37"/>
      <c r="O10" s="37"/>
      <c r="P10" s="37"/>
      <c r="Q10" s="37"/>
      <c r="R10" s="37"/>
      <c r="S10" s="37"/>
      <c r="T10" s="37"/>
    </row>
    <row r="11" spans="1:20" x14ac:dyDescent="0.2">
      <c r="A11" s="32">
        <v>7</v>
      </c>
      <c r="B11" s="56" t="s">
        <v>139</v>
      </c>
      <c r="C11" s="33" t="s">
        <v>104</v>
      </c>
      <c r="D11" s="34"/>
      <c r="E11" s="35">
        <v>43466</v>
      </c>
      <c r="F11" s="54">
        <v>30</v>
      </c>
      <c r="G11" s="54">
        <v>2019</v>
      </c>
      <c r="H11" s="36">
        <v>30</v>
      </c>
      <c r="I11" s="50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x14ac:dyDescent="0.2">
      <c r="A12" s="32">
        <v>8</v>
      </c>
      <c r="B12" s="56" t="s">
        <v>139</v>
      </c>
      <c r="C12" s="33" t="s">
        <v>92</v>
      </c>
      <c r="D12" s="34"/>
      <c r="E12" s="35">
        <v>43435</v>
      </c>
      <c r="F12" s="54">
        <v>34</v>
      </c>
      <c r="G12" s="54">
        <v>2019</v>
      </c>
      <c r="H12" s="36">
        <v>30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50"/>
    </row>
    <row r="13" spans="1:20" x14ac:dyDescent="0.2">
      <c r="A13" s="32">
        <v>9</v>
      </c>
      <c r="B13" s="56" t="s">
        <v>139</v>
      </c>
      <c r="C13" s="33" t="s">
        <v>76</v>
      </c>
      <c r="D13" s="34">
        <v>40422</v>
      </c>
      <c r="E13" s="35">
        <v>40452</v>
      </c>
      <c r="F13" s="54">
        <v>40</v>
      </c>
      <c r="G13" s="54">
        <v>2019</v>
      </c>
      <c r="H13" s="36">
        <v>30</v>
      </c>
      <c r="I13" s="37"/>
      <c r="J13" s="37"/>
      <c r="K13" s="37"/>
      <c r="L13" s="37"/>
      <c r="M13" s="37"/>
      <c r="N13" s="37"/>
      <c r="O13" s="37"/>
      <c r="P13" s="37"/>
      <c r="Q13" s="37"/>
      <c r="R13" s="50"/>
      <c r="S13" s="37"/>
      <c r="T13" s="37"/>
    </row>
    <row r="14" spans="1:20" x14ac:dyDescent="0.2">
      <c r="A14" s="32">
        <v>10</v>
      </c>
      <c r="B14" s="56" t="s">
        <v>139</v>
      </c>
      <c r="C14" s="33" t="s">
        <v>77</v>
      </c>
      <c r="D14" s="34"/>
      <c r="E14" s="35">
        <v>41821</v>
      </c>
      <c r="F14" s="54">
        <v>42</v>
      </c>
      <c r="G14" s="54">
        <v>2019</v>
      </c>
      <c r="H14" s="36">
        <v>30</v>
      </c>
      <c r="I14" s="37"/>
      <c r="J14" s="40"/>
      <c r="K14" s="40"/>
      <c r="L14" s="41"/>
      <c r="M14" s="40"/>
      <c r="N14" s="40"/>
      <c r="O14" s="52"/>
      <c r="P14" s="37"/>
      <c r="Q14" s="37"/>
      <c r="R14" s="37"/>
      <c r="S14" s="37"/>
      <c r="T14" s="37"/>
    </row>
    <row r="15" spans="1:20" x14ac:dyDescent="0.2">
      <c r="A15" s="32">
        <v>11</v>
      </c>
      <c r="B15" s="56" t="s">
        <v>139</v>
      </c>
      <c r="C15" s="33" t="s">
        <v>75</v>
      </c>
      <c r="D15" s="34"/>
      <c r="E15" s="35">
        <v>42767</v>
      </c>
      <c r="F15" s="54">
        <v>49</v>
      </c>
      <c r="G15" s="54">
        <v>2019</v>
      </c>
      <c r="H15" s="36">
        <v>30</v>
      </c>
      <c r="I15" s="37"/>
      <c r="J15" s="48"/>
      <c r="K15" s="37"/>
      <c r="L15" s="37"/>
      <c r="M15" s="38"/>
      <c r="N15" s="37"/>
      <c r="O15" s="37"/>
      <c r="P15" s="37"/>
      <c r="Q15" s="37"/>
      <c r="R15" s="37"/>
      <c r="S15" s="37"/>
      <c r="T15" s="37"/>
    </row>
    <row r="16" spans="1:20" x14ac:dyDescent="0.2">
      <c r="A16" s="32">
        <v>12</v>
      </c>
      <c r="B16" s="56" t="s">
        <v>139</v>
      </c>
      <c r="C16" s="33" t="s">
        <v>36</v>
      </c>
      <c r="D16" s="34">
        <v>40210</v>
      </c>
      <c r="E16" s="35">
        <v>40603</v>
      </c>
      <c r="F16" s="54">
        <v>61</v>
      </c>
      <c r="G16" s="54">
        <v>2019</v>
      </c>
      <c r="H16" s="36">
        <v>30</v>
      </c>
      <c r="I16" s="37"/>
      <c r="J16" s="37"/>
      <c r="K16" s="48"/>
      <c r="L16" s="37"/>
      <c r="M16" s="37"/>
      <c r="N16" s="40"/>
      <c r="O16" s="40"/>
      <c r="P16" s="47"/>
      <c r="Q16" s="47"/>
      <c r="R16" s="37"/>
      <c r="S16" s="37"/>
      <c r="T16" s="37"/>
    </row>
    <row r="17" spans="1:20" x14ac:dyDescent="0.2">
      <c r="A17" s="32">
        <v>13</v>
      </c>
      <c r="B17" s="56" t="s">
        <v>139</v>
      </c>
      <c r="C17" s="33" t="s">
        <v>46</v>
      </c>
      <c r="D17" s="34">
        <v>39295</v>
      </c>
      <c r="E17" s="35">
        <v>39630</v>
      </c>
      <c r="F17" s="54">
        <v>127</v>
      </c>
      <c r="G17" s="54">
        <v>2019</v>
      </c>
      <c r="H17" s="36">
        <v>30</v>
      </c>
      <c r="I17" s="37"/>
      <c r="J17" s="37"/>
      <c r="K17" s="37"/>
      <c r="L17" s="37"/>
      <c r="M17" s="37"/>
      <c r="N17" s="37"/>
      <c r="O17" s="50"/>
      <c r="P17" s="37"/>
      <c r="Q17" s="37"/>
      <c r="R17" s="37"/>
      <c r="S17" s="37"/>
      <c r="T17" s="37"/>
    </row>
    <row r="18" spans="1:20" x14ac:dyDescent="0.2">
      <c r="A18" s="32">
        <v>14</v>
      </c>
      <c r="B18" s="56" t="s">
        <v>139</v>
      </c>
      <c r="C18" s="33" t="s">
        <v>41</v>
      </c>
      <c r="D18" s="34">
        <v>39448</v>
      </c>
      <c r="E18" s="35">
        <v>39630</v>
      </c>
      <c r="F18" s="54">
        <v>163</v>
      </c>
      <c r="G18" s="54">
        <v>2019</v>
      </c>
      <c r="H18" s="36">
        <v>30</v>
      </c>
      <c r="I18" s="37"/>
      <c r="J18" s="37"/>
      <c r="K18" s="37"/>
      <c r="L18" s="37"/>
      <c r="M18" s="37"/>
      <c r="N18" s="37"/>
      <c r="O18" s="51"/>
      <c r="P18" s="37"/>
      <c r="Q18" s="37"/>
      <c r="R18" s="37"/>
      <c r="S18" s="37"/>
      <c r="T18" s="37"/>
    </row>
    <row r="19" spans="1:20" x14ac:dyDescent="0.2">
      <c r="A19" s="32">
        <v>15</v>
      </c>
      <c r="B19" s="56" t="s">
        <v>139</v>
      </c>
      <c r="C19" s="33" t="s">
        <v>111</v>
      </c>
      <c r="D19" s="34"/>
      <c r="E19" s="35">
        <v>43753</v>
      </c>
      <c r="F19" s="54"/>
      <c r="G19" s="54">
        <v>2019</v>
      </c>
      <c r="H19" s="36">
        <v>30</v>
      </c>
      <c r="I19" s="37"/>
      <c r="J19" s="37"/>
      <c r="K19" s="47"/>
      <c r="L19" s="37"/>
      <c r="M19" s="38"/>
      <c r="N19" s="37"/>
      <c r="O19" s="37"/>
      <c r="P19" s="37"/>
      <c r="Q19" s="37"/>
      <c r="R19" s="48"/>
      <c r="S19" s="37"/>
      <c r="T19" s="37"/>
    </row>
    <row r="20" spans="1:20" x14ac:dyDescent="0.2">
      <c r="A20" s="32">
        <v>16</v>
      </c>
      <c r="B20" s="56" t="s">
        <v>139</v>
      </c>
      <c r="C20" s="33" t="s">
        <v>112</v>
      </c>
      <c r="D20" s="34"/>
      <c r="E20" s="35">
        <v>43760</v>
      </c>
      <c r="F20" s="54"/>
      <c r="G20" s="54">
        <v>2019</v>
      </c>
      <c r="H20" s="36">
        <v>30</v>
      </c>
      <c r="I20" s="37"/>
      <c r="J20" s="37"/>
      <c r="K20" s="37"/>
      <c r="L20" s="37"/>
      <c r="M20" s="38"/>
      <c r="N20" s="37"/>
      <c r="O20" s="37"/>
      <c r="P20" s="37"/>
      <c r="Q20" s="37"/>
      <c r="R20" s="48"/>
      <c r="S20" s="37"/>
      <c r="T20" s="37"/>
    </row>
    <row r="21" spans="1:20" x14ac:dyDescent="0.2">
      <c r="A21" s="32">
        <v>17</v>
      </c>
      <c r="B21" s="56" t="s">
        <v>139</v>
      </c>
      <c r="C21" s="33" t="s">
        <v>113</v>
      </c>
      <c r="D21" s="34"/>
      <c r="E21" s="35">
        <v>43789</v>
      </c>
      <c r="F21" s="54"/>
      <c r="G21" s="54">
        <v>2019</v>
      </c>
      <c r="H21" s="36">
        <v>30</v>
      </c>
      <c r="I21" s="37"/>
      <c r="J21" s="40"/>
      <c r="K21" s="41"/>
      <c r="L21" s="40"/>
      <c r="M21" s="40"/>
      <c r="N21" s="40"/>
      <c r="O21" s="40"/>
      <c r="P21" s="37"/>
      <c r="Q21" s="37"/>
      <c r="R21" s="37"/>
      <c r="S21" s="48"/>
      <c r="T21" s="37"/>
    </row>
    <row r="22" spans="1:20" x14ac:dyDescent="0.2">
      <c r="A22" s="32">
        <v>18</v>
      </c>
      <c r="B22" s="56" t="s">
        <v>139</v>
      </c>
      <c r="C22" s="33" t="s">
        <v>114</v>
      </c>
      <c r="D22" s="34"/>
      <c r="E22" s="35">
        <v>43773</v>
      </c>
      <c r="F22" s="54"/>
      <c r="G22" s="54">
        <v>2019</v>
      </c>
      <c r="H22" s="36">
        <v>30</v>
      </c>
      <c r="I22" s="37"/>
      <c r="J22" s="40"/>
      <c r="K22" s="40"/>
      <c r="L22" s="41"/>
      <c r="M22" s="40"/>
      <c r="N22" s="40"/>
      <c r="O22" s="40"/>
      <c r="P22" s="37"/>
      <c r="Q22" s="37"/>
      <c r="R22" s="37"/>
      <c r="S22" s="48"/>
      <c r="T22" s="37"/>
    </row>
    <row r="23" spans="1:20" x14ac:dyDescent="0.2">
      <c r="A23" s="32">
        <v>19</v>
      </c>
      <c r="B23" s="56" t="s">
        <v>139</v>
      </c>
      <c r="C23" s="33" t="s">
        <v>115</v>
      </c>
      <c r="D23" s="34"/>
      <c r="E23" s="35">
        <v>43556</v>
      </c>
      <c r="F23" s="54"/>
      <c r="G23" s="54">
        <v>2019</v>
      </c>
      <c r="H23" s="36">
        <v>30</v>
      </c>
      <c r="I23" s="37"/>
      <c r="J23" s="40"/>
      <c r="K23" s="40"/>
      <c r="L23" s="52"/>
      <c r="M23" s="40"/>
      <c r="N23" s="40"/>
      <c r="O23" s="37"/>
      <c r="P23" s="37"/>
      <c r="Q23" s="37"/>
      <c r="R23" s="37"/>
      <c r="S23" s="37"/>
      <c r="T23" s="37"/>
    </row>
    <row r="24" spans="1:20" x14ac:dyDescent="0.2">
      <c r="A24" s="32">
        <v>20</v>
      </c>
      <c r="B24" s="56" t="s">
        <v>139</v>
      </c>
      <c r="C24" s="33" t="s">
        <v>43</v>
      </c>
      <c r="D24" s="34"/>
      <c r="E24" s="35">
        <v>39173</v>
      </c>
      <c r="F24" s="54"/>
      <c r="G24" s="54">
        <v>2019</v>
      </c>
      <c r="H24" s="36">
        <v>30</v>
      </c>
      <c r="I24" s="37"/>
      <c r="J24" s="37"/>
      <c r="K24" s="37"/>
      <c r="L24" s="50"/>
      <c r="M24" s="37"/>
      <c r="N24" s="37"/>
      <c r="O24" s="37"/>
      <c r="P24" s="37"/>
      <c r="Q24" s="37"/>
      <c r="R24" s="37"/>
      <c r="S24" s="37"/>
      <c r="T24" s="37"/>
    </row>
    <row r="25" spans="1:20" x14ac:dyDescent="0.2">
      <c r="A25" s="32">
        <v>21</v>
      </c>
      <c r="B25" s="56" t="s">
        <v>139</v>
      </c>
      <c r="C25" s="33" t="s">
        <v>103</v>
      </c>
      <c r="D25" s="34"/>
      <c r="E25" s="35">
        <v>43374</v>
      </c>
      <c r="F25" s="54"/>
      <c r="G25" s="54">
        <v>2019</v>
      </c>
      <c r="H25" s="36">
        <v>30</v>
      </c>
      <c r="I25" s="37"/>
      <c r="J25" s="37"/>
      <c r="K25" s="37"/>
      <c r="L25" s="37"/>
      <c r="M25" s="37"/>
      <c r="N25" s="37"/>
      <c r="O25" s="37"/>
      <c r="P25" s="37"/>
      <c r="Q25" s="37"/>
      <c r="R25" s="49"/>
      <c r="S25" s="37"/>
      <c r="T25" s="37"/>
    </row>
    <row r="26" spans="1:20" x14ac:dyDescent="0.2">
      <c r="A26" s="32">
        <v>22</v>
      </c>
      <c r="B26" s="56" t="s">
        <v>139</v>
      </c>
      <c r="C26" s="33" t="s">
        <v>116</v>
      </c>
      <c r="D26" s="34"/>
      <c r="E26" s="35">
        <v>43717</v>
      </c>
      <c r="F26" s="54"/>
      <c r="G26" s="54">
        <v>2019</v>
      </c>
      <c r="H26" s="36">
        <v>30</v>
      </c>
      <c r="I26" s="37"/>
      <c r="J26" s="40"/>
      <c r="K26" s="37"/>
      <c r="L26" s="37"/>
      <c r="M26" s="37"/>
      <c r="N26" s="37"/>
      <c r="O26" s="37"/>
      <c r="P26" s="37"/>
      <c r="Q26" s="48"/>
      <c r="R26" s="37"/>
      <c r="S26" s="37"/>
      <c r="T26" s="37"/>
    </row>
    <row r="27" spans="1:20" x14ac:dyDescent="0.2">
      <c r="A27" s="32">
        <v>23</v>
      </c>
      <c r="B27" s="56" t="s">
        <v>139</v>
      </c>
      <c r="C27" s="33" t="s">
        <v>118</v>
      </c>
      <c r="D27" s="34"/>
      <c r="E27" s="35">
        <v>43678</v>
      </c>
      <c r="F27" s="54"/>
      <c r="G27" s="54">
        <v>2019</v>
      </c>
      <c r="H27" s="36">
        <v>30</v>
      </c>
      <c r="I27" s="37"/>
      <c r="J27" s="40"/>
      <c r="K27" s="37"/>
      <c r="L27" s="37"/>
      <c r="M27" s="37"/>
      <c r="N27" s="37"/>
      <c r="O27" s="37"/>
      <c r="P27" s="48"/>
      <c r="Q27" s="37"/>
      <c r="R27" s="37"/>
      <c r="S27" s="37"/>
      <c r="T27" s="37"/>
    </row>
    <row r="28" spans="1:20" x14ac:dyDescent="0.2">
      <c r="A28" s="32">
        <v>24</v>
      </c>
      <c r="B28" s="56" t="s">
        <v>139</v>
      </c>
      <c r="C28" s="33" t="s">
        <v>119</v>
      </c>
      <c r="D28" s="34"/>
      <c r="E28" s="35">
        <v>43405</v>
      </c>
      <c r="F28" s="54"/>
      <c r="G28" s="54">
        <v>2019</v>
      </c>
      <c r="H28" s="36">
        <v>30</v>
      </c>
      <c r="I28" s="37"/>
      <c r="J28" s="40"/>
      <c r="K28" s="37"/>
      <c r="L28" s="37"/>
      <c r="M28" s="37"/>
      <c r="N28" s="37"/>
      <c r="O28" s="37"/>
      <c r="P28" s="37"/>
      <c r="Q28" s="37"/>
      <c r="R28" s="37"/>
      <c r="S28" s="50"/>
      <c r="T28" s="37"/>
    </row>
    <row r="29" spans="1:20" x14ac:dyDescent="0.2">
      <c r="A29" s="32">
        <v>25</v>
      </c>
      <c r="B29" s="56" t="s">
        <v>139</v>
      </c>
      <c r="C29" s="33" t="s">
        <v>120</v>
      </c>
      <c r="D29" s="34"/>
      <c r="E29" s="35">
        <v>43753</v>
      </c>
      <c r="F29" s="54"/>
      <c r="G29" s="54">
        <v>2019</v>
      </c>
      <c r="H29" s="36">
        <v>30</v>
      </c>
      <c r="I29" s="37"/>
      <c r="J29" s="37"/>
      <c r="K29" s="37"/>
      <c r="L29" s="37"/>
      <c r="M29" s="37"/>
      <c r="N29" s="37"/>
      <c r="O29" s="37"/>
      <c r="P29" s="37"/>
      <c r="Q29" s="37"/>
      <c r="R29" s="48"/>
      <c r="S29" s="37"/>
      <c r="T29" s="37"/>
    </row>
    <row r="30" spans="1:20" x14ac:dyDescent="0.2">
      <c r="A30" s="32">
        <v>26</v>
      </c>
      <c r="B30" s="56" t="s">
        <v>139</v>
      </c>
      <c r="C30" s="33" t="s">
        <v>121</v>
      </c>
      <c r="D30" s="34"/>
      <c r="E30" s="35">
        <v>43587</v>
      </c>
      <c r="F30" s="54"/>
      <c r="G30" s="54">
        <v>2019</v>
      </c>
      <c r="H30" s="36">
        <v>30</v>
      </c>
      <c r="I30" s="37"/>
      <c r="J30" s="37"/>
      <c r="K30" s="37"/>
      <c r="L30" s="37"/>
      <c r="M30" s="37"/>
      <c r="N30" s="48"/>
      <c r="O30" s="37"/>
      <c r="P30" s="37"/>
      <c r="Q30" s="37"/>
      <c r="R30" s="37"/>
      <c r="S30" s="37"/>
      <c r="T30" s="37"/>
    </row>
    <row r="31" spans="1:20" x14ac:dyDescent="0.2">
      <c r="A31" s="1216" t="s">
        <v>140</v>
      </c>
      <c r="B31" s="1217"/>
      <c r="C31" s="1217"/>
      <c r="D31" s="1217"/>
      <c r="E31" s="1217"/>
      <c r="F31" s="1217"/>
      <c r="G31" s="1217"/>
      <c r="H31" s="1217"/>
      <c r="I31" s="1217"/>
      <c r="J31" s="1217"/>
      <c r="K31" s="1217"/>
      <c r="L31" s="1217"/>
      <c r="M31" s="1217"/>
      <c r="N31" s="1217"/>
      <c r="O31" s="1217"/>
      <c r="P31" s="1217"/>
      <c r="Q31" s="1217"/>
      <c r="R31" s="1217"/>
      <c r="S31" s="1217"/>
      <c r="T31" s="1218"/>
    </row>
    <row r="32" spans="1:20" x14ac:dyDescent="0.2">
      <c r="A32" s="1213" t="s">
        <v>133</v>
      </c>
      <c r="B32" s="1214"/>
      <c r="C32" s="1214"/>
      <c r="D32" s="1214"/>
      <c r="E32" s="1214"/>
      <c r="F32" s="1214"/>
      <c r="G32" s="1214"/>
      <c r="H32" s="1214"/>
      <c r="I32" s="1214"/>
      <c r="J32" s="1214"/>
      <c r="K32" s="1214"/>
      <c r="L32" s="1214"/>
      <c r="M32" s="1214"/>
      <c r="N32" s="1214"/>
      <c r="O32" s="1214"/>
      <c r="P32" s="1214"/>
      <c r="Q32" s="1214"/>
      <c r="R32" s="1214"/>
      <c r="S32" s="1214"/>
      <c r="T32" s="1215"/>
    </row>
    <row r="33" spans="1:20" x14ac:dyDescent="0.2">
      <c r="A33" s="32">
        <v>27</v>
      </c>
      <c r="B33" s="56" t="s">
        <v>133</v>
      </c>
      <c r="C33" s="33" t="s">
        <v>90</v>
      </c>
      <c r="D33" s="34"/>
      <c r="E33" s="35">
        <v>43101</v>
      </c>
      <c r="F33" s="54">
        <v>0</v>
      </c>
      <c r="G33" s="54">
        <v>2019</v>
      </c>
      <c r="H33" s="36">
        <v>30</v>
      </c>
      <c r="I33" s="48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x14ac:dyDescent="0.2">
      <c r="A34" s="32">
        <v>28</v>
      </c>
      <c r="B34" s="56" t="s">
        <v>133</v>
      </c>
      <c r="C34" s="33" t="s">
        <v>102</v>
      </c>
      <c r="D34" s="34"/>
      <c r="E34" s="35">
        <v>43374</v>
      </c>
      <c r="F34" s="54">
        <v>10</v>
      </c>
      <c r="G34" s="54">
        <v>2019</v>
      </c>
      <c r="H34" s="36">
        <v>30</v>
      </c>
      <c r="I34" s="37"/>
      <c r="J34" s="37"/>
      <c r="K34" s="37"/>
      <c r="L34" s="37"/>
      <c r="M34" s="37"/>
      <c r="N34" s="37"/>
      <c r="O34" s="37"/>
      <c r="P34" s="37"/>
      <c r="Q34" s="37"/>
      <c r="R34" s="49"/>
      <c r="S34" s="37"/>
      <c r="T34" s="37"/>
    </row>
    <row r="35" spans="1:20" x14ac:dyDescent="0.2">
      <c r="A35" s="32">
        <v>29</v>
      </c>
      <c r="B35" s="56" t="s">
        <v>133</v>
      </c>
      <c r="C35" s="33" t="s">
        <v>38</v>
      </c>
      <c r="D35" s="34">
        <v>38353</v>
      </c>
      <c r="E35" s="35">
        <v>39203</v>
      </c>
      <c r="F35" s="54">
        <v>234</v>
      </c>
      <c r="G35" s="54">
        <v>2019</v>
      </c>
      <c r="H35" s="36">
        <v>30</v>
      </c>
      <c r="I35" s="37"/>
      <c r="J35" s="37"/>
      <c r="K35" s="37"/>
      <c r="L35" s="37"/>
      <c r="M35" s="50"/>
      <c r="N35" s="37"/>
      <c r="O35" s="37"/>
      <c r="P35" s="37"/>
      <c r="Q35" s="37"/>
      <c r="R35" s="37"/>
      <c r="S35" s="37"/>
      <c r="T35" s="37"/>
    </row>
    <row r="36" spans="1:20" x14ac:dyDescent="0.2">
      <c r="A36" s="32">
        <v>30</v>
      </c>
      <c r="B36" s="56" t="s">
        <v>133</v>
      </c>
      <c r="C36" s="33" t="s">
        <v>39</v>
      </c>
      <c r="D36" s="34">
        <v>40238</v>
      </c>
      <c r="E36" s="35">
        <v>40238</v>
      </c>
      <c r="F36" s="54"/>
      <c r="G36" s="54">
        <v>2019</v>
      </c>
      <c r="H36" s="36">
        <v>30</v>
      </c>
      <c r="I36" s="37"/>
      <c r="J36" s="40"/>
      <c r="K36" s="52"/>
      <c r="L36" s="40"/>
      <c r="M36" s="40"/>
      <c r="N36" s="40"/>
      <c r="O36" s="40"/>
      <c r="P36" s="37"/>
      <c r="Q36" s="37"/>
      <c r="R36" s="37"/>
      <c r="S36" s="37"/>
      <c r="T36" s="37"/>
    </row>
    <row r="37" spans="1:20" x14ac:dyDescent="0.2">
      <c r="A37" s="1213" t="s">
        <v>147</v>
      </c>
      <c r="B37" s="1214"/>
      <c r="C37" s="1214"/>
      <c r="D37" s="1214"/>
      <c r="E37" s="1214"/>
      <c r="F37" s="1214"/>
      <c r="G37" s="1214"/>
      <c r="H37" s="1214"/>
      <c r="I37" s="1214"/>
      <c r="J37" s="1214"/>
      <c r="K37" s="1214"/>
      <c r="L37" s="1214"/>
      <c r="M37" s="1214"/>
      <c r="N37" s="1214"/>
      <c r="O37" s="1214"/>
      <c r="P37" s="1214"/>
      <c r="Q37" s="1214"/>
      <c r="R37" s="1214"/>
      <c r="S37" s="1214"/>
      <c r="T37" s="1215"/>
    </row>
    <row r="38" spans="1:20" x14ac:dyDescent="0.2">
      <c r="A38" s="32">
        <v>31</v>
      </c>
      <c r="B38" s="56" t="s">
        <v>147</v>
      </c>
      <c r="C38" s="33" t="s">
        <v>44</v>
      </c>
      <c r="D38" s="34">
        <v>40483</v>
      </c>
      <c r="E38" s="35">
        <v>40969</v>
      </c>
      <c r="F38" s="54">
        <v>45</v>
      </c>
      <c r="G38" s="54">
        <v>2019</v>
      </c>
      <c r="H38" s="36">
        <v>30</v>
      </c>
      <c r="I38" s="37"/>
      <c r="J38" s="40"/>
      <c r="K38" s="50"/>
      <c r="L38" s="37"/>
      <c r="M38" s="37"/>
      <c r="N38" s="37"/>
      <c r="O38" s="37"/>
      <c r="P38" s="37"/>
      <c r="Q38" s="37"/>
      <c r="R38" s="37"/>
      <c r="S38" s="37"/>
      <c r="T38" s="37"/>
    </row>
    <row r="39" spans="1:20" x14ac:dyDescent="0.2">
      <c r="A39" s="32">
        <v>32</v>
      </c>
      <c r="B39" s="56" t="s">
        <v>147</v>
      </c>
      <c r="C39" s="33" t="s">
        <v>40</v>
      </c>
      <c r="D39" s="34">
        <v>38473</v>
      </c>
      <c r="E39" s="35">
        <v>39173</v>
      </c>
      <c r="F39" s="54">
        <v>240</v>
      </c>
      <c r="G39" s="54">
        <v>2019</v>
      </c>
      <c r="H39" s="36">
        <v>30</v>
      </c>
      <c r="I39" s="37"/>
      <c r="J39" s="37"/>
      <c r="K39" s="37"/>
      <c r="L39" s="50"/>
      <c r="M39" s="37"/>
      <c r="N39" s="37"/>
      <c r="O39" s="37"/>
      <c r="P39" s="37"/>
      <c r="Q39" s="37"/>
      <c r="R39" s="37"/>
      <c r="S39" s="37"/>
      <c r="T39" s="37"/>
    </row>
    <row r="40" spans="1:20" x14ac:dyDescent="0.2">
      <c r="A40" s="1213" t="s">
        <v>142</v>
      </c>
      <c r="B40" s="1214"/>
      <c r="C40" s="1214"/>
      <c r="D40" s="1214"/>
      <c r="E40" s="1214"/>
      <c r="F40" s="1214"/>
      <c r="G40" s="1214"/>
      <c r="H40" s="1214"/>
      <c r="I40" s="1214"/>
      <c r="J40" s="1214"/>
      <c r="K40" s="1214"/>
      <c r="L40" s="1214"/>
      <c r="M40" s="1214"/>
      <c r="N40" s="1214"/>
      <c r="O40" s="1214"/>
      <c r="P40" s="1214"/>
      <c r="Q40" s="1214"/>
      <c r="R40" s="1214"/>
      <c r="S40" s="1214"/>
      <c r="T40" s="1215"/>
    </row>
    <row r="41" spans="1:20" x14ac:dyDescent="0.2">
      <c r="A41" s="32">
        <v>33</v>
      </c>
      <c r="B41" s="56" t="s">
        <v>141</v>
      </c>
      <c r="C41" s="33" t="s">
        <v>17</v>
      </c>
      <c r="D41" s="34">
        <v>41365</v>
      </c>
      <c r="E41" s="35">
        <v>41365</v>
      </c>
      <c r="F41" s="54">
        <v>72</v>
      </c>
      <c r="G41" s="54">
        <v>2019</v>
      </c>
      <c r="H41" s="36">
        <v>30</v>
      </c>
      <c r="I41" s="37"/>
      <c r="J41" s="32"/>
      <c r="K41" s="33"/>
      <c r="L41" s="50"/>
      <c r="M41" s="37"/>
      <c r="N41" s="37"/>
      <c r="O41" s="37"/>
      <c r="P41" s="37"/>
      <c r="Q41" s="37"/>
      <c r="R41" s="37"/>
      <c r="S41" s="37"/>
      <c r="T41" s="37"/>
    </row>
    <row r="42" spans="1:20" x14ac:dyDescent="0.2">
      <c r="A42" s="1213" t="s">
        <v>132</v>
      </c>
      <c r="B42" s="1214"/>
      <c r="C42" s="1214"/>
      <c r="D42" s="1214"/>
      <c r="E42" s="1214"/>
      <c r="F42" s="1214"/>
      <c r="G42" s="1214"/>
      <c r="H42" s="1214"/>
      <c r="I42" s="1214"/>
      <c r="J42" s="1214"/>
      <c r="K42" s="1214"/>
      <c r="L42" s="1214"/>
      <c r="M42" s="1214"/>
      <c r="N42" s="1214"/>
      <c r="O42" s="1214"/>
      <c r="P42" s="1214"/>
      <c r="Q42" s="1214"/>
      <c r="R42" s="1214"/>
      <c r="S42" s="1214"/>
      <c r="T42" s="1215"/>
    </row>
    <row r="43" spans="1:20" x14ac:dyDescent="0.2">
      <c r="A43" s="32">
        <v>34</v>
      </c>
      <c r="B43" s="56" t="s">
        <v>132</v>
      </c>
      <c r="C43" s="33" t="s">
        <v>48</v>
      </c>
      <c r="D43" s="34">
        <v>40210</v>
      </c>
      <c r="E43" s="35">
        <v>40909</v>
      </c>
      <c r="F43" s="54">
        <v>88</v>
      </c>
      <c r="G43" s="54">
        <v>2019</v>
      </c>
      <c r="H43" s="36">
        <v>30</v>
      </c>
      <c r="I43" s="50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x14ac:dyDescent="0.2">
      <c r="A44" s="32">
        <v>35</v>
      </c>
      <c r="B44" s="56" t="s">
        <v>132</v>
      </c>
      <c r="C44" s="33" t="s">
        <v>35</v>
      </c>
      <c r="D44" s="34">
        <v>38504</v>
      </c>
      <c r="E44" s="35">
        <v>40545</v>
      </c>
      <c r="F44" s="54">
        <v>122</v>
      </c>
      <c r="G44" s="54">
        <v>2019</v>
      </c>
      <c r="H44" s="36">
        <v>30</v>
      </c>
      <c r="I44" s="50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x14ac:dyDescent="0.2">
      <c r="A45" s="32">
        <v>36</v>
      </c>
      <c r="B45" s="56" t="s">
        <v>132</v>
      </c>
      <c r="C45" s="33" t="s">
        <v>123</v>
      </c>
      <c r="D45" s="34"/>
      <c r="E45" s="35">
        <v>43832</v>
      </c>
      <c r="F45" s="54"/>
      <c r="G45" s="54">
        <v>2019</v>
      </c>
      <c r="H45" s="36">
        <v>30</v>
      </c>
      <c r="I45" s="37"/>
      <c r="J45" s="37"/>
      <c r="K45" s="37"/>
      <c r="L45" s="37"/>
      <c r="M45" s="37"/>
      <c r="N45" s="37"/>
      <c r="O45" s="39"/>
      <c r="P45" s="37"/>
      <c r="Q45" s="37"/>
      <c r="R45" s="47"/>
      <c r="S45" s="37"/>
      <c r="T45" s="37"/>
    </row>
    <row r="46" spans="1:20" x14ac:dyDescent="0.2">
      <c r="A46" s="1219" t="s">
        <v>135</v>
      </c>
      <c r="B46" s="1220"/>
      <c r="C46" s="1220"/>
      <c r="D46" s="1220"/>
      <c r="E46" s="1220"/>
      <c r="F46" s="1220"/>
      <c r="G46" s="1220"/>
      <c r="H46" s="1220"/>
      <c r="I46" s="1220"/>
      <c r="J46" s="1220"/>
      <c r="K46" s="1220"/>
      <c r="L46" s="1220"/>
      <c r="M46" s="1220"/>
      <c r="N46" s="1220"/>
      <c r="O46" s="1220"/>
      <c r="P46" s="1220"/>
      <c r="Q46" s="1220"/>
      <c r="R46" s="1220"/>
      <c r="S46" s="1220"/>
      <c r="T46" s="1221"/>
    </row>
    <row r="47" spans="1:20" x14ac:dyDescent="0.2">
      <c r="A47" s="32">
        <v>37</v>
      </c>
      <c r="B47" s="56" t="s">
        <v>135</v>
      </c>
      <c r="C47" s="33" t="s">
        <v>122</v>
      </c>
      <c r="D47" s="34"/>
      <c r="E47" s="35">
        <v>43832</v>
      </c>
      <c r="F47" s="54"/>
      <c r="G47" s="54">
        <v>2019</v>
      </c>
      <c r="H47" s="36">
        <v>30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x14ac:dyDescent="0.2">
      <c r="A48" s="1213" t="s">
        <v>143</v>
      </c>
      <c r="B48" s="1214"/>
      <c r="C48" s="1214"/>
      <c r="D48" s="1214"/>
      <c r="E48" s="1214"/>
      <c r="F48" s="1214"/>
      <c r="G48" s="1214"/>
      <c r="H48" s="1214"/>
      <c r="I48" s="1214"/>
      <c r="J48" s="1214"/>
      <c r="K48" s="1214"/>
      <c r="L48" s="1214"/>
      <c r="M48" s="1214"/>
      <c r="N48" s="1214"/>
      <c r="O48" s="1214"/>
      <c r="P48" s="1214"/>
      <c r="Q48" s="1214"/>
      <c r="R48" s="1214"/>
      <c r="S48" s="1214"/>
      <c r="T48" s="1215"/>
    </row>
    <row r="49" spans="1:20" ht="12" customHeight="1" x14ac:dyDescent="0.2">
      <c r="A49" s="32">
        <v>38</v>
      </c>
      <c r="B49" s="56" t="s">
        <v>131</v>
      </c>
      <c r="C49" s="33" t="s">
        <v>49</v>
      </c>
      <c r="D49" s="34"/>
      <c r="E49" s="35">
        <v>41883</v>
      </c>
      <c r="F49" s="54">
        <v>26</v>
      </c>
      <c r="G49" s="54">
        <v>2019</v>
      </c>
      <c r="H49" s="36">
        <v>30</v>
      </c>
      <c r="I49" s="37"/>
      <c r="J49" s="37"/>
      <c r="K49" s="37"/>
      <c r="L49" s="37"/>
      <c r="M49" s="38"/>
      <c r="N49" s="37"/>
      <c r="O49" s="37"/>
      <c r="P49" s="37"/>
      <c r="Q49" s="49"/>
      <c r="R49" s="37"/>
      <c r="S49" s="37"/>
      <c r="T49" s="37"/>
    </row>
    <row r="50" spans="1:20" x14ac:dyDescent="0.2">
      <c r="A50" s="32">
        <v>39</v>
      </c>
      <c r="B50" s="56" t="s">
        <v>131</v>
      </c>
      <c r="C50" s="33" t="s">
        <v>42</v>
      </c>
      <c r="D50" s="34">
        <v>38961</v>
      </c>
      <c r="E50" s="35">
        <v>40909</v>
      </c>
      <c r="F50" s="54">
        <v>152</v>
      </c>
      <c r="G50" s="54">
        <v>2019</v>
      </c>
      <c r="H50" s="36">
        <v>30</v>
      </c>
      <c r="I50" s="50"/>
      <c r="J50" s="42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x14ac:dyDescent="0.2">
      <c r="A51" s="32">
        <v>40</v>
      </c>
      <c r="B51" s="56" t="s">
        <v>131</v>
      </c>
      <c r="C51" s="33" t="s">
        <v>37</v>
      </c>
      <c r="D51" s="34">
        <v>38565</v>
      </c>
      <c r="E51" s="35">
        <v>39630</v>
      </c>
      <c r="F51" s="54">
        <v>175</v>
      </c>
      <c r="G51" s="54">
        <v>2019</v>
      </c>
      <c r="H51" s="36">
        <v>30</v>
      </c>
      <c r="I51" s="37"/>
      <c r="J51" s="37"/>
      <c r="K51" s="37"/>
      <c r="L51" s="37"/>
      <c r="M51" s="37"/>
      <c r="N51" s="37"/>
      <c r="O51" s="51"/>
      <c r="Q51" s="37"/>
      <c r="R51" s="37"/>
      <c r="S51" s="37"/>
      <c r="T51" s="37"/>
    </row>
    <row r="52" spans="1:20" x14ac:dyDescent="0.2">
      <c r="A52" s="1219" t="s">
        <v>144</v>
      </c>
      <c r="B52" s="1220"/>
      <c r="C52" s="1220"/>
      <c r="D52" s="1220"/>
      <c r="E52" s="1220"/>
      <c r="F52" s="1220"/>
      <c r="G52" s="1220"/>
      <c r="H52" s="1220"/>
      <c r="I52" s="1220"/>
      <c r="J52" s="1220"/>
      <c r="K52" s="1220"/>
      <c r="L52" s="1220"/>
      <c r="M52" s="1220"/>
      <c r="N52" s="1220"/>
      <c r="O52" s="1220"/>
      <c r="P52" s="1220"/>
      <c r="Q52" s="1220"/>
      <c r="R52" s="1220"/>
      <c r="S52" s="1220"/>
      <c r="T52" s="1221"/>
    </row>
    <row r="53" spans="1:20" x14ac:dyDescent="0.2">
      <c r="A53" s="32">
        <v>41</v>
      </c>
      <c r="B53" s="56" t="s">
        <v>130</v>
      </c>
      <c r="C53" s="33" t="s">
        <v>93</v>
      </c>
      <c r="D53" s="34"/>
      <c r="E53" s="35">
        <v>42979</v>
      </c>
      <c r="F53" s="54">
        <v>11</v>
      </c>
      <c r="G53" s="54">
        <v>2019</v>
      </c>
      <c r="H53" s="36">
        <v>30</v>
      </c>
      <c r="I53" s="37"/>
      <c r="J53" s="37"/>
      <c r="K53" s="37"/>
      <c r="L53" s="37"/>
      <c r="M53" s="38"/>
      <c r="N53" s="37"/>
      <c r="O53" s="37"/>
      <c r="P53" s="37"/>
      <c r="Q53" s="49"/>
      <c r="R53" s="37"/>
      <c r="S53" s="37"/>
      <c r="T53" s="37"/>
    </row>
    <row r="54" spans="1:20" x14ac:dyDescent="0.2">
      <c r="A54" s="1213" t="s">
        <v>145</v>
      </c>
      <c r="B54" s="1214"/>
      <c r="C54" s="1214"/>
      <c r="D54" s="1214"/>
      <c r="E54" s="1214"/>
      <c r="F54" s="1214"/>
      <c r="G54" s="1214"/>
      <c r="H54" s="1214"/>
      <c r="I54" s="1214"/>
      <c r="J54" s="1214"/>
      <c r="K54" s="1214"/>
      <c r="L54" s="1214"/>
      <c r="M54" s="1214"/>
      <c r="N54" s="1214"/>
      <c r="O54" s="1214"/>
      <c r="P54" s="1214"/>
      <c r="Q54" s="1214"/>
      <c r="R54" s="1214"/>
      <c r="S54" s="1214"/>
      <c r="T54" s="1215"/>
    </row>
    <row r="55" spans="1:20" x14ac:dyDescent="0.2">
      <c r="A55" s="32">
        <v>42</v>
      </c>
      <c r="B55" s="56" t="s">
        <v>136</v>
      </c>
      <c r="C55" s="33" t="s">
        <v>47</v>
      </c>
      <c r="D55" s="34">
        <v>38899</v>
      </c>
      <c r="E55" s="35">
        <v>39630</v>
      </c>
      <c r="F55" s="54">
        <v>106</v>
      </c>
      <c r="G55" s="54">
        <v>2019</v>
      </c>
      <c r="H55" s="36">
        <v>30</v>
      </c>
      <c r="I55" s="37"/>
      <c r="J55" s="37"/>
      <c r="K55" s="37"/>
      <c r="L55" s="37"/>
      <c r="M55" s="37"/>
      <c r="N55" s="37"/>
      <c r="O55" s="53"/>
      <c r="P55" s="37"/>
      <c r="Q55" s="37"/>
      <c r="R55" s="37"/>
      <c r="S55" s="37"/>
      <c r="T55" s="37"/>
    </row>
    <row r="56" spans="1:20" x14ac:dyDescent="0.2">
      <c r="A56" s="32">
        <v>43</v>
      </c>
      <c r="B56" s="56" t="s">
        <v>136</v>
      </c>
      <c r="C56" s="33" t="s">
        <v>56</v>
      </c>
      <c r="D56" s="34"/>
      <c r="E56" s="35">
        <v>41671</v>
      </c>
      <c r="F56" s="54">
        <v>150</v>
      </c>
      <c r="G56" s="54">
        <v>2019</v>
      </c>
      <c r="H56" s="36">
        <v>30</v>
      </c>
      <c r="I56" s="42"/>
      <c r="J56" s="48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x14ac:dyDescent="0.2">
      <c r="A57" s="1213" t="s">
        <v>137</v>
      </c>
      <c r="B57" s="1214"/>
      <c r="C57" s="1214"/>
      <c r="D57" s="1214"/>
      <c r="E57" s="1214"/>
      <c r="F57" s="1214"/>
      <c r="G57" s="1214"/>
      <c r="H57" s="1214"/>
      <c r="I57" s="1214"/>
      <c r="J57" s="1214"/>
      <c r="K57" s="1214"/>
      <c r="L57" s="1214"/>
      <c r="M57" s="1214"/>
      <c r="N57" s="1214"/>
      <c r="O57" s="1214"/>
      <c r="P57" s="1214"/>
      <c r="Q57" s="1214"/>
      <c r="R57" s="1214"/>
      <c r="S57" s="1214"/>
      <c r="T57" s="1215"/>
    </row>
    <row r="58" spans="1:20" x14ac:dyDescent="0.2">
      <c r="A58" s="32">
        <v>44</v>
      </c>
      <c r="B58" s="56" t="s">
        <v>137</v>
      </c>
      <c r="C58" s="33" t="s">
        <v>62</v>
      </c>
      <c r="D58" s="34">
        <v>40210</v>
      </c>
      <c r="E58" s="35">
        <v>41913</v>
      </c>
      <c r="F58" s="54">
        <v>53</v>
      </c>
      <c r="G58" s="54">
        <v>2019</v>
      </c>
      <c r="H58" s="36">
        <v>30</v>
      </c>
      <c r="I58" s="42"/>
      <c r="J58" s="37"/>
      <c r="K58" s="37"/>
      <c r="L58" s="37"/>
      <c r="M58" s="37"/>
      <c r="N58" s="37"/>
      <c r="O58" s="37"/>
      <c r="P58" s="37"/>
      <c r="Q58" s="37"/>
      <c r="R58" s="48"/>
      <c r="S58" s="37"/>
      <c r="T58" s="37"/>
    </row>
    <row r="59" spans="1:20" x14ac:dyDescent="0.2">
      <c r="A59" s="32">
        <v>45</v>
      </c>
      <c r="B59" s="56" t="s">
        <v>137</v>
      </c>
      <c r="C59" s="33" t="s">
        <v>45</v>
      </c>
      <c r="D59" s="34"/>
      <c r="E59" s="34">
        <v>41306</v>
      </c>
      <c r="F59" s="55">
        <v>85</v>
      </c>
      <c r="G59" s="54">
        <v>2019</v>
      </c>
      <c r="H59" s="36">
        <v>30</v>
      </c>
      <c r="I59" s="37"/>
      <c r="J59" s="50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x14ac:dyDescent="0.2">
      <c r="A60" s="1213" t="s">
        <v>146</v>
      </c>
      <c r="B60" s="1214"/>
      <c r="C60" s="1214"/>
      <c r="D60" s="1214"/>
      <c r="E60" s="1214"/>
      <c r="F60" s="1214"/>
      <c r="G60" s="1214"/>
      <c r="H60" s="1214"/>
      <c r="I60" s="1214"/>
      <c r="J60" s="1214"/>
      <c r="K60" s="1214"/>
      <c r="L60" s="1214"/>
      <c r="M60" s="1214"/>
      <c r="N60" s="1214"/>
      <c r="O60" s="1214"/>
      <c r="P60" s="1214"/>
      <c r="Q60" s="1214"/>
      <c r="R60" s="1214"/>
      <c r="S60" s="1214"/>
      <c r="T60" s="1215"/>
    </row>
    <row r="61" spans="1:20" x14ac:dyDescent="0.2">
      <c r="A61" s="32">
        <v>46</v>
      </c>
      <c r="B61" s="56" t="s">
        <v>134</v>
      </c>
      <c r="C61" s="33" t="s">
        <v>94</v>
      </c>
      <c r="D61" s="34"/>
      <c r="E61" s="34">
        <v>42856</v>
      </c>
      <c r="F61" s="55">
        <v>44</v>
      </c>
      <c r="G61" s="54">
        <v>2019</v>
      </c>
      <c r="H61" s="36">
        <v>30</v>
      </c>
      <c r="I61" s="37"/>
      <c r="J61" s="37"/>
      <c r="K61" s="37"/>
      <c r="L61" s="37"/>
      <c r="M61" s="50"/>
      <c r="N61" s="37"/>
      <c r="O61" s="37"/>
      <c r="P61" s="37"/>
      <c r="Q61" s="37"/>
      <c r="R61" s="37"/>
      <c r="S61" s="37"/>
      <c r="T61" s="37"/>
    </row>
    <row r="62" spans="1:20" x14ac:dyDescent="0.2"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6" ht="15.75" customHeight="1" x14ac:dyDescent="0.2"/>
    <row r="73" ht="15.75" customHeight="1" x14ac:dyDescent="0.2"/>
    <row r="74" ht="15" customHeight="1" x14ac:dyDescent="0.2"/>
    <row r="76" ht="15" customHeight="1" x14ac:dyDescent="0.2"/>
    <row r="77" ht="15" customHeight="1" x14ac:dyDescent="0.2"/>
    <row r="94" ht="15.75" customHeight="1" x14ac:dyDescent="0.2"/>
    <row r="95" ht="15" customHeight="1" x14ac:dyDescent="0.2"/>
    <row r="96" ht="14.25" customHeight="1" x14ac:dyDescent="0.2"/>
    <row r="109" ht="15.75" customHeight="1" x14ac:dyDescent="0.2"/>
    <row r="110" ht="14.25" customHeight="1" x14ac:dyDescent="0.2"/>
    <row r="111" ht="15" customHeight="1" x14ac:dyDescent="0.2"/>
    <row r="126" ht="15.75" customHeight="1" x14ac:dyDescent="0.2"/>
    <row r="127" ht="14.25" customHeight="1" x14ac:dyDescent="0.2"/>
    <row r="141" ht="15.75" customHeight="1" x14ac:dyDescent="0.2"/>
    <row r="142" ht="14.25" customHeight="1" x14ac:dyDescent="0.2"/>
    <row r="164" ht="15.75" customHeight="1" x14ac:dyDescent="0.2"/>
    <row r="165" ht="14.25" customHeight="1" x14ac:dyDescent="0.2"/>
    <row r="178" ht="15.75" customHeight="1" x14ac:dyDescent="0.2"/>
    <row r="179" ht="14.25" customHeight="1" x14ac:dyDescent="0.2"/>
    <row r="193" ht="15.75" customHeight="1" x14ac:dyDescent="0.2"/>
    <row r="194" ht="14.25" customHeight="1" x14ac:dyDescent="0.2"/>
  </sheetData>
  <sheetProtection selectLockedCells="1" selectUnlockedCells="1"/>
  <mergeCells count="22">
    <mergeCell ref="A1:T1"/>
    <mergeCell ref="A2:A3"/>
    <mergeCell ref="B2:B3"/>
    <mergeCell ref="C2:C3"/>
    <mergeCell ref="D2:D3"/>
    <mergeCell ref="E2:E3"/>
    <mergeCell ref="F2:F3"/>
    <mergeCell ref="G2:G3"/>
    <mergeCell ref="H2:H3"/>
    <mergeCell ref="I2:T2"/>
    <mergeCell ref="A60:T60"/>
    <mergeCell ref="A4:T4"/>
    <mergeCell ref="A31:T31"/>
    <mergeCell ref="A32:T32"/>
    <mergeCell ref="A40:T40"/>
    <mergeCell ref="A42:T42"/>
    <mergeCell ref="A37:T37"/>
    <mergeCell ref="A46:T46"/>
    <mergeCell ref="A48:T48"/>
    <mergeCell ref="A52:T52"/>
    <mergeCell ref="A54:T54"/>
    <mergeCell ref="A57:T57"/>
  </mergeCells>
  <printOptions horizontalCentered="1" verticalCentered="1"/>
  <pageMargins left="0" right="0" top="0.55118110236220474" bottom="0.74803149606299213" header="0.51181102362204722" footer="0.51181102362204722"/>
  <pageSetup paperSize="9" scale="60" firstPageNumber="0" orientation="landscape" horizontalDpi="4294967294" vertic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view="pageBreakPreview" zoomScaleSheetLayoutView="100" workbookViewId="0">
      <selection activeCell="B7" sqref="B7"/>
    </sheetView>
  </sheetViews>
  <sheetFormatPr baseColWidth="10" defaultRowHeight="12.75" x14ac:dyDescent="0.2"/>
  <cols>
    <col min="1" max="1" width="5.85546875" customWidth="1"/>
    <col min="2" max="2" width="16.42578125" customWidth="1"/>
    <col min="3" max="3" width="14" customWidth="1"/>
    <col min="4" max="4" width="11.140625" customWidth="1"/>
    <col min="5" max="5" width="10.140625" customWidth="1"/>
    <col min="6" max="6" width="16.42578125" customWidth="1"/>
    <col min="7" max="7" width="10.140625" customWidth="1"/>
    <col min="8" max="9" width="16.42578125" customWidth="1"/>
  </cols>
  <sheetData>
    <row r="1" spans="1:9" ht="15" x14ac:dyDescent="0.25">
      <c r="A1" s="12"/>
      <c r="B1" s="13"/>
      <c r="C1" s="1229" t="s">
        <v>63</v>
      </c>
      <c r="D1" s="1230"/>
      <c r="E1" s="1230"/>
      <c r="F1" s="1230"/>
      <c r="G1" s="1231"/>
      <c r="H1" s="1"/>
      <c r="I1" s="1"/>
    </row>
    <row r="2" spans="1:9" ht="24" customHeight="1" x14ac:dyDescent="0.25">
      <c r="A2" s="14"/>
      <c r="C2" s="1232"/>
      <c r="D2" s="1233"/>
      <c r="E2" s="1233"/>
      <c r="F2" s="1233"/>
      <c r="G2" s="1234"/>
      <c r="H2" s="1"/>
      <c r="I2" s="1"/>
    </row>
    <row r="3" spans="1:9" x14ac:dyDescent="0.2">
      <c r="A3" s="15"/>
      <c r="B3" s="16"/>
      <c r="C3" s="16"/>
      <c r="D3" s="16"/>
      <c r="E3" s="16"/>
      <c r="F3" s="16"/>
      <c r="G3" s="17"/>
    </row>
    <row r="4" spans="1:9" ht="15" x14ac:dyDescent="0.25">
      <c r="A4" s="18"/>
      <c r="D4" t="s">
        <v>64</v>
      </c>
      <c r="F4" s="27"/>
      <c r="G4" s="19"/>
    </row>
    <row r="5" spans="1:9" x14ac:dyDescent="0.2">
      <c r="A5" s="18"/>
      <c r="G5" s="19"/>
    </row>
    <row r="6" spans="1:9" ht="12" customHeight="1" x14ac:dyDescent="0.2">
      <c r="A6" s="18"/>
      <c r="B6" s="2" t="s">
        <v>65</v>
      </c>
      <c r="C6" s="1224"/>
      <c r="D6" s="1225"/>
      <c r="E6" s="1225"/>
      <c r="F6" s="1226"/>
      <c r="G6" s="20"/>
      <c r="H6" s="2"/>
      <c r="I6" s="2"/>
    </row>
    <row r="7" spans="1:9" ht="12.75" customHeight="1" x14ac:dyDescent="0.2">
      <c r="A7" s="18"/>
      <c r="C7" s="11"/>
      <c r="D7" s="11"/>
      <c r="E7" s="11"/>
      <c r="F7" s="11"/>
      <c r="G7" s="19"/>
    </row>
    <row r="8" spans="1:9" ht="12.75" customHeight="1" x14ac:dyDescent="0.2">
      <c r="A8" s="18"/>
      <c r="B8" t="s">
        <v>23</v>
      </c>
      <c r="C8" s="11"/>
      <c r="D8" s="11"/>
      <c r="E8" s="28"/>
      <c r="F8" s="21" t="s">
        <v>71</v>
      </c>
      <c r="G8" s="19"/>
    </row>
    <row r="9" spans="1:9" ht="12.75" customHeight="1" x14ac:dyDescent="0.2">
      <c r="A9" s="18"/>
      <c r="G9" s="19"/>
    </row>
    <row r="10" spans="1:9" ht="15" x14ac:dyDescent="0.25">
      <c r="A10" s="18"/>
      <c r="B10" t="s">
        <v>24</v>
      </c>
      <c r="C10" s="27"/>
      <c r="D10" s="2" t="s">
        <v>25</v>
      </c>
      <c r="E10" s="27"/>
      <c r="G10" s="19"/>
    </row>
    <row r="11" spans="1:9" x14ac:dyDescent="0.2">
      <c r="A11" s="18"/>
      <c r="E11" t="s">
        <v>69</v>
      </c>
      <c r="G11" s="19"/>
    </row>
    <row r="12" spans="1:9" ht="13.5" customHeight="1" x14ac:dyDescent="0.25">
      <c r="A12" s="18"/>
      <c r="B12" t="s">
        <v>26</v>
      </c>
      <c r="D12" s="1227"/>
      <c r="E12" s="1228"/>
      <c r="G12" s="19"/>
    </row>
    <row r="13" spans="1:9" x14ac:dyDescent="0.2">
      <c r="A13" s="18"/>
      <c r="G13" s="19"/>
    </row>
    <row r="14" spans="1:9" ht="13.5" customHeight="1" x14ac:dyDescent="0.25">
      <c r="A14" s="18"/>
      <c r="B14" t="s">
        <v>66</v>
      </c>
      <c r="D14" s="1235"/>
      <c r="E14" s="1236"/>
      <c r="F14" s="1237"/>
      <c r="G14" s="19"/>
    </row>
    <row r="15" spans="1:9" x14ac:dyDescent="0.2">
      <c r="A15" s="18"/>
      <c r="B15" s="3"/>
      <c r="C15" s="4"/>
      <c r="D15" s="4"/>
      <c r="G15" s="19"/>
    </row>
    <row r="16" spans="1:9" x14ac:dyDescent="0.2">
      <c r="A16" s="18"/>
      <c r="B16" s="4"/>
      <c r="C16" s="4"/>
      <c r="D16" s="4"/>
      <c r="G16" s="19"/>
    </row>
    <row r="17" spans="1:9" x14ac:dyDescent="0.2">
      <c r="A17" s="18"/>
      <c r="B17" s="4"/>
      <c r="C17" s="4"/>
      <c r="D17" s="4"/>
      <c r="G17" s="19"/>
    </row>
    <row r="18" spans="1:9" x14ac:dyDescent="0.2">
      <c r="A18" s="18"/>
      <c r="B18" s="4"/>
      <c r="C18" s="4"/>
      <c r="D18" s="4"/>
      <c r="G18" s="19"/>
    </row>
    <row r="19" spans="1:9" x14ac:dyDescent="0.2">
      <c r="A19" s="18"/>
      <c r="B19" s="4"/>
      <c r="C19" s="4"/>
      <c r="D19" s="4"/>
      <c r="G19" s="19"/>
    </row>
    <row r="20" spans="1:9" ht="15" x14ac:dyDescent="0.25">
      <c r="A20" s="18"/>
      <c r="B20" s="5" t="s">
        <v>67</v>
      </c>
      <c r="D20" s="5" t="s">
        <v>27</v>
      </c>
      <c r="F20" s="5" t="s">
        <v>27</v>
      </c>
      <c r="G20" s="19"/>
    </row>
    <row r="21" spans="1:9" ht="15" x14ac:dyDescent="0.25">
      <c r="A21" s="18"/>
      <c r="B21" s="6" t="s">
        <v>28</v>
      </c>
      <c r="C21" s="6"/>
      <c r="D21" s="7" t="s">
        <v>84</v>
      </c>
      <c r="E21" s="29"/>
      <c r="F21" s="7" t="s">
        <v>70</v>
      </c>
      <c r="G21" s="22"/>
      <c r="H21" s="7"/>
      <c r="I21" s="7"/>
    </row>
    <row r="22" spans="1:9" x14ac:dyDescent="0.2">
      <c r="A22" s="18"/>
      <c r="B22" s="8" t="s">
        <v>29</v>
      </c>
      <c r="C22" s="9"/>
      <c r="D22" s="10"/>
      <c r="E22" s="6"/>
      <c r="F22" s="10" t="s">
        <v>30</v>
      </c>
      <c r="G22" s="23"/>
      <c r="H22" s="10"/>
      <c r="I22" s="10"/>
    </row>
    <row r="23" spans="1:9" x14ac:dyDescent="0.2">
      <c r="A23" s="24"/>
      <c r="B23" s="25"/>
      <c r="C23" s="25"/>
      <c r="D23" s="25"/>
      <c r="E23" s="25"/>
      <c r="F23" s="25"/>
      <c r="G23" s="26"/>
    </row>
  </sheetData>
  <sheetProtection selectLockedCells="1" selectUnlockedCells="1"/>
  <mergeCells count="4">
    <mergeCell ref="C6:F6"/>
    <mergeCell ref="D12:E12"/>
    <mergeCell ref="C1:G2"/>
    <mergeCell ref="D14:F14"/>
  </mergeCells>
  <printOptions horizontalCentered="1"/>
  <pageMargins left="0.70833333333333337" right="0.70833333333333337" top="0.74791666666666667" bottom="0.74791666666666667" header="0.51180555555555551" footer="0.51180555555555551"/>
  <pageSetup paperSize="9" firstPageNumber="0" orientation="portrait" horizontalDpi="360" verticalDpi="36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ED5E49542F494D980995A53BC900DF" ma:contentTypeVersion="19" ma:contentTypeDescription="Crear nuevo documento." ma:contentTypeScope="" ma:versionID="7666a36b9896e5976ce2d13123f48f93">
  <xsd:schema xmlns:xsd="http://www.w3.org/2001/XMLSchema" xmlns:xs="http://www.w3.org/2001/XMLSchema" xmlns:p="http://schemas.microsoft.com/office/2006/metadata/properties" xmlns:ns2="d675f32c-00d6-4fd7-9f20-f8258c41b41b" xmlns:ns3="50120481-a4a8-434e-a2bb-d4175ab338ab" targetNamespace="http://schemas.microsoft.com/office/2006/metadata/properties" ma:root="true" ma:fieldsID="616e3cb1c94fbfb3f736f449668a0516" ns2:_="" ns3:_="">
    <xsd:import namespace="d675f32c-00d6-4fd7-9f20-f8258c41b41b"/>
    <xsd:import namespace="50120481-a4a8-434e-a2bb-d4175ab338a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5f32c-00d6-4fd7-9f20-f8258c41b41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a58d592-7d2d-4069-86be-99fb5d62bb9d}" ma:internalName="TaxCatchAll" ma:showField="CatchAllData" ma:web="d675f32c-00d6-4fd7-9f20-f8258c41b4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20481-a4a8-434e-a2bb-d4175ab338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ea42db89-90ad-4442-900e-aa56a832ee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675f32c-00d6-4fd7-9f20-f8258c41b41b">X24D5PJVF3TP-732153570-1619373</_dlc_DocId>
    <_dlc_DocIdUrl xmlns="d675f32c-00d6-4fd7-9f20-f8258c41b41b">
      <Url>https://ruagsrl.sharepoint.com/sites/RUAG/_layouts/15/DocIdRedir.aspx?ID=X24D5PJVF3TP-732153570-1619373</Url>
      <Description>X24D5PJVF3TP-732153570-1619373</Description>
    </_dlc_DocIdUrl>
    <lcf76f155ced4ddcb4097134ff3c332f xmlns="50120481-a4a8-434e-a2bb-d4175ab338ab">
      <Terms xmlns="http://schemas.microsoft.com/office/infopath/2007/PartnerControls"/>
    </lcf76f155ced4ddcb4097134ff3c332f>
    <TaxCatchAll xmlns="d675f32c-00d6-4fd7-9f20-f8258c41b41b" xsi:nil="true"/>
  </documentManagement>
</p:properties>
</file>

<file path=customXml/itemProps1.xml><?xml version="1.0" encoding="utf-8"?>
<ds:datastoreItem xmlns:ds="http://schemas.openxmlformats.org/officeDocument/2006/customXml" ds:itemID="{85C99532-D07F-4B1C-B1AA-FE8AE616CC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93720C4-E73F-4A2A-8AC0-CC898F783F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75f32c-00d6-4fd7-9f20-f8258c41b41b"/>
    <ds:schemaRef ds:uri="50120481-a4a8-434e-a2bb-d4175ab338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26812C-003D-466D-AD0D-DC530CAD50C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5A354F2-EF78-4F6B-B88B-4CBC8D2076C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6B8F622F-C927-41D5-827D-81AA5EAA72B2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d675f32c-00d6-4fd7-9f20-f8258c41b41b"/>
    <ds:schemaRef ds:uri="http://schemas.openxmlformats.org/package/2006/metadata/core-properties"/>
    <ds:schemaRef ds:uri="50120481-a4a8-434e-a2bb-d4175ab338a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16150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26</vt:i4>
      </vt:variant>
    </vt:vector>
  </HeadingPairs>
  <TitlesOfParts>
    <vt:vector size="45" baseType="lpstr">
      <vt:lpstr>Reporte de vacaciones 1</vt:lpstr>
      <vt:lpstr>control de vacaciones</vt:lpstr>
      <vt:lpstr>Reporte de vacaciones  (2)</vt:lpstr>
      <vt:lpstr>vacaciones 2026</vt:lpstr>
      <vt:lpstr>vacaciones 2025</vt:lpstr>
      <vt:lpstr>vacaciones 2024</vt:lpstr>
      <vt:lpstr>vacaciones 2023 </vt:lpstr>
      <vt:lpstr>vacaciones 2022</vt:lpstr>
      <vt:lpstr>vacaciones 2021</vt:lpstr>
      <vt:lpstr>Deuda por vacaciones</vt:lpstr>
      <vt:lpstr>CRONOGRAMA</vt:lpstr>
      <vt:lpstr>vacaciones 2020</vt:lpstr>
      <vt:lpstr>vacaciones</vt:lpstr>
      <vt:lpstr>Control de dias gozados 2019</vt:lpstr>
      <vt:lpstr>Determ días de vacaciones</vt:lpstr>
      <vt:lpstr>Licencia sin goce de haber</vt:lpstr>
      <vt:lpstr>PARA DECLARAR EN SUNAT</vt:lpstr>
      <vt:lpstr>PARA DECLARAR EN SUNAT (2)</vt:lpstr>
      <vt:lpstr>solicitud de vacaciones</vt:lpstr>
      <vt:lpstr>'Control de dias gozados 2019'!Área_de_impresión</vt:lpstr>
      <vt:lpstr>'Determ días de vacaciones'!Área_de_impresión</vt:lpstr>
      <vt:lpstr>'Deuda por vacaciones'!Área_de_impresión</vt:lpstr>
      <vt:lpstr>'Licencia sin goce de haber'!Área_de_impresión</vt:lpstr>
      <vt:lpstr>'PARA DECLARAR EN SUNAT'!Área_de_impresión</vt:lpstr>
      <vt:lpstr>'PARA DECLARAR EN SUNAT (2)'!Área_de_impresión</vt:lpstr>
      <vt:lpstr>'Reporte de vacaciones  (2)'!Área_de_impresión</vt:lpstr>
      <vt:lpstr>'Reporte de vacaciones 1'!Área_de_impresión</vt:lpstr>
      <vt:lpstr>vacaciones!Área_de_impresión</vt:lpstr>
      <vt:lpstr>'vacaciones 2020'!Área_de_impresión</vt:lpstr>
      <vt:lpstr>'vacaciones 2021'!Área_de_impresión</vt:lpstr>
      <vt:lpstr>'vacaciones 2022'!Área_de_impresión</vt:lpstr>
      <vt:lpstr>'vacaciones 2024'!Área_de_impresión</vt:lpstr>
      <vt:lpstr>'vacaciones 2025'!Área_de_impresión</vt:lpstr>
      <vt:lpstr>'vacaciones 2026'!Área_de_impresión</vt:lpstr>
      <vt:lpstr>'Control de dias gozados 2019'!Títulos_a_imprimir</vt:lpstr>
      <vt:lpstr>'Reporte de vacaciones  (2)'!Títulos_a_imprimir</vt:lpstr>
      <vt:lpstr>'Reporte de vacaciones 1'!Títulos_a_imprimir</vt:lpstr>
      <vt:lpstr>vacaciones!Títulos_a_imprimir</vt:lpstr>
      <vt:lpstr>'vacaciones 2020'!Títulos_a_imprimir</vt:lpstr>
      <vt:lpstr>'vacaciones 2021'!Títulos_a_imprimir</vt:lpstr>
      <vt:lpstr>'vacaciones 2022'!Títulos_a_imprimir</vt:lpstr>
      <vt:lpstr>'vacaciones 2023 '!Títulos_a_imprimir</vt:lpstr>
      <vt:lpstr>'vacaciones 2024'!Títulos_a_imprimir</vt:lpstr>
      <vt:lpstr>'vacaciones 2025'!Títulos_a_imprimir</vt:lpstr>
      <vt:lpstr>'vacaciones 2026'!Títulos_a_imprimir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 Excel Templates</dc:creator>
  <cp:keywords/>
  <dc:description/>
  <cp:lastModifiedBy>Marissa</cp:lastModifiedBy>
  <cp:revision>6</cp:revision>
  <cp:lastPrinted>2025-02-03T16:40:17Z</cp:lastPrinted>
  <dcterms:created xsi:type="dcterms:W3CDTF">2006-09-28T13:00:05Z</dcterms:created>
  <dcterms:modified xsi:type="dcterms:W3CDTF">2026-04-08T19:49:18Z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TC300071281033</vt:lpwstr>
  </property>
  <property fmtid="{D5CDD505-2E9C-101B-9397-08002B2CF9AE}" pid="3" name="_dlc_DocId">
    <vt:lpwstr>X24D5PJVF3TP-732153570-297091</vt:lpwstr>
  </property>
  <property fmtid="{D5CDD505-2E9C-101B-9397-08002B2CF9AE}" pid="4" name="_dlc_DocIdItemGuid">
    <vt:lpwstr>6231527d-e380-411e-b931-3016db5188e6</vt:lpwstr>
  </property>
  <property fmtid="{D5CDD505-2E9C-101B-9397-08002B2CF9AE}" pid="5" name="_dlc_DocIdUrl">
    <vt:lpwstr>https://ruagsrl.sharepoint.com/sites/RUAG/_layouts/15/DocIdRedir.aspx?ID=X24D5PJVF3TP-732153570-297091, X24D5PJVF3TP-732153570-297091</vt:lpwstr>
  </property>
  <property fmtid="{D5CDD505-2E9C-101B-9397-08002B2CF9AE}" pid="6" name="ContentTypeId">
    <vt:lpwstr>0x01010022ED5E49542F494D980995A53BC900DF</vt:lpwstr>
  </property>
  <property fmtid="{D5CDD505-2E9C-101B-9397-08002B2CF9AE}" pid="7" name="MediaServiceImageTags">
    <vt:lpwstr/>
  </property>
</Properties>
</file>